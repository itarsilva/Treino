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Gerador" sheetId="2" state="visible" r:id="rId4"/>
    <sheet name="Nichos" sheetId="3" state="visible" r:id="rId5"/>
    <sheet name="Mapa de Venda" sheetId="4" state="visible" r:id="rId6"/>
    <sheet name="Diferenciais" sheetId="5" state="visible" r:id="rId7"/>
    <sheet name="Objeções" sheetId="6" state="visible" r:id="rId8"/>
    <sheet name="Cases" sheetId="7" state="visible" r:id="rId9"/>
    <sheet name="Descoberta" sheetId="8" state="visible" r:id="rId10"/>
    <sheet name="Treino" sheetId="9" state="visible" r:id="rId11"/>
    <sheet name="Ideias" sheetId="10" state="visible" r:id="rId12"/>
    <sheet name="Listas" sheetId="11" state="hidden" r:id="rId13"/>
  </sheets>
  <definedNames>
    <definedName function="false" hidden="true" localSheetId="9" name="_xlnm._FilterDatabase" vbProcedure="false">Ideias!$A$3:$H$304</definedName>
    <definedName function="false" hidden="true" localSheetId="2" name="_xlnm._FilterDatabase" vbProcedure="false">Nichos!$A$3:$M$21</definedName>
    <definedName function="false" hidden="true" localSheetId="5" name="_xlnm._FilterDatabase" vbProcedure="false">Objeções!$A$3:$F$43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<sst xmlns="http://schemas.openxmlformats.org/spreadsheetml/2006/main" count="886" uniqueCount="776">
  <si>
    <t xml:space="preserve">Playbook Comercial LedWave · versão resumida</t>
  </si>
  <si>
    <t xml:space="preserve">Vender primeiro a LedWave, depois o porquê do cliente · apresentações de 10 a 20 min · v3 (out/2026)</t>
  </si>
  <si>
    <t xml:space="preserve">Como usar em 5 passos</t>
  </si>
  <si>
    <t xml:space="preserve">1. Antes da reunião</t>
  </si>
  <si>
    <t xml:space="preserve">Aba Descoberta: perguntas SPIN e o que levantar para orçar o nicho.</t>
  </si>
  <si>
    <t xml:space="preserve">2. Monte o roteiro</t>
  </si>
  <si>
    <t xml:space="preserve">Aba Gerador: escolha nicho e duração; o roteiro sai pronto em 7 blocos.</t>
  </si>
  <si>
    <t xml:space="preserve">3. Descubra o propósito</t>
  </si>
  <si>
    <t xml:space="preserve">Aba Mapa de Venda: identifique por que este cliente compra (mídia, branding, experiência...) e use os diferenciais, resultados e cases daquele propósito.</t>
  </si>
  <si>
    <t xml:space="preserve">4. Trate as objeções</t>
  </si>
  <si>
    <t xml:space="preserve">Aba Objeções: resposta curta + a prova que você leva.</t>
  </si>
  <si>
    <t xml:space="preserve">5. Contribua</t>
  </si>
  <si>
    <t xml:space="preserve">Aba Ideias: uma linha por ideia. As aprovadas sobem para a matriz Nichos.</t>
  </si>
  <si>
    <t xml:space="preserve">LedWave em 1 minuto (usado no bloco 3 do Gerador)</t>
  </si>
  <si>
    <t xml:space="preserve">Prova</t>
  </si>
  <si>
    <t xml:space="preserve">Como falar</t>
  </si>
  <si>
    <t xml:space="preserve">Fonte</t>
  </si>
  <si>
    <t xml:space="preserve">Status</t>
  </si>
  <si>
    <t xml:space="preserve">Observação</t>
  </si>
  <si>
    <t xml:space="preserve">Origem</t>
  </si>
  <si>
    <t xml:space="preserve">Começamos com R$ 12 mil e uma ideia trazida de Xangai. Hoje somos referência em LED no Brasil.</t>
  </si>
  <si>
    <t xml:space="preserve">Exame</t>
  </si>
  <si>
    <t xml:space="preserve">OK</t>
  </si>
  <si>
    <t xml:space="preserve">Liderança</t>
  </si>
  <si>
    <t xml:space="preserve">Quatro anos seguidos entre as empresas que mais crescem no Brasil e nº 1 do segmento de painéis de LED no ranking Exame 2025.</t>
  </si>
  <si>
    <t xml:space="preserve">Ranking Exame Negócios em Expansão</t>
  </si>
  <si>
    <t xml:space="preserve">Projeto-ícone</t>
  </si>
  <si>
    <t xml:space="preserve">Fizemos o Boulevard.Live: 1.125 m², o maior painel de LED da América Latina.</t>
  </si>
  <si>
    <t xml:space="preserve">Blog LedWave; Inviron</t>
  </si>
  <si>
    <t xml:space="preserve">Presença</t>
  </si>
  <si>
    <t xml:space="preserve">Fábrica em Goiânia e unidades em São Paulo, Brasília e Orlando (EUA).</t>
  </si>
  <si>
    <t xml:space="preserve">Site LedWave</t>
  </si>
  <si>
    <t xml:space="preserve">Internacional</t>
  </si>
  <si>
    <t xml:space="preserve">Única empresa brasileira de LED com estande próprio na NRF 2026, em Nova York.</t>
  </si>
  <si>
    <t xml:space="preserve">Imprensa</t>
  </si>
  <si>
    <t xml:space="preserve">Clientes</t>
  </si>
  <si>
    <t xml:space="preserve">Nordestão, Rosewood, Beto Carrero World e Museu do Amanhã escolheram a LedWave.</t>
  </si>
  <si>
    <t xml:space="preserve">Time comercial</t>
  </si>
  <si>
    <t xml:space="preserve">Confirmar autorização</t>
  </si>
  <si>
    <t xml:space="preserve">Legenda</t>
  </si>
  <si>
    <t xml:space="preserve">Campo para preencher</t>
  </si>
  <si>
    <t xml:space="preserve">Versão completa (roleplay, técnicas, frases, prospecção detalhada): arquivo LedWave_Playbook_Comercial_Nichos.xlsx</t>
  </si>
  <si>
    <t xml:space="preserve">Gerador de Roteiro</t>
  </si>
  <si>
    <t xml:space="preserve">Escolha nicho e duração nas células amarelas. Ajuste os percentuais da coluna B se quiser (devem somar 100%).</t>
  </si>
  <si>
    <t xml:space="preserve">Nicho</t>
  </si>
  <si>
    <t xml:space="preserve">Supermercados, Atacarejos e Home Centers</t>
  </si>
  <si>
    <t xml:space="preserve">Duração (min)</t>
  </si>
  <si>
    <t xml:space="preserve">Bloco</t>
  </si>
  <si>
    <t xml:space="preserve">% do tempo</t>
  </si>
  <si>
    <t xml:space="preserve">Minutos</t>
  </si>
  <si>
    <t xml:space="preserve">Termina em</t>
  </si>
  <si>
    <t xml:space="preserve">Técnica</t>
  </si>
  <si>
    <t xml:space="preserve">Fala do nicho</t>
  </si>
  <si>
    <t xml:space="preserve">1. Abertura: pergunta</t>
  </si>
  <si>
    <t xml:space="preserve">Pergunta provocativa + pausa de 3 s</t>
  </si>
  <si>
    <t xml:space="preserve">2. Dor e custo de esperar</t>
  </si>
  <si>
    <t xml:space="preserve">SPIN + escuta 70/30</t>
  </si>
  <si>
    <t xml:space="preserve">3. LedWave: o guia</t>
  </si>
  <si>
    <t xml:space="preserve">StoryBrand + regra de 3</t>
  </si>
  <si>
    <t xml:space="preserve">4. O porquê</t>
  </si>
  <si>
    <t xml:space="preserve">Golden Circle + analogia</t>
  </si>
  <si>
    <t xml:space="preserve">5. Três ganhos e solução</t>
  </si>
  <si>
    <t xml:space="preserve">Regra de 3 + antes/depois</t>
  </si>
  <si>
    <t xml:space="preserve">6. Objeções antecipadas</t>
  </si>
  <si>
    <t xml:space="preserve">Ouvir, acolher, explorar, responder com prova</t>
  </si>
  <si>
    <t xml:space="preserve">7. Fechamento</t>
  </si>
  <si>
    <t xml:space="preserve">Peak-End + escolha entre duas datas</t>
  </si>
  <si>
    <t xml:space="preserve">Total</t>
  </si>
  <si>
    <t xml:space="preserve">Nichos: o porquê de cada cliente</t>
  </si>
  <si>
    <t xml:space="preserve">Uma linha por nicho, fonte do Gerador. Mantenha a ordem das colunas; melhore os textos à vontade.</t>
  </si>
  <si>
    <t xml:space="preserve">Decisor típico</t>
  </si>
  <si>
    <t xml:space="preserve">Propósitos de compra</t>
  </si>
  <si>
    <t xml:space="preserve">Dor e custo de esperar</t>
  </si>
  <si>
    <t xml:space="preserve">Pergunta de abertura</t>
  </si>
  <si>
    <t xml:space="preserve">O porquê + história</t>
  </si>
  <si>
    <t xml:space="preserve">Três ganhos</t>
  </si>
  <si>
    <t xml:space="preserve">Frase de efeito</t>
  </si>
  <si>
    <t xml:space="preserve">Solução e KPIs</t>
  </si>
  <si>
    <t xml:space="preserve">Cases</t>
  </si>
  <si>
    <t xml:space="preserve">Objeções prováveis</t>
  </si>
  <si>
    <t xml:space="preserve">Fechamento e próximo passo</t>
  </si>
  <si>
    <t xml:space="preserve">Ideias no banco</t>
  </si>
  <si>
    <t xml:space="preserve">Varejo de Moda e Vitrines</t>
  </si>
  <si>
    <t xml:space="preserve">Dono da rede, Diretor de Marketing, Gerente de Visual Merchandising</t>
  </si>
  <si>
    <t xml:space="preserve">Branding · Experiência · Trade</t>
  </si>
  <si>
    <t xml:space="preserve">A vitrine é estática: a coleção muda, a promoção muda, mas a fachada fala a mesma coisa por semanas. Cada troca exige gráfica, instalação e prazo.
Custo de esperar: Cada dia com vitrine parada é fluxo de calçada que passa reto. Quem não para na vitrine não entra na loja.</t>
  </si>
  <si>
    <t xml:space="preserve">Quantas pessoas passam na frente da sua loja por dia? Agora, quantas param? A diferença entre esses dois números é o tamanho da oportunidade que estamos aqui para discutir.</t>
  </si>
  <si>
    <t xml:space="preserve">Transformar a vitrine em um vendedor que trabalha 24h, chama o cliente pelo movimento e conta a história da coleção antes de ele entrar.
História: Antes x depois: a mesma vitrine com um banner de liquidação desbotado e, ao lado, a coleção nova em movimento, com troca de conteúdo do celular em minutos. O olho humano é programado para seguir movimento.</t>
  </si>
  <si>
    <t xml:space="preserve">Receita: Mais paradas na vitrine geram mais entradas na loja; promoções relâmpago (horário de almoço, fim de tarde) entram no ar na hora, sem gráfica.
Experiência: A marca passa a ter cara de flagship: a loja de rua ou de shopping conversa com o padrão das grandes marcas internacionais.
Operação: Fim do custo recorrente de impressão e instalação a cada coleção; gestão centralizada do conteúdo para todas as lojas da rede.</t>
  </si>
  <si>
    <t xml:space="preserve">Vitrine parada é vendedor dormindo.</t>
  </si>
  <si>
    <t xml:space="preserve">Painel de vitrine de alto brilho, LED transparente para fachadas de vidro, totens digitais internos, gestão de conteúdo em rede.
KPIs: Taxa de parada na vitrine, entrada em loja, vendas da peça anunciada, economia com impressos.</t>
  </si>
  <si>
    <t xml:space="preserve">Preço; Gestão de conteúdo; Percepção de valor</t>
  </si>
  <si>
    <t xml:space="preserve">A coleção nova merece uma vitrine à altura. Vamos colocar a sua loja para falar com quem passa?
Próximo passo: Agendar visita técnica para medir a vitrine e simular o conteúdo da próxima coleção no painel.</t>
  </si>
  <si>
    <t xml:space="preserve">Diretor Comercial, Diretor de Trade Marketing, Gerente de Marketing, Operações</t>
  </si>
  <si>
    <t xml:space="preserve">Retail media · Trade · Eficiência operacional</t>
  </si>
  <si>
    <t xml:space="preserve">Oferta muda todo dia, cartaz de papel não acompanha. O trade da indústria paga por espaço, mas o impresso não mede nada e envelhece rápido.
Custo de esperar: O varejista deixa de vender mídia dentro da própria loja, enquanto o retail media cresce no Brasil (R$ 4,8 bi em 2025, +37%, IAB Brasil/Kantar).</t>
  </si>
  <si>
    <t xml:space="preserve">Se 80% a 90% das vendas do varejo ainda acontecem na loja física, por que quase toda a verba de mídia está fora dela?</t>
  </si>
  <si>
    <t xml:space="preserve">Transformar a loja em canal de mídia: a tela deixa de ser custo e passa a gerar receita com as marcas que já estão nas gôndolas.
História: Referência Walmart Connect: a loja virou canal de mídia e a publicidade virou uma linha de receita bilionária. A lição é simples: a loja física também é mídia, e mídia gera receita.</t>
  </si>
  <si>
    <t xml:space="preserve">Receita: Retail media: venda de espaço nas telas para a indústria, com margem potencial de 70% a 90% (McKinsey). A tela se paga com a verba de trade.
Experiência: Ofertas e receitas em movimento no momento da decisão; comunicação mais moderna que a da concorrência no mesmo bairro.
Operação: Troca de preços e ofertas em tempo real por loja, sem impressão, sem retrabalho, com prova de veiculação para o fornecedor.</t>
  </si>
  <si>
    <t xml:space="preserve">Sua loja já tem audiência. Falta transformar audiência em receita.</t>
  </si>
  <si>
    <t xml:space="preserve">Telas de checkout, ponta de gôndola, painéis de entrada e fachada, retail media com gestão de conteúdo e relatório de veiculação (parceria WeOOH a validar).
KPIs: Receita de mídia por loja, sell-out do produto anunciado, economia com impressos, tempo de troca de oferta.</t>
  </si>
  <si>
    <t xml:space="preserve">Nordestão</t>
  </si>
  <si>
    <t xml:space="preserve">Gestão de conteúdo; Aprovação por financeiro; Momento financeiro</t>
  </si>
  <si>
    <t xml:space="preserve">A pergunta não é se o seu PDV vai virar mídia. É quem vai fazer isso primeiro na sua praça.
Próximo passo: Workshop de 1h para desenhar o piloto de retail media em 1 a 3 lojas.</t>
  </si>
  <si>
    <t xml:space="preserve">Farmácias e Drogarias</t>
  </si>
  <si>
    <t xml:space="preserve">Diretor de Marketing, Diretor de Expansão, Dono da rede, Trade</t>
  </si>
  <si>
    <t xml:space="preserve">Retail media · Trade · Branding</t>
  </si>
  <si>
    <t xml:space="preserve">Fachadas parecidas, guerra de preço e um corredor cheio de marcas disputando atenção. A indústria farmacêutica e de dermocosméticos quer visibilidade, mas o espaço é pequeno.
Custo de esperar: A farmácia da esquina igual a todas as outras perde a decisão de entrada para a que se destaca, e deixa de monetizar o espaço com a indústria.</t>
  </si>
  <si>
    <t xml:space="preserve">Na sua rua existem quantas farmácias? O que faz o cliente escolher a sua antes de ver o preço?</t>
  </si>
  <si>
    <t xml:space="preserve">Fazer da farmácia um ponto de saúde e bem-estar que se vê de longe e informa de perto, com mídia paga pela indústria.
História: Cruz verde iluminada foi a primeira tela da farmácia. O painel de LED é a evolução natural dessa cruz: além de dizer 'estou aqui', diz 'tenho o que você precisa hoje'.</t>
  </si>
  <si>
    <t xml:space="preserve">Receita: Monetização com a indústria (dermocosméticos, OTC, higiene) em telas internas; campanhas sazonais (gripe, verão, Dia das Mães) entram no ar na hora.
Experiência: Fachada que se destaca na rua, conteúdo de saúde e prevenção que gera confiança, fila mais leve com conteúdo útil.
Operação: Padronização da comunicação em todas as lojas da rede a partir de um único painel de controle.</t>
  </si>
  <si>
    <t xml:space="preserve">Farmácia que se vê de longe vende antes do preço.</t>
  </si>
  <si>
    <t xml:space="preserve">Painel de fachada, LED de vitrine, telas atrás do balcão e na área de dermocosméticos, rede de retail media.
KPIs: Receita de mídia com a indústria, vendas de categorias anunciadas, fluxo de entrada, tempo de rollout de campanha.</t>
  </si>
  <si>
    <t xml:space="preserve">Política comercial; Gestão de conteúdo; Percepção de valor</t>
  </si>
  <si>
    <t xml:space="preserve">A cruz verde chamou o cliente por décadas. Agora é hora de ela conversar com ele.
Próximo passo: Simulação de fachada digital com a identidade da rede + proposta de piloto em uma loja âncora.</t>
  </si>
  <si>
    <t xml:space="preserve">Postos de Combustível e Conveniência</t>
  </si>
  <si>
    <t xml:space="preserve">Proprietário do posto/rede, Diretor Comercial de distribuidora, Gerente de conveniência</t>
  </si>
  <si>
    <t xml:space="preserve">Mídia · Eficiência operacional · Branding</t>
  </si>
  <si>
    <t xml:space="preserve">O preço na placa é a única comunicação, e o cliente decide em segundos, a 60 km/h. A loja de conveniência é invisível da pista.
Custo de esperar: O motorista que passa reto não volta. A margem do combustível é apertada e a conveniência, que tem margem, não é vista.</t>
  </si>
  <si>
    <t xml:space="preserve">Seu cliente decide se entra no seu posto em menos de cinco segundos. O que ele vê nesses cinco segundos?</t>
  </si>
  <si>
    <t xml:space="preserve">Fazer o posto ser visto, escolhido e lembrado, e transformar a rodovia em audiência paga.
História: Duas placas na estrada à noite: uma de preço fixo, apagada; outra com preço, promoção de café + pão de queijo e a marca em movimento. Qual delas faz o motorista dar seta?</t>
  </si>
  <si>
    <t xml:space="preserve">Receita: Mídia DOOH para anunciantes locais e regionais na pista; promoções da conveniência e serviços (lavagem, troca de óleo) que aumentam ticket.
Experiência: Posto moderno, iluminado e seguro à noite, percepção de marca forte na rodovia.
Operação: Atualização de preço remota e instantânea, sem subir em escada, com conteúdo programado por horário.</t>
  </si>
  <si>
    <t xml:space="preserve">Na estrada, quem não é visto não é abastecido.</t>
  </si>
  <si>
    <t xml:space="preserve">Totem de preços em LED outdoor (alto brilho, IP65), painel de testeira, telas na bomba e na conveniência, mídia DOOH.
KPIs: Veículos que entram x fluxo da pista, ticket da conveniência, receita de mídia DOOH.</t>
  </si>
  <si>
    <t xml:space="preserve">Política local / licenças; Fabricação de estrutura metálica; Consumo de energia</t>
  </si>
  <si>
    <t xml:space="preserve">Seu posto já tem o fluxo. Vamos fazer esse fluxo parar?
Próximo passo: Estudo de visibilidade da pista (distância, ângulo, fluxo) e proposta de totem + testeira.</t>
  </si>
  <si>
    <t xml:space="preserve">DOOH e Investidores de Mídia</t>
  </si>
  <si>
    <t xml:space="preserve">Investidor, CEO/Proprietário de exibidora, Diretor Comercial de mídia</t>
  </si>
  <si>
    <t xml:space="preserve">Mídia · Status · Retrofit / arquitetura</t>
  </si>
  <si>
    <t xml:space="preserve">Quer entrar ou crescer em mídia exterior digital, mas precisa de ativo confiável, ponto bem escolhido e retorno previsível.
Custo de esperar: Os melhores pontos da cidade estão sendo ocupados agora. Ponto bom não espera.</t>
  </si>
  <si>
    <t xml:space="preserve">Um painel de LED não é um custo, é um imóvel que paga aluguel em inserções. A pergunta é: quanto rende o seu metro quadrado?</t>
  </si>
  <si>
    <t xml:space="preserve">Construir um ativo de mídia que gera receita recorrente por anos, com um fabricante que sabe operar mídia porque também opera.
História: Boulevard.Live, em Brasília: 1.125 m², o maior painel de LED da América Latina, pensado no ponto de maior fluxo de pessoas e veículos da cidade. A LedWave não só vende painel; ela sabe o que faz um painel faturar.</t>
  </si>
  <si>
    <t xml:space="preserve">Receita: Receita recorrente por inserção, programática e anunciante local; o DOOH já soma R$ 4,4 bi no Brasil (IAB Brasil/Kantar, 2025).
Experiência: Ponto icônico vira referência da cidade e atrai anunciantes premium.
Operação: Fabricação própria, assistência técnica, alto brilho e durabilidade outdoor reduzem tempo de tela apagada (que é receita perdida).</t>
  </si>
  <si>
    <t xml:space="preserve">Painel apagado é aluguel perdido. Escolha quem mantém sua tela no ar.</t>
  </si>
  <si>
    <t xml:space="preserve">Painéis outdoor de grande formato, empenas, frontlights digitais, mobiliário urbano, gestão de conteúdo e programação.
KPIs: Ocupação, receita por m², uptime da tela, payback do ponto.</t>
  </si>
  <si>
    <t xml:space="preserve">Política local / licenças; SLA; Crédito</t>
  </si>
  <si>
    <t xml:space="preserve">Vamos escolher juntos o seu próximo ponto e colocar a conta no papel?
Próximo passo: Estudo de ponto + simulação de payback com cenário conservador, base e otimista.</t>
  </si>
  <si>
    <t xml:space="preserve">Shopping Centers</t>
  </si>
  <si>
    <t xml:space="preserve">Superintendente, Gerente de Marketing, Gerente Comercial / Mall &amp; Media</t>
  </si>
  <si>
    <t xml:space="preserve">Experiência · Entretenimento · Mídia</t>
  </si>
  <si>
    <t xml:space="preserve">O shopping disputa visita com o e-commerce e precisa ser destino. O mall media tradicional é estático e difícil de vender.
Custo de esperar: Sem experiência, o shopping vira corredor de passagem; e o espaço de mídia que poderia faturar fica vazio.</t>
  </si>
  <si>
    <t xml:space="preserve">Qual foi a última coisa no seu shopping que fez alguém parar, tirar o celular do bolso e filmar?</t>
  </si>
  <si>
    <t xml:space="preserve">Transformar o shopping em palco: experiências que geram visita, fotos, redes sociais e receita de mídia.
História: As grandes capitais têm seus pontos de LED que viram cartão-postal. Uma tela anamórfica 3D na praça de eventos faz o shopping aparecer nas redes de milhares de pessoas, de graça.</t>
  </si>
  <si>
    <t xml:space="preserve">Receita: Mall media digital vendido para lojistas e marcas nacionais; ativações e eventos com patrocínio.
Experiência: Experiências instagramáveis, datas comemorativas e eventos que aumentam fluxo e permanência.
Operação: Sinalização e wayfinding digitais, comunicação com lojistas e campanhas atualizadas em minutos.</t>
  </si>
  <si>
    <t xml:space="preserve">Shopping sem experiência é só um estacionamento com lojas.</t>
  </si>
  <si>
    <t xml:space="preserve">Painéis de praça de eventos, LED anamórfico/3D, empenas e fachadas, totens, mall media em rede.
KPIs: Fluxo de visitantes, permanência, receita de mall media, menções nas redes.</t>
  </si>
  <si>
    <t xml:space="preserve">Aprovação por financeiro; Concorrência; Percepção de valor</t>
  </si>
  <si>
    <t xml:space="preserve">Vamos criar o ponto do seu shopping que todo mundo quer filmar?
Próximo passo: Proposta de experiência-âncora para a próxima data forte (Natal, Dia das Mães) + plano de mall media.</t>
  </si>
  <si>
    <t xml:space="preserve">Concessionárias de Veículos</t>
  </si>
  <si>
    <t xml:space="preserve">Dono do grupo, Gerente Geral, Gerente de Marketing da concessionária</t>
  </si>
  <si>
    <t xml:space="preserve">Status · Experiência · Branding</t>
  </si>
  <si>
    <t xml:space="preserve">Showroom com carros parados e banners genéricos da montadora. O cliente chega já pesquisado na internet e o showroom não acrescenta emoção.
Custo de esperar: Venda de alto ticket é emoção. Showroom frio perde o cliente para a loja que faz ele imaginar o carro na estrada.</t>
  </si>
  <si>
    <t xml:space="preserve">Seu cliente já viu o carro no site. O que o seu showroom mostra que o site não mostra?</t>
  </si>
  <si>
    <t xml:space="preserve">Levar a estrada para dentro do showroom: fazer o cliente sentir o carro antes do test-drive.
História: Lançamento: luzes apagam, o painel atrás do carro mostra a serra, a chuva, a família viajando, e o carro real está ali na frente. Isso é cenografia que vende.</t>
  </si>
  <si>
    <t xml:space="preserve">Receita: Mais conversão no showroom, eventos de lançamento que geram leads e cofinanciamento de ações com a montadora.
Experiência: Showroom premium alinhado ao padrão global das marcas; experiência que justifica o preço.
Operação: Conteúdo da montadora, condições e estoque atualizados em tempo real; fachada que comunica ofertas para a avenida.</t>
  </si>
  <si>
    <t xml:space="preserve">Carro se compra com o coração e se justifica com a razão. O painel fala com os dois.</t>
  </si>
  <si>
    <t xml:space="preserve">Painel de fundo de showroom, LED de fachada, totens de ofertas, painel para eventos e lançamentos (venda ou locação).
KPIs: Conversão de visita em venda, leads de eventos, tempo de permanência no showroom.</t>
  </si>
  <si>
    <t xml:space="preserve">Preço; Momento financeiro; Gestão de conteúdo</t>
  </si>
  <si>
    <t xml:space="preserve">Vamos fazer o seu próximo lançamento ser lembrado?
Próximo passo: Demonstração no showroom LedWave com conteúdo da marca do cliente.</t>
  </si>
  <si>
    <t xml:space="preserve">Construtoras e Stands de Vendas</t>
  </si>
  <si>
    <t xml:space="preserve">Diretor de Incorporação, Diretor de Marketing, Gerente de Vendas imobiliárias</t>
  </si>
  <si>
    <t xml:space="preserve">Status · Retrofit / arquitetura · Experiência</t>
  </si>
  <si>
    <t xml:space="preserve">Vender na planta é vender algo que não existe. Maquete e perspectivas impressas não fazem o cliente se imaginar morando lá.
Custo de esperar: Cada visita ao stand que sai sem emoção é uma unidade que vai para o concorrente. Ciclo de venda mais longo é custo financeiro.</t>
  </si>
  <si>
    <t xml:space="preserve">Seu cliente está comprando um sonho que ainda é um terreno. Como ele enxerga esse sonho hoje no seu stand?</t>
  </si>
  <si>
    <t xml:space="preserve">Fazer o cliente viver o empreendimento antes de ele existir.
História: Visitante entra no stand, o painel abre a vista do 20º andar ao pôr do sol, depois a área de lazer com as crianças na piscina. Ele não vê uma planta; ele vê a vida dele.</t>
  </si>
  <si>
    <t xml:space="preserve">Receita: Vendas mais rápidas no lançamento; o painel acompanha os próximos empreendimentos (reaproveitamento entre stands).
Experiência: Stand com padrão de alto luxo, coerente com o ticket do imóvel; tapume digital que vira mídia na obra.
Operação: Atualização de tabela, unidades disponíveis e condições em tempo real; locação para stands temporários.</t>
  </si>
  <si>
    <t xml:space="preserve">Ninguém compra metro quadrado. Compra o futuro que cabe nele.</t>
  </si>
  <si>
    <t xml:space="preserve">Painel imersivo no stand, LED em tapume de obra, fachada do stand, locação para lançamentos.
KPIs: Velocidade de vendas (unidades/mês), conversão de visita em proposta, custo de stand por unidade vendida.</t>
  </si>
  <si>
    <t xml:space="preserve">Forma de pagamento; Fabricação de estrutura metálica; Preço</t>
  </si>
  <si>
    <t xml:space="preserve">Vamos fazer o seu próximo lançamento ser visto antes de ser construído?
Próximo passo: Apresentar conceito imersivo para o próximo lançamento + comparativo compra x locação.</t>
  </si>
  <si>
    <t xml:space="preserve">Franquias e Redes</t>
  </si>
  <si>
    <t xml:space="preserve">Franqueador (CEO, Diretor de Expansão, Marketing), franqueados master</t>
  </si>
  <si>
    <t xml:space="preserve">Branding · Eficiência operacional · Trade</t>
  </si>
  <si>
    <t xml:space="preserve">Garantir que a marca seja a mesma em 50, 200, 1.000 lojas. Campanhas chegam atrasadas, impressos são aplicados errado, cada franqueado faz de um jeito.
Custo de esperar: Marca inconsistente perde valor e o franqueado perde venda; cada campanha impressa é custo multiplicado pelo número de lojas.</t>
  </si>
  <si>
    <t xml:space="preserve">Se hoje você lança uma campanha nacional às 9h, a que horas ela está na última loja da rede?</t>
  </si>
  <si>
    <t xml:space="preserve">Dar ao franqueador o controle da marca em todas as lojas e ao franqueado uma loja que vende mais.
História: Rede com campanha de Dia dos Pais: com impresso, chega em semanas e cada loja aplica de um jeito; com LED em rede, um clique na central e todas as lojas do Brasil estão iguais no mesmo minuto.</t>
  </si>
  <si>
    <t xml:space="preserve">Receita: Campanhas no tempo certo vendem mais; padronização aumenta o ticket e a percepção de valor da marca.
Experiência: Experiência idêntica em qualquer cidade, fator de atração para novos franqueados.
Operação: Gestão centralizada de conteúdo, kit padrão de tela para novas unidades, fim da logística de impressos.</t>
  </si>
  <si>
    <t xml:space="preserve">Uma marca, mil lojas, um clique.</t>
  </si>
  <si>
    <t xml:space="preserve">Kit de LED padrão por formato de loja, menu boards, vitrine digital, gestão de conteúdo em rede.
KPIs: Tempo de rollout de campanha, aderência ao padrão, vendas por loja, custo de comunicação por unidade.</t>
  </si>
  <si>
    <t xml:space="preserve">Forma de pagamento; Crédito; Gestão de conteúdo</t>
  </si>
  <si>
    <t xml:space="preserve">Vamos colocar o padrão LedWave no seu kit de abertura de loja?
Próximo passo: Projeto de kit padrão para o modelo de loja do cliente + piloto em lojas próprias.</t>
  </si>
  <si>
    <t xml:space="preserve">Bares, Restaurantes e Food Service</t>
  </si>
  <si>
    <t xml:space="preserve">Proprietário, sócio-operador, Diretor de Marketing de rede de alimentação</t>
  </si>
  <si>
    <t xml:space="preserve">Entretenimento · Experiência · Eficiência operacional</t>
  </si>
  <si>
    <t xml:space="preserve">Cardápio impresso desatualizado, preços que mudam com o custo dos insumos e pouca visibilidade dos pratos de maior margem.
Custo de esperar: Cada reimpressão de cardápio é custo; cada cliente que pede o prato de menor margem por falta de destaque é lucro perdido.</t>
  </si>
  <si>
    <t xml:space="preserve">Qual é o prato com a melhor margem da sua casa? E ele é o que mais aparece para o cliente?</t>
  </si>
  <si>
    <t xml:space="preserve">Fazer o cardápio vender: mostrar o prato certo, na hora certa, com a cara de dar água na boca.
História: Happy hour: às 17h o menu board muda sozinho para chopp e petiscos; no almoço, o executivo; à noite, o prato assinatura em vídeo. O cardápio trabalha por turno.</t>
  </si>
  <si>
    <t xml:space="preserve">Receita: Destaque dos itens de maior margem, combos e upsell; transmissão de jogos e eventos que enchem a casa.
Experiência: Ambiente moderno e instagramável; fachada que chama de longe.
Operação: Preço atualizado em minutos, sem reimpressão; programação automática por horário.</t>
  </si>
  <si>
    <t xml:space="preserve">Prato que não é visto não é pedido.</t>
  </si>
  <si>
    <t xml:space="preserve">Menu boards em LED, painel de fachada, telão para jogos e eventos, painéis decorativos.
KPIs: Ticket médio, vendas dos itens destacados, economia com impressão, ocupação em dias de evento.</t>
  </si>
  <si>
    <t xml:space="preserve">Preço; Fobia digital; Momento financeiro</t>
  </si>
  <si>
    <t xml:space="preserve">Vamos colocar o seu cardápio para vender sozinho?
Próximo passo: Simulação do menu board com o cardápio real do cliente.</t>
  </si>
  <si>
    <t xml:space="preserve">Igrejas e Centros Religiosos</t>
  </si>
  <si>
    <t xml:space="preserve">Pastor/Padre responsável, Conselho/Diretoria, Ministério de Mídia e Louvor</t>
  </si>
  <si>
    <t xml:space="preserve">Insumo de trabalho · Experiência · Entretenimento</t>
  </si>
  <si>
    <t xml:space="preserve">A mensagem precisa alcançar todos, do primeiro ao último banco e também quem assiste online. Projetores perdem brilho, letra de louvor não se lê, e a transmissão fica pobre.
Custo de esperar: Quem não enxerga e não escuta se desconecta. A nova geração está acostumada com telas de alta qualidade e compara.</t>
  </si>
  <si>
    <t xml:space="preserve">Quem está no último banco da sua igreja vê o culto com a mesma clareza de quem está na primeira fila?</t>
  </si>
  <si>
    <t xml:space="preserve">Levar a mensagem com clareza a cada pessoa, presente ou online, e criar um ambiente de acolhimento e celebração.
História: O mesmo culto com projetor (imagem lavada, luz acesa atrapalhando) e com painel de LED (letra nítida, imagem do pregador ampliada, transmissão bonita). A mensagem é a mesma; o alcance muda.</t>
  </si>
  <si>
    <t xml:space="preserve">Receita: Mais engajamento e permanência dos membros, eventos e conferências que atraem visitantes, transmissão de melhor qualidade que amplia o alcance.
Experiência: Louvor com letras legíveis, imagem ampliada do pregador, cenografia para datas especiais (Páscoa, Natal, conferências).
Operação: Não depende de escurecer o templo, sem troca de lâmpadas de projetor, vida útil longa, suporte técnico.</t>
  </si>
  <si>
    <t xml:space="preserve">A mensagem merece ser vista por todos, do altar ao último banco.</t>
  </si>
  <si>
    <t xml:space="preserve">Painel de LED de palco (indoor, pixel pitch conforme distância), painéis laterais, telão para eventos (locação), fachada para comunicação com a comunidade.
KPIs: Legibilidade/visibilidade em todos os assentos, audiência online, participação em eventos.</t>
  </si>
  <si>
    <t xml:space="preserve">Forma de pagamento; Insegurança técnica; Aprovação por financeiro</t>
  </si>
  <si>
    <t xml:space="preserve">Vamos levar a sua mensagem com a clareza que ela merece?
Próximo passo: Visita técnica ao templo para medir distâncias e simular o painel ideal.</t>
  </si>
  <si>
    <t xml:space="preserve">Hotéis, Parques, Clubes e Piscinas</t>
  </si>
  <si>
    <t xml:space="preserve">Gerente Geral, Diretor Comercial/Eventos, Presidente de clube, Diretor de Lazer</t>
  </si>
  <si>
    <t xml:space="preserve">Entretenimento · Experiência · Status</t>
  </si>
  <si>
    <t xml:space="preserve">Disputa por eventos corporativos e sociais, áreas de lazer sem experiência diferenciada e comunicação com hóspedes/associados dispersa.
Custo de esperar: O evento corporativo vai para o concorrente que tem estrutura pronta; o associado/hóspede não percebe o valor do que paga.</t>
  </si>
  <si>
    <t xml:space="preserve">Quando uma empresa escolhe onde fazer a convenção anual, o que faz ela escolher o seu espaço e não o do concorrente?</t>
  </si>
  <si>
    <t xml:space="preserve">Transformar espaços em experiências: eventos mais fortes, lazer memorável e comunicação que encanta.
História: Piscina com painel à noite: cinema ao ar livre, jogo da Seleção, festa temática. O mesmo espaço vira três produtos diferentes na mesma semana.</t>
  </si>
  <si>
    <t xml:space="preserve">Receita: Locação de salões com estrutura de LED inclusa (valor agregado ao pacote), eventos temáticos que geram receita extra, patrocínio.
Experiência: Experiências únicas na área de lazer, wayfinding e boas-vindas personalizadas.
Operação: Estrutura fixa elimina locação a cada evento; painéis outdoor resistentes para áreas abertas.</t>
  </si>
  <si>
    <t xml:space="preserve">Espaço sem experiência é só metro quadrado.</t>
  </si>
  <si>
    <t xml:space="preserve">Painéis fixos para salões de eventos, LED outdoor para piscinas e áreas abertas, totens de comunicação, telões para jogos.
KPIs: Taxa de ocupação de salões, receita por evento, satisfação de hóspedes/associados, economia com locação.</t>
  </si>
  <si>
    <t xml:space="preserve">Beto Carrero World; Rosewood; Animalia</t>
  </si>
  <si>
    <t xml:space="preserve">Consumo de energia; Manutenção; Momento financeiro</t>
  </si>
  <si>
    <t xml:space="preserve">Vamos transformar o seu espaço no lugar que todo mundo quer reservar?
Próximo passo: Levantamento de eventos dos últimos 12 meses para cálculo de compra x locação.</t>
  </si>
  <si>
    <t xml:space="preserve">Eventos, Agências e Produtoras</t>
  </si>
  <si>
    <t xml:space="preserve">Sócio da produtora/agência, Diretor de Produção, Diretor de Criação</t>
  </si>
  <si>
    <t xml:space="preserve">Insumo de trabalho · Entretenimento · Experiência</t>
  </si>
  <si>
    <t xml:space="preserve">Prazo curto, cliente exigente e fornecedor que falha na montagem. Um painel com falha ao vivo queima a reputação da agência.
Custo de esperar: Um evento que dá errado custa o cliente inteiro, não só aquele job.</t>
  </si>
  <si>
    <t xml:space="preserve">Qual foi o pior momento técnico que você já viveu ao vivo num evento? Nosso trabalho é que ele nunca se repita.</t>
  </si>
  <si>
    <t xml:space="preserve">Ser o parceiro que garante que a ideia da agência apareça ao vivo exatamente como foi criada.
História: Circuito LedWave da Copa: ativações que movimentaram o mercado e elevaram a demanda por painéis de LED em 50%. Escala, prazo e operação ao vivo são o nosso dia a dia.</t>
  </si>
  <si>
    <t xml:space="preserve">Receita: Estoque, logística e equipe técnica próprios permitem atender jobs grandes e simultâneos, com margem previsível para a agência.
Experiência: Formatos criativos (curvos, 3D, piso, transparente) que fazem a ativação ser lembrada.
Operação: Montagem, operação e backup técnico com equipe LedWave; presença em várias praças (Goiânia, SP, Brasília, EUA).</t>
  </si>
  <si>
    <t xml:space="preserve">Ao vivo não tem segunda chance. Tem LedWave.</t>
  </si>
  <si>
    <t xml:space="preserve">Locação de painéis indoor/outdoor, formatos especiais, operação técnica e conteúdo.
KPIs: Uptime ao vivo, prazo de montagem cumprido, recompra de clientes da agência.</t>
  </si>
  <si>
    <t xml:space="preserve">Preço; SLA; Concorrência</t>
  </si>
  <si>
    <t xml:space="preserve">Qual é o próximo grande job? Vamos montar juntos?
Próximo passo: Cadastro como parceiro preferencial + tabela de locação para o próximo trimestre.</t>
  </si>
  <si>
    <t xml:space="preserve">Corporativo (Comunicação Interna e Recepções)</t>
  </si>
  <si>
    <t xml:space="preserve">Diretor de RH/Comunicação Interna, Facilities, CEO, Marketing institucional</t>
  </si>
  <si>
    <t xml:space="preserve">Branding · Status · Retrofit / arquitetura</t>
  </si>
  <si>
    <t xml:space="preserve">Comunicação interna que ninguém lê (e-mail, mural, intranet). Recepção e auditório que não refletem o tamanho e a inovação da empresa.
Custo de esperar: Colaborador desinformado é colaborador desengajado; visitante que entra numa recepção comum não sente a grandeza da empresa.</t>
  </si>
  <si>
    <t xml:space="preserve">Se um investidor entrasse hoje na sua recepção, em quantos segundos ele entenderia quem vocês são?</t>
  </si>
  <si>
    <t xml:space="preserve">Fazer a cultura da empresa ser vista e vivida todos os dias, por quem trabalha e por quem visita.
História: Fábrica com 2.000 colaboradores: metas de segurança, aniversariantes e resultados no painel do refeitório. A informação chega a quem não tem e-mail corporativo.</t>
  </si>
  <si>
    <t xml:space="preserve">Receita: Engajamento e produtividade, redução de acidentes com comunicação de segurança, impacto em visitantes e clientes.
Experiência: Recepção e auditório com padrão de empresa global; eventos internos e convenções com estrutura própria.
Operação: Gestão centralizada de mensagens para várias unidades; substitui murais e impressos.</t>
  </si>
  <si>
    <t xml:space="preserve">Cultura que não se vê não se vive.</t>
  </si>
  <si>
    <t xml:space="preserve">Painel de recepção, auditório e sala de convenção, painéis em refeitórios/fábricas, videowall de comando.
KPIs: Alcance da comunicação interna, engajamento em pesquisas de clima, indicadores de segurança.</t>
  </si>
  <si>
    <t xml:space="preserve">Aprovação por financeiro; Gestão de conteúdo; Percepção de valor</t>
  </si>
  <si>
    <t xml:space="preserve">Vamos fazer a sua empresa contar a própria história todos os dias?
Próximo passo: Diagnóstico de pontos de comunicação da empresa + proposta em fases.</t>
  </si>
  <si>
    <t xml:space="preserve">Educação (Escolas, Faculdades e Universidades)</t>
  </si>
  <si>
    <t xml:space="preserve">Mantenedor, Diretor Geral, Diretor de Marketing/Captação, Coordenador de TI</t>
  </si>
  <si>
    <t xml:space="preserve">Insumo de trabalho · Experiência · Status</t>
  </si>
  <si>
    <t xml:space="preserve">Concorrência forte na captação de alunos, pais que comparam infraestrutura e comunicação com alunos que não chega.
Custo de esperar: A família escolhe a escola em uma visita. Infraestrutura que parece antiga perde matrícula.</t>
  </si>
  <si>
    <t xml:space="preserve">Na visita de um pai à sua escola, o que mostra a ele que o filho vai estudar no futuro e não no passado?</t>
  </si>
  <si>
    <t xml:space="preserve">Mostrar na prática que a instituição prepara para o futuro e informa a comunidade escolar com eficiência.
História: Auditório com painel de LED: formatura, feira de ciências, palestra e transmissão para a família que mora em outra cidade. Um investimento, dezenas de momentos que a família não esquece.</t>
  </si>
  <si>
    <t xml:space="preserve">Receita: Captação e retenção de alunos, eventos e formaturas com estrutura própria, locação do auditório para terceiros.
Experiência: Ambiente moderno, ensino com conteúdo visual de impacto, eventos memoráveis.
Operação: Comunicação de avisos, horários e campanhas em todo o campus; substitui murais.</t>
  </si>
  <si>
    <t xml:space="preserve">Escola que mostra o futuro forma para o futuro.</t>
  </si>
  <si>
    <t xml:space="preserve">Painel de auditório, LED de fachada e pátio, totens informativos, painéis para ginásio.
KPIs: Conversão de visitas em matrícula, uso do auditório, alcance de comunicados.</t>
  </si>
  <si>
    <t xml:space="preserve">Museu do Amanhã</t>
  </si>
  <si>
    <t xml:space="preserve">Momento financeiro; Forma de pagamento; Fobia digital</t>
  </si>
  <si>
    <t xml:space="preserve">Vamos fazer a próxima visita de pais terminar em matrícula?
Próximo passo: Visita técnica ao auditório/pátio + simulação de payback por matrícula.</t>
  </si>
  <si>
    <t xml:space="preserve">Saúde (Hospitais, Clínicas e Laboratórios)</t>
  </si>
  <si>
    <t xml:space="preserve">Diretor Administrativo, Diretor de Marketing, Gerente de Hotelaria Hospitalar</t>
  </si>
  <si>
    <t xml:space="preserve">Eficiência operacional · Experiência · Branding</t>
  </si>
  <si>
    <t xml:space="preserve">Sala de espera ansiosa, informação desencontrada e marca que precisa transmitir confiança e tecnologia.
Custo de esperar: Paciente ansioso tem percepção pior do atendimento; percepção ruim vira avaliação negativa e perda de convênio/particular.</t>
  </si>
  <si>
    <t xml:space="preserve">Quanto tempo o seu paciente espera, e o que ele sente nesse tempo?</t>
  </si>
  <si>
    <t xml:space="preserve">Acolher o paciente com informação clara, reduzir a ansiedade da espera e mostrar a tecnologia que existe por trás do cuidado.
História: Recepção de laboratório: chamada por senha clara, tempo estimado, conteúdo de prevenção e a apresentação dos novos exames. A mesma espera, outra experiência.</t>
  </si>
  <si>
    <t xml:space="preserve">Receita: Divulgação de serviços e check-ups (cross-sell), patrocínio de indústria farmacêutica/saúde quando permitido.
Experiência: Ambiente acolhedor e moderno, comunicação de prevenção, sinalização clara.
Operação: Chamada de pacientes e wayfinding integrados, atualização remota em todas as unidades.</t>
  </si>
  <si>
    <t xml:space="preserve">Tecnologia que cuida começa na recepção.</t>
  </si>
  <si>
    <t xml:space="preserve">Painéis de recepção e chamada, totens de wayfinding, fachada, painéis em auditório para congressos.
KPIs: NPS da recepção, percepção de tempo de espera, vendas de check-ups divulgados.</t>
  </si>
  <si>
    <t xml:space="preserve">Insegurança técnica; Aprovação por financeiro; Consumo de energia</t>
  </si>
  <si>
    <t xml:space="preserve">Vamos transformar a espera do seu paciente em cuidado?
Próximo passo: Diagnóstico de jornada do paciente na unidade principal.</t>
  </si>
  <si>
    <t xml:space="preserve">Arenas, Estádios, Academias e Esportes</t>
  </si>
  <si>
    <t xml:space="preserve">Presidente/Diretor de clube, Gestor de arena, Dono de rede de academias, Marketing esportivo</t>
  </si>
  <si>
    <t xml:space="preserve">Entretenimento · Mídia · Experiência</t>
  </si>
  <si>
    <t xml:space="preserve">Patrocinador quer exposição medida, torcedor quer espetáculo e academia precisa reter aluno num mercado de preço.
Custo de esperar: Placa estática vende uma marca por vez; painel digital vende várias. Quem não digitaliza deixa receita de patrocínio na mesa.</t>
  </si>
  <si>
    <t xml:space="preserve">Quantos patrocinadores cabem em uma placa estática? E em um painel de LED?</t>
  </si>
  <si>
    <t xml:space="preserve">Transformar cada jogo, aula e treino em espetáculo e cada metro de placa em receita de patrocínio.
História: Placa de campo digital: no mesmo jogo, 20 patrocinadores em rotação, replay, gol em animação e a torcida filmando. O espaço é o mesmo; a receita multiplica.</t>
  </si>
  <si>
    <t xml:space="preserve">Receita: Mais cotas de patrocínio no mesmo espaço, ativações e naming de momentos (gol, intervalo).
Experiência: Espetáculo para torcedor e aluno; aulas coletivas imersivas; telão em arena.
Operação: Gestão de inserções e comprovação para patrocinadores; painéis resistentes para uso intenso.</t>
  </si>
  <si>
    <t xml:space="preserve">Placa estática vende uma marca. LED vende o jogo inteiro.</t>
  </si>
  <si>
    <t xml:space="preserve">Placas de campo (perimetrais), telões de arena, painéis para academias e salas de aulas coletivas.
KPIs: Número de cotas vendidas, receita de patrocínio, retenção de alunos, público.</t>
  </si>
  <si>
    <t xml:space="preserve">Crédito; Manutenção; Fabricação de estrutura metálica</t>
  </si>
  <si>
    <t xml:space="preserve">Vamos multiplicar a receita do seu espaço sem aumentar um metro?
Próximo passo: Simulação de inventário de patrocínio digital com os números do clube/arena.</t>
  </si>
  <si>
    <t xml:space="preserve">Poder Público e Mobiliário Urbano</t>
  </si>
  <si>
    <t xml:space="preserve">Secretário (Comunicação, Turismo, Mobilidade), Prefeito, Concessionárias de mobiliário urbano</t>
  </si>
  <si>
    <t xml:space="preserve">Mídia · Experiência · Retrofit / arquitetura</t>
  </si>
  <si>
    <t xml:space="preserve">Comunicar com o cidadão de forma rápida (alertas, serviços, eventos) e modernizar a cidade com orçamento limitado.
Custo de esperar: Comunicação lenta em emergências e cidade que não se valoriza turisticamente.</t>
  </si>
  <si>
    <t xml:space="preserve">Em uma emergência na sua cidade, quanto tempo leva para o cidadão na rua receber a informação?</t>
  </si>
  <si>
    <t xml:space="preserve">Uma cidade que informa, acolhe e se orgulha: tecnologia a serviço do cidadão.
História: Brasília ganhou um ícone: o Boulevard.Live, o maior painel de LED da América Latina. Um painel bem posicionado vira ponto turístico, canal de utilidade pública e mídia.</t>
  </si>
  <si>
    <t xml:space="preserve">Receita: Modelos de concessão/PPP em que a mídia comercial custeia o equipamento e o espaço público.
Experiência: Valorização turística, eventos públicos, orgulho da cidade.
Operação: Comunicação de utilidade pública em tempo real (trânsito, defesa civil, saúde).</t>
  </si>
  <si>
    <t xml:space="preserve">Cidade que informa é cidade que cuida.</t>
  </si>
  <si>
    <t xml:space="preserve">Mobiliário urbano digital, painéis de utilidade pública, telões para eventos públicos, painéis de turismo.
KPIs: Alcance da comunicação pública, receita de concessão, eventos realizados.</t>
  </si>
  <si>
    <t xml:space="preserve">Política local / licenças; Consumo de energia; SLA</t>
  </si>
  <si>
    <t xml:space="preserve">Vamos desenhar juntos o modelo que moderniza a cidade sem pesar no orçamento?
Próximo passo: Reunião técnica para apoiar termo de referência ou estudo de concessão.</t>
  </si>
  <si>
    <t xml:space="preserve">Mapa de Venda: propósito → diferencial → resultado</t>
  </si>
  <si>
    <t xml:space="preserve">Insight do time comercial. Descubra o propósito de compra e conduza a conversa pela linha dele.</t>
  </si>
  <si>
    <t xml:space="preserve">Propósito de compra</t>
  </si>
  <si>
    <t xml:space="preserve">O que o cliente quer</t>
  </si>
  <si>
    <t xml:space="preserve">Pergunta para identificar</t>
  </si>
  <si>
    <t xml:space="preserve">Diferenciais que provam</t>
  </si>
  <si>
    <t xml:space="preserve">Resultados que entrega</t>
  </si>
  <si>
    <t xml:space="preserve">Objeções típicas</t>
  </si>
  <si>
    <t xml:space="preserve">Nichos onde aparece</t>
  </si>
  <si>
    <t xml:space="preserve">Mídia</t>
  </si>
  <si>
    <t xml:space="preserve">Vender espaço na tela para anunciantes e transformar o painel em fonte de receita.</t>
  </si>
  <si>
    <t xml:space="preserve">Você pensa em vender espaço na tela para outras marcas?</t>
  </si>
  <si>
    <t xml:space="preserve">Veículo de mídia; Software e programática; Joint venture; Modelo comercial</t>
  </si>
  <si>
    <t xml:space="preserve">Monetização; aumento de receita; impacto</t>
  </si>
  <si>
    <t xml:space="preserve">Política local / licenças; Crédito; SLA</t>
  </si>
  <si>
    <t xml:space="preserve">Painel apagado é aluguel perdido.</t>
  </si>
  <si>
    <t xml:space="preserve">Postos de Combustível e Conveniência; DOOH e Investidores de Mídia; Shopping Centers; Arenas, Estádios, Academias e Esportes; Poder Público e Mobiliário Urbano</t>
  </si>
  <si>
    <t xml:space="preserve">Eficiência operacional</t>
  </si>
  <si>
    <t xml:space="preserve">Trocar impressos, reduzir retrabalho e atualizar a comunicação de várias unidades de um só lugar.</t>
  </si>
  <si>
    <t xml:space="preserve">Quanto tempo e dinheiro a sua equipe gasta hoje para trocar a comunicação?</t>
  </si>
  <si>
    <t xml:space="preserve">Software e programática; Solução 360; Capilaridade de atendimento</t>
  </si>
  <si>
    <t xml:space="preserve">Eficiência ops; economia; dinamismo; facilidade técnica</t>
  </si>
  <si>
    <t xml:space="preserve">Fobia digital; Gestão de conteúdo; Percepção de valor</t>
  </si>
  <si>
    <t xml:space="preserve">Supermercados, Atacarejos e Home Centers; Postos de Combustível e Conveniência; Franquias e Redes; Bares, Restaurantes e Food Service; Saúde (Hospitais, Clínicas e Laboratórios)</t>
  </si>
  <si>
    <t xml:space="preserve">Branding</t>
  </si>
  <si>
    <t xml:space="preserve">Fortalecer a marca e ser lembrado: a tela como assinatura visual da empresa.</t>
  </si>
  <si>
    <t xml:space="preserve">O que você quer que as pessoas lembrem da sua marca quando passam por aqui?</t>
  </si>
  <si>
    <t xml:space="preserve">Customização; Liderança; Prova social</t>
  </si>
  <si>
    <t xml:space="preserve">Empoderamento da mensagem; modernidade; diferencial competitivo</t>
  </si>
  <si>
    <t xml:space="preserve">Preço; Percepção de valor</t>
  </si>
  <si>
    <t xml:space="preserve">Toda empresa comunica. Poucas encantam.</t>
  </si>
  <si>
    <t xml:space="preserve">Varejo de Moda e Vitrines; Farmácias e Drogarias; Postos de Combustível e Conveniência; Concessionárias de Veículos; Franquias e Redes; Corporativo (Comunicação Interna e Recepções); Saúde (Hospitais, Clínicas e Laboratórios)</t>
  </si>
  <si>
    <t xml:space="preserve">Retrofit / arquitetura</t>
  </si>
  <si>
    <t xml:space="preserve">Modernizar fachadas, halls e prédios, integrando o LED ao projeto arquitetônico.</t>
  </si>
  <si>
    <t xml:space="preserve">Existe uma reforma ou um projeto de arquitetura em andamento?</t>
  </si>
  <si>
    <t xml:space="preserve">Customização; Única fábrica; Certificações; Garantias</t>
  </si>
  <si>
    <t xml:space="preserve">Beleza; modernidade; longevidade; qualidade</t>
  </si>
  <si>
    <t xml:space="preserve">Fabricação de estrutura metálica; Política local / licenças; Consumo de energia</t>
  </si>
  <si>
    <t xml:space="preserve">Rosewood; Museu do Amanhã</t>
  </si>
  <si>
    <t xml:space="preserve">O prédio vira mensagem.</t>
  </si>
  <si>
    <t xml:space="preserve">DOOH e Investidores de Mídia; Construtoras e Stands de Vendas; Corporativo (Comunicação Interna e Recepções); Poder Público e Mobiliário Urbano</t>
  </si>
  <si>
    <t xml:space="preserve">Retail media</t>
  </si>
  <si>
    <t xml:space="preserve">Fazer do ponto de venda um canal de mídia vendido para a indústria.</t>
  </si>
  <si>
    <t xml:space="preserve">A indústria já paga por exposição nas suas lojas? Ela pede comprovação?</t>
  </si>
  <si>
    <t xml:space="preserve">Software e programática; Modelo comercial; Joint venture</t>
  </si>
  <si>
    <t xml:space="preserve">Monetização; aumento do fluxo no PDV; aumento de receita</t>
  </si>
  <si>
    <t xml:space="preserve">Gestão de conteúdo; Aprovação por financeiro; Cenário mercadológico</t>
  </si>
  <si>
    <t xml:space="preserve">Supermercados, Atacarejos e Home Centers; Farmácias e Drogarias</t>
  </si>
  <si>
    <t xml:space="preserve">Trade</t>
  </si>
  <si>
    <t xml:space="preserve">Executar e comprovar as ações de trade marketing no PDV, no tempo certo.</t>
  </si>
  <si>
    <t xml:space="preserve">Como as campanhas de trade chegam às lojas hoje, e como você comprova a execução?</t>
  </si>
  <si>
    <t xml:space="preserve">Software e programática; Capilaridade de atendimento; Solução 360</t>
  </si>
  <si>
    <t xml:space="preserve">Aumento do fluxo no PDV; dinamismo; eficiência ops</t>
  </si>
  <si>
    <t xml:space="preserve">Gestão de conteúdo; Política comercial</t>
  </si>
  <si>
    <t xml:space="preserve">Campanha que chega atrasada não vende.</t>
  </si>
  <si>
    <t xml:space="preserve">Varejo de Moda e Vitrines; Supermercados, Atacarejos e Home Centers; Farmácias e Drogarias; Franquias e Redes</t>
  </si>
  <si>
    <t xml:space="preserve">Insumo de trabalho</t>
  </si>
  <si>
    <t xml:space="preserve">Usar o painel como ferramenta do dia a dia: palco, culto, aula, transmissão, evento.</t>
  </si>
  <si>
    <t xml:space="preserve">Com que frequência você precisa de tela para trabalhar (eventos, cultos, aulas, transmissões)?</t>
  </si>
  <si>
    <t xml:space="preserve">Locação / venda; Estoque; Acervo; Garantias</t>
  </si>
  <si>
    <t xml:space="preserve">Disponibilidade física; equipe técnica; garantia; facilidade técnica</t>
  </si>
  <si>
    <t xml:space="preserve">Manutenção; SLA; Insegurança técnica</t>
  </si>
  <si>
    <t xml:space="preserve">Ao vivo não tem segunda chance.</t>
  </si>
  <si>
    <t xml:space="preserve">Igrejas e Centros Religiosos; Eventos, Agências e Produtoras; Educação (Escolas, Faculdades e Universidades)</t>
  </si>
  <si>
    <t xml:space="preserve">Experiência</t>
  </si>
  <si>
    <t xml:space="preserve">Encantar o cliente, o visitante ou o colaborador e fazer o espaço ser lembrado.</t>
  </si>
  <si>
    <t xml:space="preserve">O que você quer que as pessoas sintam quando entram aqui?</t>
  </si>
  <si>
    <t xml:space="preserve">Customização; Solução 360; Prova social</t>
  </si>
  <si>
    <t xml:space="preserve">Impacto; fidelização; realização; inovação</t>
  </si>
  <si>
    <t xml:space="preserve">Animalia; Rosewood; Beto Carrero World; Museu do Amanhã</t>
  </si>
  <si>
    <t xml:space="preserve">Varejo de Moda e Vitrines; Shopping Centers; Concessionárias de Veículos; Construtoras e Stands de Vendas; Bares, Restaurantes e Food Service; Igrejas e Centros Religiosos; Hotéis, Parques, Clubes e Piscinas; Eventos, Agências e Produtoras; Educação (Escolas, Faculdades e Universidades); Saúde (Hospitais, Clínicas e Laboratórios); Arenas, Estádios, Academias e Esportes; Poder Público e Mobiliário Urbano</t>
  </si>
  <si>
    <t xml:space="preserve">Entretenimento</t>
  </si>
  <si>
    <t xml:space="preserve">Atrair e reter público com conteúdo, shows, jogos e atrações.</t>
  </si>
  <si>
    <t xml:space="preserve">Que tipo de atração faria o seu público voltar mais vezes?</t>
  </si>
  <si>
    <t xml:space="preserve">Customização; Acervo; Locação / venda</t>
  </si>
  <si>
    <t xml:space="preserve">Fidelização; impacto; aumento de receita; exclusividade</t>
  </si>
  <si>
    <t xml:space="preserve">Animalia; Beto Carrero World</t>
  </si>
  <si>
    <t xml:space="preserve">Quem encanta, faz voltar.</t>
  </si>
  <si>
    <t xml:space="preserve">Shopping Centers; Bares, Restaurantes e Food Service; Igrejas e Centros Religiosos; Hotéis, Parques, Clubes e Piscinas; Eventos, Agências e Produtoras; Arenas, Estádios, Academias e Esportes</t>
  </si>
  <si>
    <t xml:space="preserve">Ter o painel mais impressionante, a referência da cidade ou do setor.</t>
  </si>
  <si>
    <t xml:space="preserve">Que projeto de LED você viu e pensou: eu quero isso para nós?</t>
  </si>
  <si>
    <t xml:space="preserve">Liderança; Premiações; Pioneira; Customização</t>
  </si>
  <si>
    <t xml:space="preserve">Exclusividade; diferencial competitivo; inovação; realização</t>
  </si>
  <si>
    <t xml:space="preserve">Preço; Concorrência</t>
  </si>
  <si>
    <t xml:space="preserve">Rosewood</t>
  </si>
  <si>
    <t xml:space="preserve">Seja a referência que os outros vão copiar.</t>
  </si>
  <si>
    <t xml:space="preserve">DOOH e Investidores de Mídia; Concessionárias de Veículos; Construtoras e Stands de Vendas; Hotéis, Parques, Clubes e Piscinas; Corporativo (Comunicação Interna e Recepções); Educação (Escolas, Faculdades e Universidades)</t>
  </si>
  <si>
    <t xml:space="preserve">Diferenciais da LedWave</t>
  </si>
  <si>
    <t xml:space="preserve">Use 3 a 5 por apresentação, escolhidos pelo propósito de compra. 'Confirmar' = validar com o comercial antes de usar com cliente.</t>
  </si>
  <si>
    <t xml:space="preserve">Diferencial</t>
  </si>
  <si>
    <t xml:space="preserve">Prova / o que levar</t>
  </si>
  <si>
    <t xml:space="preserve">Joint venture</t>
  </si>
  <si>
    <t xml:space="preserve">Somamos forças com parceiros de mídia para entregar não só a tela, mas o negócio de mídia por trás dela.</t>
  </si>
  <si>
    <t xml:space="preserve">Nome e escopo da joint venture (ex.: WeOOH?)</t>
  </si>
  <si>
    <t xml:space="preserve">Confirmar</t>
  </si>
  <si>
    <t xml:space="preserve">Modelo comercial</t>
  </si>
  <si>
    <t xml:space="preserve">Montamos o modelo que cabe no seu negócio: compra, locação, mídia compartilhada ou combinações.</t>
  </si>
  <si>
    <t xml:space="preserve">Tabela de modelos comerciais</t>
  </si>
  <si>
    <t xml:space="preserve">Locação / venda</t>
  </si>
  <si>
    <t xml:space="preserve">Você escolhe: comprar, alugar ou começar alugando e depois comprar.</t>
  </si>
  <si>
    <t xml:space="preserve">Comparativo compra x locação</t>
  </si>
  <si>
    <t xml:space="preserve">Capilaridade de atendimento</t>
  </si>
  <si>
    <t xml:space="preserve">Atendemos o Brasil inteiro a partir de Goiânia, São Paulo e Brasília, e os EUA por Orlando.</t>
  </si>
  <si>
    <t xml:space="preserve">Mapa de atendimento e equipes</t>
  </si>
  <si>
    <t xml:space="preserve">Estoque</t>
  </si>
  <si>
    <t xml:space="preserve">Temos estoque próprio: menos espera entre a assinatura e a tela acesa.</t>
  </si>
  <si>
    <t xml:space="preserve">Prazo médio de entrega</t>
  </si>
  <si>
    <t xml:space="preserve">Confirmar prazos</t>
  </si>
  <si>
    <t xml:space="preserve">Acervo</t>
  </si>
  <si>
    <t xml:space="preserve">Um acervo amplo de modelos e formatos para cada aplicação: indoor, outdoor, curvo, transparente, piso.</t>
  </si>
  <si>
    <t xml:space="preserve">Catálogo de produtos / acervo de locação</t>
  </si>
  <si>
    <t xml:space="preserve">Confirmar significado</t>
  </si>
  <si>
    <t xml:space="preserve">Tempo de vida</t>
  </si>
  <si>
    <t xml:space="preserve">Mais de 15 anos de mercado e painéis feitos para durar.</t>
  </si>
  <si>
    <t xml:space="preserve">Ano de fundação + vida útil dos painéis</t>
  </si>
  <si>
    <t xml:space="preserve">Know-how</t>
  </si>
  <si>
    <t xml:space="preserve">Mais de 15 anos fabricando, instalando e operando painéis de LED: sabemos o que funciona em cada tipo de espaço, do PDV ao maior painel da América Latina.</t>
  </si>
  <si>
    <t xml:space="preserve">Histórico de projetos + Boulevard.Live</t>
  </si>
  <si>
    <t xml:space="preserve">Prova social</t>
  </si>
  <si>
    <t xml:space="preserve">Marcas como Nordestão, Rosewood, Beto Carrero World e Museu do Amanhã escolheram a LedWave.</t>
  </si>
  <si>
    <t xml:space="preserve">Cases e depoimentos</t>
  </si>
  <si>
    <t xml:space="preserve">Única fábrica</t>
  </si>
  <si>
    <t xml:space="preserve">Fabricamos no Brasil, com linha de produção própria em Goiânia.</t>
  </si>
  <si>
    <t xml:space="preserve">Confirmar se é a única fábrica do Brasil antes de dizer 'única'</t>
  </si>
  <si>
    <t xml:space="preserve">Certificações</t>
  </si>
  <si>
    <t xml:space="preserve">Produtos certificados e processos dentro das normas.</t>
  </si>
  <si>
    <t xml:space="preserve">Lista de certificações</t>
  </si>
  <si>
    <t xml:space="preserve">Confirmar lista</t>
  </si>
  <si>
    <t xml:space="preserve">Pioneira</t>
  </si>
  <si>
    <t xml:space="preserve">Fomos pioneiros em trazer a fabricação de painéis de LED para o Brasil.</t>
  </si>
  <si>
    <t xml:space="preserve">Histórico 2010/2011</t>
  </si>
  <si>
    <t xml:space="preserve">Solução 360</t>
  </si>
  <si>
    <t xml:space="preserve">Do projeto ao conteúdo: diagnóstico, fabricação, estrutura, instalação, software, conteúdo e suporte.</t>
  </si>
  <si>
    <t xml:space="preserve">Fluxo da solução</t>
  </si>
  <si>
    <t xml:space="preserve">Garantias</t>
  </si>
  <si>
    <t xml:space="preserve">Garantia de fábrica e suporte técnico próprio.</t>
  </si>
  <si>
    <t xml:space="preserve">Termos de garantia</t>
  </si>
  <si>
    <t xml:space="preserve">Customização</t>
  </si>
  <si>
    <t xml:space="preserve">Cada projeto é feito sob medida: formato, tamanho, resolução e acabamento.</t>
  </si>
  <si>
    <t xml:space="preserve">Projetos especiais (curvos, 3D, transparentes)</t>
  </si>
  <si>
    <t xml:space="preserve">Veículo de mídia</t>
  </si>
  <si>
    <t xml:space="preserve">A LedWave também opera mídia, como o Boulevard.Live, o maior painel de LED da América Latina.</t>
  </si>
  <si>
    <t xml:space="preserve">Boulevard.Live (1.125 m²)</t>
  </si>
  <si>
    <t xml:space="preserve">Software e programática</t>
  </si>
  <si>
    <t xml:space="preserve">Software de gestão de conteúdo e venda programática de mídia.</t>
  </si>
  <si>
    <t xml:space="preserve">Demonstração do software</t>
  </si>
  <si>
    <t xml:space="preserve">Confirmar nome do software</t>
  </si>
  <si>
    <t xml:space="preserve">Nº 1 do segmento de painéis de LED no ranking Exame Negócios em Expansão 2025.</t>
  </si>
  <si>
    <t xml:space="preserve">Ranking Exame</t>
  </si>
  <si>
    <t xml:space="preserve">Premiações</t>
  </si>
  <si>
    <t xml:space="preserve">Quatro anos seguidos no ranking Exame das empresas que mais crescem.</t>
  </si>
  <si>
    <t xml:space="preserve">Ranking Exame + outros prêmios</t>
  </si>
  <si>
    <t xml:space="preserve">Confirmar outros prêmios</t>
  </si>
  <si>
    <t xml:space="preserve">Objeções: resposta curta + prova</t>
  </si>
  <si>
    <t xml:space="preserve">Método: ouvir até o fim → acolher → explorar ('além disso, tem mais algo?') → responder com prova → confirmar.</t>
  </si>
  <si>
    <t xml:space="preserve">Categoria</t>
  </si>
  <si>
    <t xml:space="preserve">Objeção</t>
  </si>
  <si>
    <t xml:space="preserve">Resposta</t>
  </si>
  <si>
    <t xml:space="preserve">Leve / prova</t>
  </si>
  <si>
    <t xml:space="preserve">Funcionou?</t>
  </si>
  <si>
    <t xml:space="preserve">Variação que funcionou</t>
  </si>
  <si>
    <t xml:space="preserve">Percepção</t>
  </si>
  <si>
    <t xml:space="preserve">Fobia digital</t>
  </si>
  <si>
    <t xml:space="preserve">Atualizar a tela é tão simples quanto postar no Instagram. Treinamos a sua equipe, e a LedWave pode cuidar do conteúdo para você.</t>
  </si>
  <si>
    <t xml:space="preserve">Demonstração do software no celular</t>
  </si>
  <si>
    <t xml:space="preserve">Financeira</t>
  </si>
  <si>
    <t xml:space="preserve">Preço</t>
  </si>
  <si>
    <t xml:space="preserve">Vamos comparar o custo total: impressos, locações e vendas perdidas de um ano contra o investimento no painel, que fica com você por muitos anos.</t>
  </si>
  <si>
    <t xml:space="preserve">Planilha de custo total / payback</t>
  </si>
  <si>
    <t xml:space="preserve">Qualidade</t>
  </si>
  <si>
    <t xml:space="preserve">Venha ver de perto: fabricamos no Brasil, com garantia e suporte próprio. E marcas como Rosewood e Museu do Amanhã aprovaram essa qualidade.</t>
  </si>
  <si>
    <t xml:space="preserve">Visita ao showroom + cases</t>
  </si>
  <si>
    <t xml:space="preserve">Operacional</t>
  </si>
  <si>
    <t xml:space="preserve">Gestão de conteúdo</t>
  </si>
  <si>
    <t xml:space="preserve">Você não fica sozinho: entregamos o software, o treinamento e, se quiser, a produção e a programação do conteúdo.</t>
  </si>
  <si>
    <t xml:space="preserve">Pacote de conteúdo</t>
  </si>
  <si>
    <t xml:space="preserve">Fabricação de estrutura metálica</t>
  </si>
  <si>
    <t xml:space="preserve">A estrutura faz parte do projeto: dimensionamos, fabricamos e instalamos com responsabilidade técnica, sem você precisar de outro fornecedor.</t>
  </si>
  <si>
    <t xml:space="preserve">Projeto estrutural + ART</t>
  </si>
  <si>
    <t xml:space="preserve">Manutenção</t>
  </si>
  <si>
    <t xml:space="preserve">Temos equipe técnica e estoque de peças próprios, e oferecemos contrato de manutenção preventiva.</t>
  </si>
  <si>
    <t xml:space="preserve">Contrato de manutenção</t>
  </si>
  <si>
    <t xml:space="preserve">SLA</t>
  </si>
  <si>
    <t xml:space="preserve">O prazo de atendimento fica escrito no contrato. [Preencher prazos oficiais de SLA]</t>
  </si>
  <si>
    <t xml:space="preserve">Contrato com SLA</t>
  </si>
  <si>
    <t xml:space="preserve">Política comercial</t>
  </si>
  <si>
    <t xml:space="preserve">Explique as condições com transparência e leve a proposta já dentro da alçada aprovada, com alternativas.</t>
  </si>
  <si>
    <t xml:space="preserve">Tabela de condições</t>
  </si>
  <si>
    <t xml:space="preserve">Regulatória</t>
  </si>
  <si>
    <t xml:space="preserve">Política local / licenças</t>
  </si>
  <si>
    <t xml:space="preserve">Apoiamos o licenciamento: projeto técnico, documentação e orientação sobre as regras da sua cidade.</t>
  </si>
  <si>
    <t xml:space="preserve">Checklist de licenciamento</t>
  </si>
  <si>
    <t xml:space="preserve">Forma de pagamento</t>
  </si>
  <si>
    <t xml:space="preserve">Temos opções: à vista, parcelado, financiamento e locação. Montamos a que cabe no seu fluxo de caixa.</t>
  </si>
  <si>
    <t xml:space="preserve">Simulação de pagamento</t>
  </si>
  <si>
    <t xml:space="preserve">Política de pagamento / locação / WDC</t>
  </si>
  <si>
    <t xml:space="preserve">[Confirmar o que é WDC] Apresente as regras de pagamento e locação de forma simples, com um exemplo numérico.</t>
  </si>
  <si>
    <t xml:space="preserve">Momento financeiro</t>
  </si>
  <si>
    <t xml:space="preserve">Podemos começar por um piloto ou pela locação, que vira despesa mensal em vez de investimento, e crescer por fases.</t>
  </si>
  <si>
    <t xml:space="preserve">Proposta em fases</t>
  </si>
  <si>
    <t xml:space="preserve">Cenário mercadológico</t>
  </si>
  <si>
    <t xml:space="preserve">Em mercado difícil, quem se destaca no ponto de venda ganha participação. E a mídia digital fora de casa segue crescendo no Brasil.</t>
  </si>
  <si>
    <t xml:space="preserve">Dados de mercado (DOOH, retail media)</t>
  </si>
  <si>
    <t xml:space="preserve">Crédito</t>
  </si>
  <si>
    <t xml:space="preserve">Trabalhamos com parceiros de financiamento e com locação, que exige menos crédito do que a compra.</t>
  </si>
  <si>
    <t xml:space="preserve">Parceiros de financiamento</t>
  </si>
  <si>
    <t xml:space="preserve">Insegurança técnica</t>
  </si>
  <si>
    <t xml:space="preserve">Fazemos a visita técnica, mostramos a especificação certa para o seu espaço e você vê uma demonstração antes de decidir.</t>
  </si>
  <si>
    <t xml:space="preserve">Visita técnica + demonstração</t>
  </si>
  <si>
    <t xml:space="preserve">Decisão</t>
  </si>
  <si>
    <t xml:space="preserve">Aprovação por financeiro</t>
  </si>
  <si>
    <t xml:space="preserve">Preparo um resumo de uma página com investimento, retorno e prazo, e apresento junto com você para o financeiro.</t>
  </si>
  <si>
    <t xml:space="preserve">Business case de 1 página</t>
  </si>
  <si>
    <t xml:space="preserve">Concorrência</t>
  </si>
  <si>
    <t xml:space="preserve">Compare fábrica, estoque, equipe técnica, garantia e cases. O mais barato que apaga custa mais caro.</t>
  </si>
  <si>
    <t xml:space="preserve">Comparativo técnico</t>
  </si>
  <si>
    <t xml:space="preserve">Percepção de valor</t>
  </si>
  <si>
    <t xml:space="preserve">O valor não está na tela, está no que ela gera: receita de mídia, economia de impressos, fluxo e marca. Vamos colocar esses números lado a lado.</t>
  </si>
  <si>
    <t xml:space="preserve">Cases com resultado</t>
  </si>
  <si>
    <t xml:space="preserve">Consumo de energia</t>
  </si>
  <si>
    <t xml:space="preserve">O LED é eficiente, e o projeto inclui ajuste automático de brilho e programação de horário. Calculamos o consumo real do seu painel na proposta.</t>
  </si>
  <si>
    <t xml:space="preserve">Cálculo de consumo no projeto</t>
  </si>
  <si>
    <t xml:space="preserve">Vou pensar.</t>
  </si>
  <si>
    <t xml:space="preserve">Claro. Para te ajudar a pensar: o que falta para você ter certeza? É o investimento, o retorno ou o projeto técnico?</t>
  </si>
  <si>
    <t xml:space="preserve">Pergunta de isolamento</t>
  </si>
  <si>
    <t xml:space="preserve">Já tenho TV / monitor.</t>
  </si>
  <si>
    <t xml:space="preserve">TV comunica de perto; LED encanta de longe. Brilho, escala, durabilidade e formato livre são outra categoria de resultado.</t>
  </si>
  <si>
    <t xml:space="preserve">Demonstração lado a lado</t>
  </si>
  <si>
    <t xml:space="preserve">Preciso falar com meu sócio / diretoria.</t>
  </si>
  <si>
    <t xml:space="preserve">Ótimo. Posso preparar um resumo executivo de uma página e, se fizer sentido, apresento junto com você.</t>
  </si>
  <si>
    <t xml:space="preserve">Resumo executivo de 1 página</t>
  </si>
  <si>
    <t xml:space="preserve">Nicho: Varejo de Moda e Vitrines</t>
  </si>
  <si>
    <t xml:space="preserve">Painel de LED é caro para uma loja só.</t>
  </si>
  <si>
    <t xml:space="preserve">Compare com o custo de 12 meses de impressos, instalação e mídia local. O painel substitui esses custos e ainda fica com você. Podemos montar a conta juntos agora.</t>
  </si>
  <si>
    <t xml:space="preserve">Nicho: Supermercados, Atacarejos e Home Centers</t>
  </si>
  <si>
    <t xml:space="preserve">Não tenho equipe para gerenciar conteúdo e vender mídia.</t>
  </si>
  <si>
    <t xml:space="preserve">Por isso a LedWave entrega a solução completa: tela, gestão de conteúdo e modelo de negócio. Você cuida da loja, nós ajudamos a operar a mídia.</t>
  </si>
  <si>
    <t xml:space="preserve">Nicho: Farmácias e Drogarias</t>
  </si>
  <si>
    <t xml:space="preserve">A fachada da farmácia tem regras de padronização da rede/franquia.</t>
  </si>
  <si>
    <t xml:space="preserve">Trabalhamos com o manual da marca: o painel vira parte da identidade, não uma exceção a ela. Levamos a proposta pronta para aprovação do franqueador.</t>
  </si>
  <si>
    <t xml:space="preserve">Nicho: Postos de Combustível e Conveniência</t>
  </si>
  <si>
    <t xml:space="preserve">Meu cliente só olha preço.</t>
  </si>
  <si>
    <t xml:space="preserve">Exatamente: e o painel mostra o preço melhor, mais longe e mais rápido. O que vem depois do preço (café, lavagem, mídia) é margem extra que hoje você não captura.</t>
  </si>
  <si>
    <t xml:space="preserve">Nicho: DOOH e Investidores de Mídia</t>
  </si>
  <si>
    <t xml:space="preserve">O payback é longo e o risco é alto.</t>
  </si>
  <si>
    <t xml:space="preserve">Por isso o projeto começa pelo ponto, não pelo painel: fluxo, visibilidade, licenciamento e plano comercial. Com fabricante que também opera mídia, o risco técnico cai.</t>
  </si>
  <si>
    <t xml:space="preserve">Nicho: Shopping Centers</t>
  </si>
  <si>
    <t xml:space="preserve">Já temos TVs espalhadas pelo mall.</t>
  </si>
  <si>
    <t xml:space="preserve">TV comunica; LED de grande formato encanta. Escala, brilho e formato livre criam momentos que uma TV não cria, e é isso que vende mídia premium.</t>
  </si>
  <si>
    <t xml:space="preserve">Nicho: Concessionárias de Veículos</t>
  </si>
  <si>
    <t xml:space="preserve">A montadora define o padrão do showroom.</t>
  </si>
  <si>
    <t xml:space="preserve">O painel recebe o conteúdo oficial da montadora e respeita o padrão visual. Podemos apresentar a proposta junto à regional da marca.</t>
  </si>
  <si>
    <t xml:space="preserve">Nicho: Construtoras e Stands de Vendas</t>
  </si>
  <si>
    <t xml:space="preserve">O stand é temporário, não compensa comprar.</t>
  </si>
  <si>
    <t xml:space="preserve">Temos locação e também compra com reaproveitamento: o mesmo painel vai do stand para o próximo lançamento ou para o hall do prédio entregue.</t>
  </si>
  <si>
    <t xml:space="preserve">Nicho: Franquias e Redes</t>
  </si>
  <si>
    <t xml:space="preserve">O franqueado não vai querer pagar.</t>
  </si>
  <si>
    <t xml:space="preserve">Mostramos ao franqueado a conta: economia de impressos + venda adicional. E temos modelos de financiamento e de kit de abertura que diluem o investimento.</t>
  </si>
  <si>
    <t xml:space="preserve">Nicho: Bares, Restaurantes e Food Service</t>
  </si>
  <si>
    <t xml:space="preserve">Meu restaurante é pequeno para isso.</t>
  </si>
  <si>
    <t xml:space="preserve">O painel é dimensionado para o seu espaço. Começamos pelo menu board ou pela fachada, onde o retorno é mais rápido.</t>
  </si>
  <si>
    <t xml:space="preserve">Nicho: Igrejas e Centros Religiosos</t>
  </si>
  <si>
    <t xml:space="preserve">Precisamos aprovar com a comunidade / fazer campanha de arrecadação.</t>
  </si>
  <si>
    <t xml:space="preserve">Preparamos material para a apresentação ao conselho e à comunidade, com simulação do templo, e opções de parcelamento compatíveis com campanhas.</t>
  </si>
  <si>
    <t xml:space="preserve">Nicho: Hotéis, Parques, Clubes e Piscinas</t>
  </si>
  <si>
    <t xml:space="preserve">Já alugamos telão quando há evento.</t>
  </si>
  <si>
    <t xml:space="preserve">Somando as locações de um ano, o painel próprio costuma se pagar rápido, e ainda vira diferencial de venda do seu espaço. Vamos fazer essa conta com os seus números?</t>
  </si>
  <si>
    <t xml:space="preserve">Nicho: Eventos, Agências e Produtoras</t>
  </si>
  <si>
    <t xml:space="preserve">Tenho fornecedor mais barato.</t>
  </si>
  <si>
    <t xml:space="preserve">Mais barato até o momento em que a tela apaga ao vivo. Compare estoque, equipe técnica, backup e histórico de entregas. Segurança também tem preço, e ela é mais barata que perder um cliente.</t>
  </si>
  <si>
    <t xml:space="preserve">Nicho: Corporativo (Comunicação Interna e Recepções)</t>
  </si>
  <si>
    <t xml:space="preserve">Não é prioridade no orçamento deste ano.</t>
  </si>
  <si>
    <t xml:space="preserve">Podemos começar pelo ponto de maior impacto (recepção ou fábrica) e planejar as próximas fases para o orçamento seguinte.</t>
  </si>
  <si>
    <t xml:space="preserve">Nicho: Educação (Escolas, Faculdades e Universidades)</t>
  </si>
  <si>
    <t xml:space="preserve">Orçamento de escola é apertado.</t>
  </si>
  <si>
    <t xml:space="preserve">Por isso olhamos para o retorno: uma matrícula a mais por turma já paga parte do investimento, e o auditório pode gerar receita com locação.</t>
  </si>
  <si>
    <t xml:space="preserve">Nicho: Saúde (Hospitais, Clínicas e Laboratórios)</t>
  </si>
  <si>
    <t xml:space="preserve">Ambiente de saúde tem restrições técnicas e normativas.</t>
  </si>
  <si>
    <t xml:space="preserve">Dimensionamos brilho, instalação e conteúdo para o ambiente, seguindo as normas e as orientações da equipe de engenharia clínica.</t>
  </si>
  <si>
    <t xml:space="preserve">Nicho: Arenas, Estádios, Academias e Esportes</t>
  </si>
  <si>
    <t xml:space="preserve">O investimento inicial é alto para o clube.</t>
  </si>
  <si>
    <t xml:space="preserve">Desenhamos o projeto com os patrocinadores: as novas cotas digitais ajudam a pagar o painel. Podemos estruturar a conta com o seu comercial.</t>
  </si>
  <si>
    <t xml:space="preserve">Nicho: Poder Público e Mobiliário Urbano</t>
  </si>
  <si>
    <t xml:space="preserve">Precisa passar por licitação.</t>
  </si>
  <si>
    <t xml:space="preserve">Temos equipe dedicada a licitações e apoiamos na especificação técnica correta, para que a cidade compre qualidade e não apenas o menor preço.</t>
  </si>
  <si>
    <t xml:space="preserve">Cases de referência</t>
  </si>
  <si>
    <t xml:space="preserve">Preencha desafio, entrega e resultado: é isso que entra nas apresentações. Só use com cliente após autorização.</t>
  </si>
  <si>
    <t xml:space="preserve">Case</t>
  </si>
  <si>
    <t xml:space="preserve">Desafio do cliente</t>
  </si>
  <si>
    <t xml:space="preserve">O que a LedWave entregou</t>
  </si>
  <si>
    <t xml:space="preserve">Resultado</t>
  </si>
  <si>
    <t xml:space="preserve">Autorizado?</t>
  </si>
  <si>
    <t xml:space="preserve">Retail media; Trade; Eficiência operacional</t>
  </si>
  <si>
    <t xml:space="preserve">Detalhar</t>
  </si>
  <si>
    <t xml:space="preserve">Animalia</t>
  </si>
  <si>
    <t xml:space="preserve">Entretenimento; Experiência</t>
  </si>
  <si>
    <t xml:space="preserve">Confirmar segmento e detalhar</t>
  </si>
  <si>
    <t xml:space="preserve">Status; Experiência; Retrofit / arquitetura</t>
  </si>
  <si>
    <t xml:space="preserve">Beto Carrero World</t>
  </si>
  <si>
    <t xml:space="preserve">Cestto</t>
  </si>
  <si>
    <t xml:space="preserve">[Confirmar segmento]</t>
  </si>
  <si>
    <t xml:space="preserve">Experiência; Retrofit / arquitetura</t>
  </si>
  <si>
    <t xml:space="preserve">Descoberta e orçamento por nicho</t>
  </si>
  <si>
    <t xml:space="preserve">Perguntas SPIN (faça poucas de Situação, mais de Implicação) e o que levantar para orçar certo.</t>
  </si>
  <si>
    <t xml:space="preserve">S · Situação</t>
  </si>
  <si>
    <t xml:space="preserve">P · Problema</t>
  </si>
  <si>
    <t xml:space="preserve">I · Implicação</t>
  </si>
  <si>
    <t xml:space="preserve">N · Necessidade</t>
  </si>
  <si>
    <t xml:space="preserve">Dados para orçar</t>
  </si>
  <si>
    <t xml:space="preserve">Armadilha de orçamento</t>
  </si>
  <si>
    <t xml:space="preserve">Quantas lojas vocês têm e quantas trocas de coleção/campanha fazem por ano? Como a vitrine é produzida hoje?</t>
  </si>
  <si>
    <t xml:space="preserve">O que mais atrasa ou encarece uma troca de vitrine? Já perderam uma promoção por não dar tempo de imprimir?</t>
  </si>
  <si>
    <t xml:space="preserve">Se a vitrine fica a mesma por semanas, o que acontece com o fluxo de quem passa todo dia na frente? Quanto isso pesa na venda da coleção nova?</t>
  </si>
  <si>
    <t xml:space="preserve">Se você pudesse trocar a vitrine de todas as lojas pelo celular, em minutos, o que faria diferente na próxima campanha?</t>
  </si>
  <si>
    <t xml:space="preserve">Medidas da vitrine; vidro (painel atrás do vidro = alto brilho ou LED transparente); incidência de sol; horário de funcionamento; distância da calçada; nº de lojas.
Qualificação: Quem aprova (marketing ou dono)? Orçamento por loja ou para a rede? Data da próxima coleção?</t>
  </si>
  <si>
    <t xml:space="preserve">Orçar brilho de indoor para vitrine com sol direto; esquecer o calendário de coleções como prazo.</t>
  </si>
  <si>
    <t xml:space="preserve">Quantas lojas e checkouts? Como as ofertas são comunicadas hoje? A indústria investe em trade nas suas lojas?</t>
  </si>
  <si>
    <t xml:space="preserve">Quanto tempo leva para uma oferta sair do comercial e chegar à gôndola? O fornecedor pede comprovação de exposição?</t>
  </si>
  <si>
    <t xml:space="preserve">Quanto de verba de trade vira papel que ninguém mede? Quanto você deixa de faturar por não vender mídia dentro da loja?</t>
  </si>
  <si>
    <t xml:space="preserve">Se as telas fossem pagas pela indústria e ainda gerassem receita, quantas lojas você colocaria no piloto?</t>
  </si>
  <si>
    <t xml:space="preserve">Nº de lojas e checkouts; pontos (entrada, gôndola, checkout, fachada); infraestrutura de rede/energia; integração com preços.
Qualificação: Trade/marketing ou operações decide? Indústria vai cofinanciar? Piloto em quantas lojas?</t>
  </si>
  <si>
    <t xml:space="preserve">Orçar só hardware sem modelo de retail media e gestão de conteúdo.</t>
  </si>
  <si>
    <t xml:space="preserve">Quantas lojas, e quantas abrem por ano? Como funciona a parceria com a indústria hoje?</t>
  </si>
  <si>
    <t xml:space="preserve">Como vocês se diferenciam das farmácias concorrentes na mesma rua? Campanhas sazonais chegam a tempo em todas as lojas?</t>
  </si>
  <si>
    <t xml:space="preserve">Se o cliente escolhe a farmácia mais visível, quanto fluxo vocês perdem por ter fachada igual às outras? E quanto a indústria investiria se tivesse onde?</t>
  </si>
  <si>
    <t xml:space="preserve">Uma rede de telas que se paga com a indústria e destaca a sua fachada ajudaria na meta deste ano?</t>
  </si>
  <si>
    <t xml:space="preserve">Fachada (medidas, manual da marca); áreas internas; nº de lojas e aberturas; regras do franqueador.
Qualificação: Franqueador aprova? Indústria cofinancia? Meta de rollout?</t>
  </si>
  <si>
    <t xml:space="preserve">Ignorar manual de marca e aprovação do franqueador.</t>
  </si>
  <si>
    <t xml:space="preserve">Quantos postos, qual o fluxo diário da via, qual o peso da conveniência no resultado?</t>
  </si>
  <si>
    <t xml:space="preserve">Como o preço é atualizado hoje? A conveniência é vista da pista? Algum anunciante local já procurou vocês?</t>
  </si>
  <si>
    <t xml:space="preserve">Quantos motoristas passam reto por não verem o preço ou a oferta a tempo? Quanto vale um ponto a mais de conversão da pista?</t>
  </si>
  <si>
    <t xml:space="preserve">Se o mesmo totem mostrasse preço, promoção da conveniência e ainda vendesse mídia, como isso mudaria a margem do posto?</t>
  </si>
  <si>
    <t xml:space="preserve">Totem existente (medidas, estrutura); distância e velocidade da via; exposição a sol/chuva (IP65); bandeira e regras da distribuidora.
Qualificação: Proprietário decide sozinho? Bandeira exige padrão? Prazo da reforma?</t>
  </si>
  <si>
    <t xml:space="preserve">Pixel pitch fino demais (caro e desnecessário para leitura a distância); esquecer aprovação da bandeira.</t>
  </si>
  <si>
    <t xml:space="preserve">Quantos pontos opera, em quais praças, com que ocupação média? Quem é seu fornecedor atual?</t>
  </si>
  <si>
    <t xml:space="preserve">Quanto tempo de tela apagada teve no último ano? Qual a maior dificuldade: ponto, licenciamento, venda ou manutenção?</t>
  </si>
  <si>
    <t xml:space="preserve">Quanto custou em receita cada dia de tela apagada? Quantos pontos bons a concorrência ocupou enquanto você decidia?</t>
  </si>
  <si>
    <t xml:space="preserve">Um parceiro que fabrica, mantém e entende de operação de mídia aceleraria o seu plano de expansão?</t>
  </si>
  <si>
    <t xml:space="preserve">Ponto (endereço, fluxo, ângulo, distância); estrutura e laudo; licenciamento municipal; energia; horas de operação/dia.
Qualificação: Capital próprio ou financiado? Expectativa de payback? Já tem anunciantes?</t>
  </si>
  <si>
    <t xml:space="preserve">Orçar o painel sem validar licença e estrutura; subestimar manutenção e uptime.</t>
  </si>
  <si>
    <t xml:space="preserve">Qual o fluxo mensal, quais as datas mais fortes e como está a receita de mall media?</t>
  </si>
  <si>
    <t xml:space="preserve">O mall media atual é fácil de vender? O shopping tem um ponto de experiência que gera visita espontânea?</t>
  </si>
  <si>
    <t xml:space="preserve">Se o shopping não é destino, quanto da visita migra para o online ou para o concorrente? Quanto inventário de mídia fica sem venda?</t>
  </si>
  <si>
    <t xml:space="preserve">Uma experiência-âncora que gera fluxo e mídia premium ajudaria no próximo Natal?</t>
  </si>
  <si>
    <t xml:space="preserve">Local (praça, empena, fachada); medidas; formato (curvo, 3D anamórfico); distância do público; integração com mall media.
Qualificação: Superintendência ou administradora aprova? Orçamento CAPEX do ano? Data-alvo (Natal)?</t>
  </si>
  <si>
    <t xml:space="preserve">Perder a janela de aprovação do orçamento anual do shopping.</t>
  </si>
  <si>
    <t xml:space="preserve">Quantas lojas e marcas? Quantos lançamentos por ano? Como é o showroom hoje?</t>
  </si>
  <si>
    <t xml:space="preserve">O cliente chega já decidido pela internet? O que o showroom oferece que o site não oferece?</t>
  </si>
  <si>
    <t xml:space="preserve">Quantas vendas se perdem quando o cliente sai do showroom sem emoção? Quanto custa cada evento de lançamento sem estrutura própria?</t>
  </si>
  <si>
    <t xml:space="preserve">Se o showroom pudesse colocar o cliente na estrada antes do test-drive, como isso afetaria a conversão?</t>
  </si>
  <si>
    <t xml:space="preserve">Parede do showroom (medidas); distância de visualização; fachada; necessidade de painel móvel para eventos.
Qualificação: Grupo ou loja decide? Montadora cofinancia? Próximo lançamento?</t>
  </si>
  <si>
    <t xml:space="preserve">Não envolver a regional da montadora.</t>
  </si>
  <si>
    <t xml:space="preserve">Quantos lançamentos e qual o VGV do próximo? Quanto tempo dura um stand?</t>
  </si>
  <si>
    <t xml:space="preserve">O visitante entende o empreendimento só com maquete e perspectivas? Qual a conversão de visita em proposta?</t>
  </si>
  <si>
    <t xml:space="preserve">Cada mês a mais de ciclo de vendas custa quanto em custo financeiro da obra? Quantas visitas saem sem se imaginar no imóvel?</t>
  </si>
  <si>
    <t xml:space="preserve">Se o stand fizesse o cliente viver o apartamento e o painel fosse reaproveitado nos próximos lançamentos, faria sentido avaliar?</t>
  </si>
  <si>
    <t xml:space="preserve">Medidas do stand e do tapume; tempo de permanência; reaproveitamento previsto; outdoor x indoor.
Qualificação: Incorporação ou marketing decide? Compra ou locação? Data do lançamento?</t>
  </si>
  <si>
    <t xml:space="preserve">Orçar compra quando o caso é locação (ou vice-versa) sem mostrar o comparativo.</t>
  </si>
  <si>
    <t xml:space="preserve">Quantas unidades, quantas aberturas previstas, qual o kit de abertura hoje?</t>
  </si>
  <si>
    <t xml:space="preserve">Quanto tempo leva para uma campanha nacional chegar a todas as lojas? Os franqueados aplicam o material corretamente?</t>
  </si>
  <si>
    <t xml:space="preserve">Qual o custo de uma campanha impressa multiplicado pelo número de lojas? O que a inconsistência faz com o valor da marca?</t>
  </si>
  <si>
    <t xml:space="preserve">Se uma campanha chegasse a todas as lojas em um clique, padronizada, quanto isso valeria para a rede e para o franqueado?</t>
  </si>
  <si>
    <t xml:space="preserve">Formatos de loja; nº de unidades e aberturas; padrão visual; quem paga (franqueador/franqueado).
Qualificação: Diretor de expansão aprova kit? Fornecedor homologado? Financiamento ao franqueado?</t>
  </si>
  <si>
    <t xml:space="preserve">Orçar loja a loja em vez de um kit padrão homologado.</t>
  </si>
  <si>
    <t xml:space="preserve">Quantas casas, quais turnos, transmitem jogos/eventos? Como é o cardápio hoje?</t>
  </si>
  <si>
    <t xml:space="preserve">Quantas vezes por ano reimprimem o cardápio? Os pratos de maior margem estão em destaque?</t>
  </si>
  <si>
    <t xml:space="preserve">Quanto deixam de ganhar quando o cliente pede o item de menor margem por falta de destaque? Quanto custam as reimpressões?</t>
  </si>
  <si>
    <t xml:space="preserve">Se o cardápio mudasse sozinho por turno e destacasse o que dá mais lucro, quanto isso mudaria no ticket médio?</t>
  </si>
  <si>
    <t xml:space="preserve">Pontos (menu board, fachada, salão); medidas; distância do balcão; horas de operação.
Qualificação: Dono decide? Orçamento por casa? Abertura/reforma prevista?</t>
  </si>
  <si>
    <t xml:space="preserve">Superdimensionar; menu board precisa de leitura de perto (pitch mais fino).</t>
  </si>
  <si>
    <t xml:space="preserve">Qual a capacidade do templo e a distância do palco ao último banco? Vocês transmitem online? Usam projetor?</t>
  </si>
  <si>
    <t xml:space="preserve">Quem está no fundo consegue ler as letras e ver o pregador? A transmissão tem a qualidade que vocês gostariam?</t>
  </si>
  <si>
    <t xml:space="preserve">Quando as pessoas não enxergam bem, o que acontece com a participação no louvor e na mensagem? E com a audiência online?</t>
  </si>
  <si>
    <t xml:space="preserve">Se toda a comunidade, presente e online, visse a mensagem com clareza, como isso fortaleceria o ministério?</t>
  </si>
  <si>
    <t xml:space="preserve">Largura e altura do palco; distância ao primeiro e ao último banco; iluminação; transmissão; estrutura (piso ou suspenso).
Qualificação: Pastor, conselho ou assembleia aprova? Campanha de arrecadação? Data (Páscoa, Natal, conferência)?</t>
  </si>
  <si>
    <t xml:space="preserve">Ignorar a distância do primeiro banco (define o pitch); não preparar material para o conselho.</t>
  </si>
  <si>
    <t xml:space="preserve">Quantos eventos por mês, quais espaços, quanto gastam ou repassam em locação de telão?</t>
  </si>
  <si>
    <t xml:space="preserve">Já perderam eventos para concorrentes com melhor estrutura? A área de lazer tem programação noturna?</t>
  </si>
  <si>
    <t xml:space="preserve">Quanto somam as locações no ano? Quanto vale um evento corporativo perdido?</t>
  </si>
  <si>
    <t xml:space="preserve">Uma estrutura fixa que vira diferencial de venda e gera novos produtos de lazer faria sentido no plano do ano?</t>
  </si>
  <si>
    <t xml:space="preserve">Espaços (salões, piscina, área aberta); outdoor (IP65); medidas; histórico de locações.
Qualificação: Gerente geral ou conselho? CAPEX ou OPEX? Alta temporada?</t>
  </si>
  <si>
    <t xml:space="preserve">Orçar indoor para área aberta/molhada.</t>
  </si>
  <si>
    <t xml:space="preserve">Quantos eventos por mês, que formatos, quem fornece hoje?</t>
  </si>
  <si>
    <t xml:space="preserve">Já tiveram falha técnica ao vivo? O fornecedor atual dá conta de jobs simultâneos e de outras praças?</t>
  </si>
  <si>
    <t xml:space="preserve">O que uma falha ao vivo custou em relação com o cliente final? Quantos jobs deixaram de pegar por falta de estrutura?</t>
  </si>
  <si>
    <t xml:space="preserve">Um parceiro com estoque, equipe e backup próprios permitiria aceitar jobs maiores com tranquilidade?</t>
  </si>
  <si>
    <t xml:space="preserve">Datas, local, montagem/desmontagem; medidas; formato; conteúdo; operação técnica; backup.
Qualificação: Quem é o cliente final? Orçamento fechado do job? Prazo de aprovação?</t>
  </si>
  <si>
    <t xml:space="preserve">Esquecer frete, montagem, técnico e processador no orçamento de locação.</t>
  </si>
  <si>
    <t xml:space="preserve">Quantas unidades e colaboradores? Quantos não têm e-mail corporativo? Como é a recepção e o auditório?</t>
  </si>
  <si>
    <t xml:space="preserve">A comunicação interna chega a todos? A recepção mostra quem vocês são?</t>
  </si>
  <si>
    <t xml:space="preserve">O que a falta de informação causa em engajamento, segurança e produtividade? Que impressão o visitante leva?</t>
  </si>
  <si>
    <t xml:space="preserve">Se a cultura e os resultados estivessem visíveis em todas as unidades, o que mudaria no clima e na percepção de clientes?</t>
  </si>
  <si>
    <t xml:space="preserve">Pontos (recepção, auditório, fábrica, refeitório); nº de unidades; integração com TI; segurança da informação.
Qualificação: RH, comunicação ou facilities? Ciclo de orçamento anual? TI precisa homologar?</t>
  </si>
  <si>
    <t xml:space="preserve">Não envolver TI cedo (integração e segurança).</t>
  </si>
  <si>
    <t xml:space="preserve">Quantos alunos e unidades, quantas visitas de captação por ano, existe auditório?</t>
  </si>
  <si>
    <t xml:space="preserve">Qual a conversão de visita em matrícula? A infraestrutura é citada pelos pais como critério?</t>
  </si>
  <si>
    <t xml:space="preserve">Quanto vale cada matrícula perdida ao longo dos anos de curso? Quanto gastam em locação para formaturas e eventos?</t>
  </si>
  <si>
    <t xml:space="preserve">Se o auditório e o pátio mostrassem inovação na visita dos pais, como ficaria a captação?</t>
  </si>
  <si>
    <t xml:space="preserve">Auditório (medidas, distância); pátio/fachada; ginásio; uso em eventos.
Qualificação: Mantenedor decide? Orçamento antes do período de matrículas?</t>
  </si>
  <si>
    <t xml:space="preserve">Perder o timing da campanha de matrículas.</t>
  </si>
  <si>
    <t xml:space="preserve">Quantas unidades, fluxo diário de pacientes e tempo médio de espera?</t>
  </si>
  <si>
    <t xml:space="preserve">Como os pacientes avaliam a recepção? A sinalização e a chamada são claras?</t>
  </si>
  <si>
    <t xml:space="preserve">O que a ansiedade na espera faz com o NPS e as avaliações online? Quantos serviços o paciente desconhece?</t>
  </si>
  <si>
    <t xml:space="preserve">Uma recepção que informa, acalma e divulga serviços ajudaria nas metas de satisfação e de receita?</t>
  </si>
  <si>
    <t xml:space="preserve">Recepções e corredores; distância de leitura; integração com sistema de senhas; normas da engenharia clínica.
Qualificação: Diretoria administrativa ou marketing? Processo de compras/cotação formal?</t>
  </si>
  <si>
    <t xml:space="preserve">Ignorar integração com sistema de chamada e normas internas.</t>
  </si>
  <si>
    <t xml:space="preserve">Quantos jogos/eventos/alunos? Quantos patrocinadores hoje e como entregam exposição?</t>
  </si>
  <si>
    <t xml:space="preserve">Há fila de patrocinadores sem espaço? O patrocinador pede comprovação?</t>
  </si>
  <si>
    <t xml:space="preserve">Quanto de receita de patrocínio fica na mesa por limitação de placas estáticas?</t>
  </si>
  <si>
    <t xml:space="preserve">Se o mesmo espaço comportasse 10x mais cotas com comprovação, quanto isso pagaria do investimento?</t>
  </si>
  <si>
    <t xml:space="preserve">Perímetro de campo (metros lineares); telão; distância da arquibancada; resistência a impacto; outdoor.
Qualificação: Diretoria do clube/arena? Patrocinadores envolvidos? Calendário de jogos?</t>
  </si>
  <si>
    <t xml:space="preserve">Não estruturar o modelo de patrocínio junto com o orçamento.</t>
  </si>
  <si>
    <t xml:space="preserve">Quais canais de comunicação com o cidadão existem? Há concessões ou projetos de cidade inteligente?</t>
  </si>
  <si>
    <t xml:space="preserve">A informação de emergência chega rápido a quem está na rua? A cidade tem pontos turísticos digitais?</t>
  </si>
  <si>
    <t xml:space="preserve">Quanto custa uma comunicação lenta em emergências? Quanto a cidade perde em turismo e eventos?</t>
  </si>
  <si>
    <t xml:space="preserve">Um modelo em que a mídia custeia o equipamento e a cidade ganha comunicação pública faria sentido?</t>
  </si>
  <si>
    <t xml:space="preserve">Locais; especificação técnica; normas; modelo (compra, concessão, PPP).
Qualificação: Há dotação orçamentária? Modalidade de licitação? Prazo do edital?</t>
  </si>
  <si>
    <t xml:space="preserve">Especificação técnica genérica que abre espaço para menor preço sem qualidade.</t>
  </si>
  <si>
    <t xml:space="preserve">Treino rápido</t>
  </si>
  <si>
    <t xml:space="preserve">O essencial de apresentação, escuta e prospecção. Roleplay e técnicas completas estão na versão completa.</t>
  </si>
  <si>
    <t xml:space="preserve">Apresentação</t>
  </si>
  <si>
    <t xml:space="preserve">Técnica / etapa</t>
  </si>
  <si>
    <t xml:space="preserve">Como fazer</t>
  </si>
  <si>
    <t xml:space="preserve">Exemplo</t>
  </si>
  <si>
    <t xml:space="preserve">Comece pelo porquê</t>
  </si>
  <si>
    <t xml:space="preserve">O propósito do cliente antes do painel.</t>
  </si>
  <si>
    <t xml:space="preserve">'Sua vitrine pode vender 24h' antes de 'painel P3,9'.</t>
  </si>
  <si>
    <t xml:space="preserve">Cliente herói, LedWave guia</t>
  </si>
  <si>
    <t xml:space="preserve">O cliente é o protagonista; a LedWave já fez isso antes.</t>
  </si>
  <si>
    <t xml:space="preserve">'Você quer ser a escolhida da rua. Nós ajudamos centenas a chegar lá.'</t>
  </si>
  <si>
    <t xml:space="preserve">Regra de 3</t>
  </si>
  <si>
    <t xml:space="preserve">Três provas, três ganhos, três números.</t>
  </si>
  <si>
    <t xml:space="preserve">Receita, experiência, operação.</t>
  </si>
  <si>
    <t xml:space="preserve">Frase + pausa</t>
  </si>
  <si>
    <t xml:space="preserve">Frase curta, depois 3 segundos de silêncio.</t>
  </si>
  <si>
    <t xml:space="preserve">'Vitrine parada é vendedor dormindo.'</t>
  </si>
  <si>
    <t xml:space="preserve">Termine no ponto alto</t>
  </si>
  <si>
    <t xml:space="preserve">Nunca 'alguma dúvida?'. Termine com duas datas.</t>
  </si>
  <si>
    <t xml:space="preserve">'Visita técnica na quinta ou na sexta?'</t>
  </si>
  <si>
    <t xml:space="preserve">Escuta ativa</t>
  </si>
  <si>
    <t xml:space="preserve">Regra 70/30</t>
  </si>
  <si>
    <t xml:space="preserve">Na descoberta, o cliente fala 70% do tempo.</t>
  </si>
  <si>
    <t xml:space="preserve">Se você fala mais, está vendendo cedo demais.</t>
  </si>
  <si>
    <t xml:space="preserve">Silêncio de 3 s</t>
  </si>
  <si>
    <t xml:space="preserve">Espere depois da resposta: vem a informação mais valiosa.</t>
  </si>
  <si>
    <t xml:space="preserve">—</t>
  </si>
  <si>
    <t xml:space="preserve">Espelhamento</t>
  </si>
  <si>
    <t xml:space="preserve">Repita as últimas palavras em tom de pergunta.</t>
  </si>
  <si>
    <t xml:space="preserve">'...é um caos.' → 'Um caos?'</t>
  </si>
  <si>
    <t xml:space="preserve">Paráfrase</t>
  </si>
  <si>
    <t xml:space="preserve">Resuma com as palavras dele e confirme.</t>
  </si>
  <si>
    <t xml:space="preserve">'Se entendi bem, o principal é X. Correto?'</t>
  </si>
  <si>
    <t xml:space="preserve">'O que mais?'</t>
  </si>
  <si>
    <t xml:space="preserve">A segunda dor costuma ser a mais importante.</t>
  </si>
  <si>
    <t xml:space="preserve">Prospecção (cadência de 14 dias)</t>
  </si>
  <si>
    <t xml:space="preserve">D0 · Pesquisa</t>
  </si>
  <si>
    <t xml:space="preserve">Ache um gatilho: inauguração, reforma, lançamento, feira, troca de liderança.</t>
  </si>
  <si>
    <t xml:space="preserve">Instagram, Google Maps, LinkedIn, imprensa.</t>
  </si>
  <si>
    <t xml:space="preserve">D1 · LinkedIn</t>
  </si>
  <si>
    <t xml:space="preserve">Conexão com nota personalizada, sem pitch.</t>
  </si>
  <si>
    <t xml:space="preserve">'Vi {gatilho}. Trabalho com comunicação digital para {nicho}.'</t>
  </si>
  <si>
    <t xml:space="preserve">D2 · Ligação + WhatsApp</t>
  </si>
  <si>
    <t xml:space="preserve">Objetivo: agendar 20 min, não vender.</t>
  </si>
  <si>
    <t xml:space="preserve">Permissão → motivo → pergunta de dor → mini-prova → duas datas.</t>
  </si>
  <si>
    <t xml:space="preserve">D4 · E-mail</t>
  </si>
  <si>
    <t xml:space="preserve">Um insight do nicho + uma imagem antes/depois. Máx. 90 palavras.</t>
  </si>
  <si>
    <t xml:space="preserve">Assunto: {Empresa} + uma ideia para {dor}.</t>
  </si>
  <si>
    <t xml:space="preserve">D6 a D11</t>
  </si>
  <si>
    <t xml:space="preserve">Nova ligação, case do nicho, vídeo de 45 s com mockup do espaço.</t>
  </si>
  <si>
    <t xml:space="preserve">Quebre o padrão.</t>
  </si>
  <si>
    <t xml:space="preserve">D14 · Encerramento</t>
  </si>
  <si>
    <t xml:space="preserve">E-mail educado de término.</t>
  </si>
  <si>
    <t xml:space="preserve">'Encerro por aqui ou volto a falar em {mês}?'</t>
  </si>
  <si>
    <t xml:space="preserve">Banco de Ideias dos Gestores</t>
  </si>
  <si>
    <t xml:space="preserve">Uma linha por ideia. A linha 4 é um exemplo. 'Aprovada' = levar para a aba Nichos ou Mapa de Venda.</t>
  </si>
  <si>
    <t xml:space="preserve">Data</t>
  </si>
  <si>
    <t xml:space="preserve">Gestor</t>
  </si>
  <si>
    <t xml:space="preserve">Tipo</t>
  </si>
  <si>
    <t xml:space="preserve">Ideia (texto pronto para usar)</t>
  </si>
  <si>
    <t xml:space="preserve">Testada? Resultado</t>
  </si>
  <si>
    <t xml:space="preserve">Votos</t>
  </si>
  <si>
    <t xml:space="preserve">Resumo</t>
  </si>
  <si>
    <t xml:space="preserve">Exemplo (apagar)</t>
  </si>
  <si>
    <t xml:space="preserve">Se o seu cliente estivesse com dor de cabeça na esquina, ele veria a sua farmácia antes da concorrente?</t>
  </si>
  <si>
    <t xml:space="preserve">2 reuniões: abriu conversa sobre fachada</t>
  </si>
  <si>
    <t xml:space="preserve">Em teste em campo</t>
  </si>
  <si>
    <t xml:space="preserve">Nova</t>
  </si>
  <si>
    <t xml:space="preserve">Aprovada (levar à matriz)</t>
  </si>
  <si>
    <t xml:space="preserve">Descartada</t>
  </si>
  <si>
    <t xml:space="preserve">Nichos</t>
  </si>
  <si>
    <t xml:space="preserve">Tipos</t>
  </si>
  <si>
    <t xml:space="preserve">Argumento</t>
  </si>
  <si>
    <t xml:space="preserve">Objeção + resposta</t>
  </si>
  <si>
    <t xml:space="preserve">Pergunta de descoberta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</si>
</sst>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"/>
    <numFmt numFmtId="167" formatCode="General"/>
    <numFmt numFmtId="168" formatCode="dd/mm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D9D2F0"/>
      <name val="Arial"/>
      <family val="0"/>
      <charset val="1"/>
    </font>
    <font>
      <b val="true"/>
      <sz val="12"/>
      <color rgb="FF3D3D3D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3D3D3D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8A5CF6"/>
      <name val="Arial"/>
      <family val="0"/>
      <charset val="1"/>
    </font>
    <font>
      <b val="true"/>
      <sz val="10"/>
      <color rgb="FF8A5CF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D3D3D"/>
        <bgColor rgb="FF333300"/>
      </patternFill>
    </fill>
    <fill>
      <patternFill patternType="solid">
        <fgColor rgb="FFFFF8D6"/>
        <bgColor rgb="FFF5F5F7"/>
      </patternFill>
    </fill>
    <fill>
      <patternFill patternType="solid">
        <fgColor rgb="FF8A5CF6"/>
        <bgColor rgb="FF9999FF"/>
      </patternFill>
    </fill>
    <fill>
      <patternFill patternType="solid">
        <fgColor rgb="FFF5F5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CCE0"/>
      </left>
      <right style="thin">
        <color rgb="FFD0CCE0"/>
      </right>
      <top style="thin">
        <color rgb="FFD0CCE0"/>
      </top>
      <bottom style="thin">
        <color rgb="FFD0CC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8A5CF6"/>
          <bgColor rgb="FF000000"/>
        </patternFill>
      </fill>
    </dxf>
    <dxf>
      <fill>
        <patternFill patternType="solid">
          <fgColor rgb="FFF5F5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B00020"/>
      </font>
    </dxf>
    <dxf>
      <font>
        <b val="1"/>
        <color rgb="FF1B7F3B"/>
      </font>
    </dxf>
    <dxf>
      <fill>
        <patternFill patternType="solid">
          <fgColor rgb="FFFFF8D6"/>
          <bgColor rgb="FF000000"/>
        </patternFill>
      </fill>
    </dxf>
    <dxf>
      <fill>
        <patternFill>
          <bgColor rgb="FFD7F2DF"/>
        </patternFill>
      </fill>
    </dxf>
    <dxf>
      <font>
        <strike val="1"/>
        <color rgb="FF99999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1B7F3B"/>
      <rgbColor rgb="FF000080"/>
      <rgbColor rgb="FF808000"/>
      <rgbColor rgb="FF800080"/>
      <rgbColor rgb="FF008080"/>
      <rgbColor rgb="FFD0CCE0"/>
      <rgbColor rgb="FF808080"/>
      <rgbColor rgb="FF9999FF"/>
      <rgbColor rgb="FF993366"/>
      <rgbColor rgb="FFFFF8D6"/>
      <rgbColor rgb="FFF5F5F7"/>
      <rgbColor rgb="FF660066"/>
      <rgbColor rgb="FFFF8080"/>
      <rgbColor rgb="FF0066CC"/>
      <rgbColor rgb="FFD9D2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F2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A5CF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5CF6"/>
    <pageSetUpPr fitToPage="false"/>
  </sheetPr>
  <dimension ref="A1:E2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45"/>
    <col collapsed="false" customWidth="true" hidden="false" outlineLevel="0" max="4" min="4" style="0" width="16"/>
    <col collapsed="false" customWidth="true" hidden="false" outlineLevel="0" max="5" min="5" style="0" width="26"/>
  </cols>
  <sheetData>
    <row r="1" customFormat="false" ht="33.75" hidden="false" customHeight="true" outlineLevel="0" collapsed="false">
      <c r="A1" s="1" t="s">
        <v>0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</v>
      </c>
      <c r="B2" s="2"/>
      <c r="C2" s="2"/>
      <c r="D2" s="2"/>
      <c r="E2" s="2"/>
    </row>
    <row r="4" customFormat="false" ht="15" hidden="false" customHeight="false" outlineLevel="0" collapsed="false">
      <c r="A4" s="4" t="s">
        <v>2</v>
      </c>
    </row>
    <row r="5" customFormat="false" ht="19.5" hidden="false" customHeight="true" outlineLevel="0" collapsed="false">
      <c r="A5" s="5" t="s">
        <v>3</v>
      </c>
      <c r="B5" s="6" t="s">
        <v>4</v>
      </c>
    </row>
    <row r="6" customFormat="false" ht="19.5" hidden="false" customHeight="true" outlineLevel="0" collapsed="false">
      <c r="A6" s="5" t="s">
        <v>5</v>
      </c>
      <c r="B6" s="6" t="s">
        <v>6</v>
      </c>
    </row>
    <row r="7" customFormat="false" ht="33.75" hidden="false" customHeight="true" outlineLevel="0" collapsed="false">
      <c r="A7" s="5" t="s">
        <v>7</v>
      </c>
      <c r="B7" s="6" t="s">
        <v>8</v>
      </c>
    </row>
    <row r="8" customFormat="false" ht="19.5" hidden="false" customHeight="true" outlineLevel="0" collapsed="false">
      <c r="A8" s="5" t="s">
        <v>9</v>
      </c>
      <c r="B8" s="6" t="s">
        <v>10</v>
      </c>
    </row>
    <row r="9" customFormat="false" ht="19.5" hidden="false" customHeight="true" outlineLevel="0" collapsed="false">
      <c r="A9" s="5" t="s">
        <v>11</v>
      </c>
      <c r="B9" s="6" t="s">
        <v>12</v>
      </c>
    </row>
    <row r="11" customFormat="false" ht="15" hidden="false" customHeight="false" outlineLevel="0" collapsed="false">
      <c r="A11" s="4" t="s">
        <v>13</v>
      </c>
    </row>
    <row r="12" customFormat="false" ht="31.5" hidden="false" customHeight="true" outlineLevel="0" collapsed="false">
      <c r="A12" s="7" t="s">
        <v>14</v>
      </c>
      <c r="B12" s="7" t="s">
        <v>15</v>
      </c>
      <c r="C12" s="7" t="s">
        <v>16</v>
      </c>
      <c r="D12" s="7" t="s">
        <v>17</v>
      </c>
      <c r="E12" s="7" t="s">
        <v>18</v>
      </c>
    </row>
    <row r="13" customFormat="false" ht="33.75" hidden="false" customHeight="true" outlineLevel="0" collapsed="false">
      <c r="A13" s="5" t="s">
        <v>19</v>
      </c>
      <c r="B13" s="6" t="s">
        <v>20</v>
      </c>
      <c r="C13" s="6" t="s">
        <v>21</v>
      </c>
      <c r="D13" s="8" t="s">
        <v>22</v>
      </c>
      <c r="E13" s="8"/>
    </row>
    <row r="14" customFormat="false" ht="33.75" hidden="false" customHeight="true" outlineLevel="0" collapsed="false">
      <c r="A14" s="5" t="s">
        <v>23</v>
      </c>
      <c r="B14" s="6" t="s">
        <v>24</v>
      </c>
      <c r="C14" s="6" t="s">
        <v>25</v>
      </c>
      <c r="D14" s="8" t="s">
        <v>22</v>
      </c>
      <c r="E14" s="8"/>
    </row>
    <row r="15" customFormat="false" ht="19.5" hidden="false" customHeight="true" outlineLevel="0" collapsed="false">
      <c r="A15" s="5" t="s">
        <v>26</v>
      </c>
      <c r="B15" s="6" t="s">
        <v>27</v>
      </c>
      <c r="C15" s="6" t="s">
        <v>28</v>
      </c>
      <c r="D15" s="8" t="s">
        <v>22</v>
      </c>
      <c r="E15" s="8"/>
    </row>
    <row r="16" customFormat="false" ht="19.5" hidden="false" customHeight="true" outlineLevel="0" collapsed="false">
      <c r="A16" s="5" t="s">
        <v>29</v>
      </c>
      <c r="B16" s="6" t="s">
        <v>30</v>
      </c>
      <c r="C16" s="6" t="s">
        <v>31</v>
      </c>
      <c r="D16" s="8" t="s">
        <v>22</v>
      </c>
      <c r="E16" s="8"/>
    </row>
    <row r="17" customFormat="false" ht="19.5" hidden="false" customHeight="true" outlineLevel="0" collapsed="false">
      <c r="A17" s="5" t="s">
        <v>32</v>
      </c>
      <c r="B17" s="6" t="s">
        <v>33</v>
      </c>
      <c r="C17" s="6" t="s">
        <v>34</v>
      </c>
      <c r="D17" s="8" t="s">
        <v>22</v>
      </c>
      <c r="E17" s="8"/>
    </row>
    <row r="18" customFormat="false" ht="33.75" hidden="false" customHeight="true" outlineLevel="0" collapsed="false">
      <c r="A18" s="5" t="s">
        <v>35</v>
      </c>
      <c r="B18" s="6" t="s">
        <v>36</v>
      </c>
      <c r="C18" s="6" t="s">
        <v>37</v>
      </c>
      <c r="D18" s="8" t="s">
        <v>38</v>
      </c>
      <c r="E18" s="8"/>
    </row>
    <row r="20" customFormat="false" ht="15" hidden="false" customHeight="false" outlineLevel="0" collapsed="false">
      <c r="A20" s="4" t="s">
        <v>39</v>
      </c>
    </row>
    <row r="21" customFormat="false" ht="15" hidden="false" customHeight="false" outlineLevel="0" collapsed="false">
      <c r="A21" s="9" t="s">
        <v>40</v>
      </c>
    </row>
    <row r="22" customFormat="false" ht="15" hidden="false" customHeight="false" outlineLevel="0" collapsed="false">
      <c r="A22" s="1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5CF6"/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0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6" min="6" style="0" width="85"/>
  </cols>
  <sheetData>
    <row r="1" customFormat="false" ht="33.75" hidden="false" customHeight="true" outlineLevel="0" collapsed="false">
      <c r="A1" s="1" t="s">
        <v>42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43</v>
      </c>
      <c r="B2" s="2"/>
      <c r="C2" s="2"/>
      <c r="D2" s="2"/>
      <c r="E2" s="2"/>
      <c r="F2" s="2"/>
    </row>
    <row r="4" customFormat="false" ht="42" hidden="false" customHeight="true" outlineLevel="0" collapsed="false">
      <c r="A4" s="11" t="s">
        <v>44</v>
      </c>
      <c r="B4" s="12" t="s">
        <v>45</v>
      </c>
      <c r="C4" s="12"/>
      <c r="D4" s="12"/>
      <c r="E4" s="12"/>
      <c r="F4" s="13" t="str">
        <f aca="false">IFERROR("Decisor: "&amp;INDEX(Nichos!$B:$B,MATCH($B$4,Nichos!$A:$A,0))&amp;"   ·   Propósitos de compra: "&amp;INDEX(Nichos!$C:$C,MATCH($B$4,Nichos!$A:$A,0)),"Escolha um nicho da lista")</f>
        <v>Decisor: Diretor Comercial, Diretor de Trade Marketing, Gerente de Marketing, Operações   ·   Propósitos de compra: Retail media · Trade · Eficiência operacional</v>
      </c>
    </row>
    <row r="5" customFormat="false" ht="15" hidden="false" customHeight="false" outlineLevel="0" collapsed="false">
      <c r="A5" s="11" t="s">
        <v>46</v>
      </c>
      <c r="B5" s="12" t="n">
        <v>15</v>
      </c>
    </row>
    <row r="7" customFormat="false" ht="31.5" hidden="false" customHeight="true" outlineLevel="0" collapsed="false">
      <c r="A7" s="14" t="s">
        <v>47</v>
      </c>
      <c r="B7" s="14" t="s">
        <v>48</v>
      </c>
      <c r="C7" s="14" t="s">
        <v>49</v>
      </c>
      <c r="D7" s="14" t="s">
        <v>50</v>
      </c>
      <c r="E7" s="14" t="s">
        <v>51</v>
      </c>
      <c r="F7" s="14" t="s">
        <v>52</v>
      </c>
    </row>
    <row r="8" customFormat="false" ht="75" hidden="false" customHeight="true" outlineLevel="0" collapsed="false">
      <c r="A8" s="5" t="s">
        <v>53</v>
      </c>
      <c r="B8" s="15" t="n">
        <v>0.08</v>
      </c>
      <c r="C8" s="16" t="n">
        <f aca="false">B8*$B$5</f>
        <v>1.2</v>
      </c>
      <c r="D8" s="16" t="n">
        <f aca="false">SUM($C$8:C8)</f>
        <v>1.2</v>
      </c>
      <c r="E8" s="6" t="s">
        <v>54</v>
      </c>
      <c r="F8" s="6" t="str">
        <f aca="false">IFERROR("PERGUNTE: "&amp;INDEX(Nichos!$E:$E,MATCH($B$4,Nichos!$A:$A,0)),"Escolha um nicho da lista")</f>
        <v>PERGUNTE: Se 80% a 90% das vendas do varejo ainda acontecem na loja física, por que quase toda a verba de mídia está fora dela?</v>
      </c>
    </row>
    <row r="9" customFormat="false" ht="150" hidden="false" customHeight="true" outlineLevel="0" collapsed="false">
      <c r="A9" s="5" t="s">
        <v>55</v>
      </c>
      <c r="B9" s="15" t="n">
        <v>0.2</v>
      </c>
      <c r="C9" s="16" t="n">
        <f aca="false">B9*$B$5</f>
        <v>3</v>
      </c>
      <c r="D9" s="16" t="n">
        <f aca="false">SUM($C$8:C9)</f>
        <v>4.2</v>
      </c>
      <c r="E9" s="6" t="s">
        <v>56</v>
      </c>
      <c r="F9" s="6" t="str">
        <f aca="false">IFERROR(INDEX(Nichos!$D:$D,MATCH($B$4,Nichos!$A:$A,0))&amp;CHAR(10)&amp;"SITUAÇÃO: "&amp;INDEX(Descoberta!$B:$B,MATCH($B$4,Descoberta!$A:$A,0))&amp;CHAR(10)&amp;"PROBLEMA: "&amp;INDEX(Descoberta!$C:$C,MATCH($B$4,Descoberta!$A:$A,0))&amp;CHAR(10)&amp;"IMPLICAÇÃO: "&amp;INDEX(Descoberta!$D:$D,MATCH($B$4,Descoberta!$A:$A,0)),"Escolha um nicho da lista")</f>
        <v>Oferta muda todo dia, cartaz de papel não acompanha. O trade da indústria paga por espaço, mas o impresso não mede nada e envelhece rápido.
Custo de esperar: O varejista deixa de vender mídia dentro da própria loja, enquanto o retail media cresce no Brasil (R$ 4,8 bi em 2025, +37%, IAB Brasil/Kantar).
SITUAÇÃO: Quantas lojas e checkouts? Como as ofertas são comunicadas hoje? A indústria investe em trade nas suas lojas?
PROBLEMA: Quanto tempo leva para uma oferta sair do comercial e chegar à gôndola? O fornecedor pede comprovação de exposição?
IMPLICAÇÃO: Quanto de verba de trade vira papel que ninguém mede? Quanto você deixa de faturar por não vender mídia dentro da loja?</v>
      </c>
    </row>
    <row r="10" customFormat="false" ht="150" hidden="false" customHeight="true" outlineLevel="0" collapsed="false">
      <c r="A10" s="5" t="s">
        <v>57</v>
      </c>
      <c r="B10" s="15" t="n">
        <v>0.18</v>
      </c>
      <c r="C10" s="16" t="n">
        <f aca="false">B10*$B$5</f>
        <v>2.7</v>
      </c>
      <c r="D10" s="16" t="n">
        <f aca="false">SUM($C$8:C10)</f>
        <v>6.9</v>
      </c>
      <c r="E10" s="6" t="s">
        <v>58</v>
      </c>
      <c r="F10" s="6" t="str">
        <f aca="false">IFERROR(INDEX(Início!$B:$B,13)&amp;CHAR(10)&amp;INDEX(Início!$B:$B,14)&amp;CHAR(10)&amp;INDEX(Início!$B:$B,15)&amp;CHAR(10)&amp;"CASE: "&amp;IF(INDEX(Nichos!$J:$J,MATCH($B$4,Nichos!$A:$A,0))="","Boulevard.Live",INDEX(Nichos!$J:$J,MATCH($B$4,Nichos!$A:$A,0)))&amp;CHAR(10)&amp;"Ponte: E é por isso que estamos aqui.","Escolha um nicho da lista")</f>
        <v>Começamos com R$ 12 mil e uma ideia trazida de Xangai. Hoje somos referência em LED no Brasil.
Quatro anos seguidos entre as empresas que mais crescem no Brasil e nº 1 do segmento de painéis de LED no ranking Exame 2025.
Fizemos o Boulevard.Live: 1.125 m², o maior painel de LED da América Latina.
CASE: Nordestão
Ponte: E é por isso que estamos aqui.</v>
      </c>
    </row>
    <row r="11" customFormat="false" ht="150" hidden="false" customHeight="true" outlineLevel="0" collapsed="false">
      <c r="A11" s="5" t="s">
        <v>59</v>
      </c>
      <c r="B11" s="15" t="n">
        <v>0.12</v>
      </c>
      <c r="C11" s="16" t="n">
        <f aca="false">B11*$B$5</f>
        <v>1.8</v>
      </c>
      <c r="D11" s="16" t="n">
        <f aca="false">SUM($C$8:C11)</f>
        <v>8.7</v>
      </c>
      <c r="E11" s="6" t="s">
        <v>60</v>
      </c>
      <c r="F11" s="6" t="str">
        <f aca="false">IFERROR("CONFIRME O PROPÓSITO DE COMPRA ("&amp;INDEX(Nichos!$C:$C,MATCH($B$4,Nichos!$A:$A,0))&amp;") e use a aba Mapa de Venda."&amp;CHAR(10)&amp;INDEX(Nichos!$F:$F,MATCH($B$4,Nichos!$A:$A,0))&amp;CHAR(10)&amp;"FRASE (pausa): "&amp;INDEX(Nichos!$H:$H,MATCH($B$4,Nichos!$A:$A,0)),"Escolha um nicho da lista")</f>
        <v>CONFIRME O PROPÓSITO DE COMPRA (Retail media · Trade · Eficiência operacional) e use a aba Mapa de Venda.
Transformar a loja em canal de mídia: a tela deixa de ser custo e passa a gerar receita com as marcas que já estão nas gôndolas.
História: Referência Walmart Connect: a loja virou canal de mídia e a publicidade virou uma linha de receita bilionária. A lição é simples: a loja física também é mídia, e mídia gera receita.
FRASE (pausa): Sua loja já tem audiência. Falta transformar audiência em receita.</v>
      </c>
    </row>
    <row r="12" customFormat="false" ht="150" hidden="false" customHeight="true" outlineLevel="0" collapsed="false">
      <c r="A12" s="5" t="s">
        <v>61</v>
      </c>
      <c r="B12" s="15" t="n">
        <v>0.2</v>
      </c>
      <c r="C12" s="16" t="n">
        <f aca="false">B12*$B$5</f>
        <v>3</v>
      </c>
      <c r="D12" s="16" t="n">
        <f aca="false">SUM($C$8:C12)</f>
        <v>11.7</v>
      </c>
      <c r="E12" s="6" t="s">
        <v>62</v>
      </c>
      <c r="F12" s="6" t="str">
        <f aca="false">IFERROR(INDEX(Nichos!$G:$G,MATCH($B$4,Nichos!$A:$A,0))&amp;CHAR(10)&amp;"SOLUÇÃO E KPIs: "&amp;INDEX(Nichos!$I:$I,MATCH($B$4,Nichos!$A:$A,0)),"Escolha um nicho da lista")</f>
        <v>Receita: Retail media: venda de espaço nas telas para a indústria, com margem potencial de 70% a 90% (McKinsey). A tela se paga com a verba de trade.
Experiência: Ofertas e receitas em movimento no momento da decisão; comunicação mais moderna que a da concorrência no mesmo bairro.
Operação: Troca de preços e ofertas em tempo real por loja, sem impressão, sem retrabalho, com prova de veiculação para o fornecedor.
SOLUÇÃO E KPIs: Telas de checkout, ponta de gôndola, painéis de entrada e fachada, retail media com gestão de conteúdo e relatório de veiculação (parceria WeOOH a validar).
KPIs: Receita de mídia por loja, sell-out do produto anunciado, economia com impressos, tempo de troca de oferta.</v>
      </c>
    </row>
    <row r="13" customFormat="false" ht="75" hidden="false" customHeight="true" outlineLevel="0" collapsed="false">
      <c r="A13" s="5" t="s">
        <v>63</v>
      </c>
      <c r="B13" s="15" t="n">
        <v>0.1</v>
      </c>
      <c r="C13" s="16" t="n">
        <f aca="false">B13*$B$5</f>
        <v>1.5</v>
      </c>
      <c r="D13" s="16" t="n">
        <f aca="false">SUM($C$8:C13)</f>
        <v>13.2</v>
      </c>
      <c r="E13" s="6" t="s">
        <v>64</v>
      </c>
      <c r="F13" s="6" t="str">
        <f aca="false">IFERROR("MAIS PROVÁVEIS: "&amp;INDEX(Nichos!$K:$K,MATCH($B$4,Nichos!$A:$A,0))&amp;" (respostas na aba Objeções)","Escolha um nicho da lista")</f>
        <v>MAIS PROVÁVEIS: Gestão de conteúdo; Aprovação por financeiro; Momento financeiro (respostas na aba Objeções)</v>
      </c>
    </row>
    <row r="14" customFormat="false" ht="150" hidden="false" customHeight="true" outlineLevel="0" collapsed="false">
      <c r="A14" s="5" t="s">
        <v>65</v>
      </c>
      <c r="B14" s="15" t="n">
        <v>0.12</v>
      </c>
      <c r="C14" s="16" t="n">
        <f aca="false">B14*$B$5</f>
        <v>1.8</v>
      </c>
      <c r="D14" s="16" t="n">
        <f aca="false">SUM($C$8:C14)</f>
        <v>15</v>
      </c>
      <c r="E14" s="6" t="s">
        <v>66</v>
      </c>
      <c r="F14" s="6" t="str">
        <f aca="false">IFERROR("NECESSIDADE: "&amp;INDEX(Descoberta!$E:$E,MATCH($B$4,Descoberta!$A:$A,0))&amp;CHAR(10)&amp;"FRASE: "&amp;INDEX(Nichos!$H:$H,MATCH($B$4,Nichos!$A:$A,0))&amp;CHAR(10)&amp;INDEX(Nichos!$L:$L,MATCH($B$4,Nichos!$A:$A,0)),"Escolha um nicho da lista")</f>
        <v>NECESSIDADE: Se as telas fossem pagas pela indústria e ainda gerassem receita, quantas lojas você colocaria no piloto?
FRASE: Sua loja já tem audiência. Falta transformar audiência em receita.
A pergunta não é se o seu PDV vai virar mídia. É quem vai fazer isso primeiro na sua praça.
Próximo passo: Workshop de 1h para desenhar o piloto de retail media em 1 a 3 lojas.</v>
      </c>
    </row>
    <row r="15" customFormat="false" ht="15" hidden="false" customHeight="false" outlineLevel="0" collapsed="false">
      <c r="A15" s="17" t="s">
        <v>67</v>
      </c>
      <c r="B15" s="18" t="n">
        <f aca="false">SUM(B8:B14)</f>
        <v>1</v>
      </c>
      <c r="C15" s="19" t="n">
        <f aca="false">SUM(C8:C14)</f>
        <v>15</v>
      </c>
      <c r="E15" s="20" t="str">
        <f aca="false">IF(ROUND(B15,2)=1,"OK","Ajuste para somar 100%")</f>
        <v>OK</v>
      </c>
    </row>
  </sheetData>
  <mergeCells count="1">
    <mergeCell ref="B4:E4"/>
  </mergeCells>
  <dataValidations count="2">
    <dataValidation allowBlank="false" errorStyle="stop" operator="between" showDropDown="false" showErrorMessage="false" showInputMessage="false" sqref="B4" type="list">
      <formula1>Listas!$A$2:$A$60</formula1>
      <formula2>0</formula2>
    </dataValidation>
    <dataValidation allowBlank="false" errorStyle="stop" operator="between" showDropDown="false" showErrorMessage="false" showInputMessage="false" sqref="B5" type="list">
      <formula1>"10,15,20"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5CF6"/>
    <pageSetUpPr fitToPage="false"/>
  </sheetPr>
  <dimension ref="A1:M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2"/>
    <col collapsed="false" customWidth="true" hidden="false" outlineLevel="0" max="4" min="4" style="0" width="45"/>
    <col collapsed="false" customWidth="true" hidden="false" outlineLevel="0" max="5" min="5" style="0" width="38"/>
    <col collapsed="false" customWidth="true" hidden="false" outlineLevel="0" max="6" min="6" style="0" width="50"/>
    <col collapsed="false" customWidth="true" hidden="false" outlineLevel="0" max="7" min="7" style="0" width="52"/>
    <col collapsed="false" customWidth="true" hidden="false" outlineLevel="0" max="8" min="8" style="0" width="26"/>
    <col collapsed="false" customWidth="true" hidden="false" outlineLevel="0" max="9" min="9" style="0" width="45"/>
    <col collapsed="false" customWidth="true" hidden="false" outlineLevel="0" max="10" min="10" style="0" width="20"/>
    <col collapsed="false" customWidth="true" hidden="false" outlineLevel="0" max="11" min="11" style="0" width="26"/>
    <col collapsed="false" customWidth="true" hidden="false" outlineLevel="0" max="12" min="12" style="0" width="45"/>
    <col collapsed="false" customWidth="true" hidden="false" outlineLevel="0" max="13" min="13" style="0" width="10"/>
  </cols>
  <sheetData>
    <row r="1" customFormat="false" ht="33.75" hidden="false" customHeight="true" outlineLevel="0" collapsed="false">
      <c r="A1" s="1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9.5" hidden="false" customHeight="true" outlineLevel="0" collapsed="false">
      <c r="A2" s="3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1.5" hidden="false" customHeight="true" outlineLevel="0" collapsed="false">
      <c r="A3" s="14" t="s">
        <v>44</v>
      </c>
      <c r="B3" s="14" t="s">
        <v>70</v>
      </c>
      <c r="C3" s="14" t="s">
        <v>71</v>
      </c>
      <c r="D3" s="14" t="s">
        <v>72</v>
      </c>
      <c r="E3" s="14" t="s">
        <v>73</v>
      </c>
      <c r="F3" s="14" t="s">
        <v>74</v>
      </c>
      <c r="G3" s="14" t="s">
        <v>75</v>
      </c>
      <c r="H3" s="14" t="s">
        <v>76</v>
      </c>
      <c r="I3" s="14" t="s">
        <v>77</v>
      </c>
      <c r="J3" s="14" t="s">
        <v>78</v>
      </c>
      <c r="K3" s="14" t="s">
        <v>79</v>
      </c>
      <c r="L3" s="14" t="s">
        <v>80</v>
      </c>
      <c r="M3" s="14" t="s">
        <v>81</v>
      </c>
    </row>
    <row r="4" customFormat="false" ht="132" hidden="false" customHeight="true" outlineLevel="0" collapsed="false">
      <c r="A4" s="5" t="s">
        <v>82</v>
      </c>
      <c r="B4" s="6" t="s">
        <v>83</v>
      </c>
      <c r="C4" s="6" t="s">
        <v>84</v>
      </c>
      <c r="D4" s="6" t="s">
        <v>85</v>
      </c>
      <c r="E4" s="6" t="s">
        <v>86</v>
      </c>
      <c r="F4" s="6" t="s">
        <v>87</v>
      </c>
      <c r="G4" s="6" t="s">
        <v>88</v>
      </c>
      <c r="H4" s="21" t="s">
        <v>89</v>
      </c>
      <c r="I4" s="6" t="s">
        <v>90</v>
      </c>
      <c r="J4" s="6"/>
      <c r="K4" s="6" t="s">
        <v>91</v>
      </c>
      <c r="L4" s="6" t="s">
        <v>92</v>
      </c>
      <c r="M4" s="22" t="n">
        <f aca="false">COUNTIF(Ideias!$C:$C,A4)</f>
        <v>0</v>
      </c>
    </row>
    <row r="5" customFormat="false" ht="132" hidden="false" customHeight="true" outlineLevel="0" collapsed="false">
      <c r="A5" s="23" t="s">
        <v>45</v>
      </c>
      <c r="B5" s="24" t="s">
        <v>93</v>
      </c>
      <c r="C5" s="24" t="s">
        <v>94</v>
      </c>
      <c r="D5" s="24" t="s">
        <v>95</v>
      </c>
      <c r="E5" s="24" t="s">
        <v>96</v>
      </c>
      <c r="F5" s="24" t="s">
        <v>97</v>
      </c>
      <c r="G5" s="24" t="s">
        <v>98</v>
      </c>
      <c r="H5" s="25" t="s">
        <v>99</v>
      </c>
      <c r="I5" s="24" t="s">
        <v>100</v>
      </c>
      <c r="J5" s="24" t="s">
        <v>101</v>
      </c>
      <c r="K5" s="24" t="s">
        <v>102</v>
      </c>
      <c r="L5" s="24" t="s">
        <v>103</v>
      </c>
      <c r="M5" s="26" t="n">
        <f aca="false">COUNTIF(Ideias!$C:$C,A5)</f>
        <v>0</v>
      </c>
    </row>
    <row r="6" customFormat="false" ht="117.75" hidden="false" customHeight="true" outlineLevel="0" collapsed="false">
      <c r="A6" s="5" t="s">
        <v>104</v>
      </c>
      <c r="B6" s="6" t="s">
        <v>105</v>
      </c>
      <c r="C6" s="6" t="s">
        <v>106</v>
      </c>
      <c r="D6" s="6" t="s">
        <v>107</v>
      </c>
      <c r="E6" s="6" t="s">
        <v>108</v>
      </c>
      <c r="F6" s="6" t="s">
        <v>109</v>
      </c>
      <c r="G6" s="6" t="s">
        <v>110</v>
      </c>
      <c r="H6" s="21" t="s">
        <v>111</v>
      </c>
      <c r="I6" s="6" t="s">
        <v>112</v>
      </c>
      <c r="J6" s="6"/>
      <c r="K6" s="6" t="s">
        <v>113</v>
      </c>
      <c r="L6" s="6" t="s">
        <v>114</v>
      </c>
      <c r="M6" s="22" t="n">
        <f aca="false">COUNTIF(Ideias!$C:$C,A6)</f>
        <v>1</v>
      </c>
    </row>
    <row r="7" customFormat="false" ht="103.5" hidden="false" customHeight="true" outlineLevel="0" collapsed="false">
      <c r="A7" s="23" t="s">
        <v>115</v>
      </c>
      <c r="B7" s="24" t="s">
        <v>116</v>
      </c>
      <c r="C7" s="24" t="s">
        <v>117</v>
      </c>
      <c r="D7" s="24" t="s">
        <v>118</v>
      </c>
      <c r="E7" s="24" t="s">
        <v>119</v>
      </c>
      <c r="F7" s="24" t="s">
        <v>120</v>
      </c>
      <c r="G7" s="24" t="s">
        <v>121</v>
      </c>
      <c r="H7" s="25" t="s">
        <v>122</v>
      </c>
      <c r="I7" s="24" t="s">
        <v>123</v>
      </c>
      <c r="J7" s="24"/>
      <c r="K7" s="24" t="s">
        <v>124</v>
      </c>
      <c r="L7" s="24" t="s">
        <v>125</v>
      </c>
      <c r="M7" s="26" t="n">
        <f aca="false">COUNTIF(Ideias!$C:$C,A7)</f>
        <v>0</v>
      </c>
    </row>
    <row r="8" customFormat="false" ht="117.75" hidden="false" customHeight="true" outlineLevel="0" collapsed="false">
      <c r="A8" s="5" t="s">
        <v>126</v>
      </c>
      <c r="B8" s="6" t="s">
        <v>127</v>
      </c>
      <c r="C8" s="6" t="s">
        <v>128</v>
      </c>
      <c r="D8" s="6" t="s">
        <v>129</v>
      </c>
      <c r="E8" s="6" t="s">
        <v>130</v>
      </c>
      <c r="F8" s="6" t="s">
        <v>131</v>
      </c>
      <c r="G8" s="6" t="s">
        <v>132</v>
      </c>
      <c r="H8" s="21" t="s">
        <v>133</v>
      </c>
      <c r="I8" s="6" t="s">
        <v>134</v>
      </c>
      <c r="J8" s="6"/>
      <c r="K8" s="6" t="s">
        <v>135</v>
      </c>
      <c r="L8" s="6" t="s">
        <v>136</v>
      </c>
      <c r="M8" s="22" t="n">
        <f aca="false">COUNTIF(Ideias!$C:$C,A8)</f>
        <v>0</v>
      </c>
    </row>
    <row r="9" customFormat="false" ht="90" hidden="false" customHeight="true" outlineLevel="0" collapsed="false">
      <c r="A9" s="23" t="s">
        <v>137</v>
      </c>
      <c r="B9" s="24" t="s">
        <v>138</v>
      </c>
      <c r="C9" s="24" t="s">
        <v>139</v>
      </c>
      <c r="D9" s="24" t="s">
        <v>140</v>
      </c>
      <c r="E9" s="24" t="s">
        <v>141</v>
      </c>
      <c r="F9" s="24" t="s">
        <v>142</v>
      </c>
      <c r="G9" s="24" t="s">
        <v>143</v>
      </c>
      <c r="H9" s="25" t="s">
        <v>144</v>
      </c>
      <c r="I9" s="24" t="s">
        <v>145</v>
      </c>
      <c r="J9" s="24"/>
      <c r="K9" s="24" t="s">
        <v>146</v>
      </c>
      <c r="L9" s="24" t="s">
        <v>147</v>
      </c>
      <c r="M9" s="26" t="n">
        <f aca="false">COUNTIF(Ideias!$C:$C,A9)</f>
        <v>0</v>
      </c>
    </row>
    <row r="10" customFormat="false" ht="103.5" hidden="false" customHeight="true" outlineLevel="0" collapsed="false">
      <c r="A10" s="5" t="s">
        <v>148</v>
      </c>
      <c r="B10" s="6" t="s">
        <v>149</v>
      </c>
      <c r="C10" s="6" t="s">
        <v>150</v>
      </c>
      <c r="D10" s="6" t="s">
        <v>151</v>
      </c>
      <c r="E10" s="6" t="s">
        <v>152</v>
      </c>
      <c r="F10" s="6" t="s">
        <v>153</v>
      </c>
      <c r="G10" s="6" t="s">
        <v>154</v>
      </c>
      <c r="H10" s="21" t="s">
        <v>155</v>
      </c>
      <c r="I10" s="6" t="s">
        <v>156</v>
      </c>
      <c r="J10" s="6"/>
      <c r="K10" s="6" t="s">
        <v>157</v>
      </c>
      <c r="L10" s="6" t="s">
        <v>158</v>
      </c>
      <c r="M10" s="22" t="n">
        <f aca="false">COUNTIF(Ideias!$C:$C,A10)</f>
        <v>0</v>
      </c>
    </row>
    <row r="11" customFormat="false" ht="103.5" hidden="false" customHeight="true" outlineLevel="0" collapsed="false">
      <c r="A11" s="23" t="s">
        <v>159</v>
      </c>
      <c r="B11" s="24" t="s">
        <v>160</v>
      </c>
      <c r="C11" s="24" t="s">
        <v>161</v>
      </c>
      <c r="D11" s="24" t="s">
        <v>162</v>
      </c>
      <c r="E11" s="24" t="s">
        <v>163</v>
      </c>
      <c r="F11" s="24" t="s">
        <v>164</v>
      </c>
      <c r="G11" s="24" t="s">
        <v>165</v>
      </c>
      <c r="H11" s="25" t="s">
        <v>166</v>
      </c>
      <c r="I11" s="24" t="s">
        <v>167</v>
      </c>
      <c r="J11" s="24"/>
      <c r="K11" s="24" t="s">
        <v>168</v>
      </c>
      <c r="L11" s="24" t="s">
        <v>169</v>
      </c>
      <c r="M11" s="26" t="n">
        <f aca="false">COUNTIF(Ideias!$C:$C,A11)</f>
        <v>0</v>
      </c>
    </row>
    <row r="12" customFormat="false" ht="90" hidden="false" customHeight="true" outlineLevel="0" collapsed="false">
      <c r="A12" s="5" t="s">
        <v>170</v>
      </c>
      <c r="B12" s="6" t="s">
        <v>171</v>
      </c>
      <c r="C12" s="6" t="s">
        <v>172</v>
      </c>
      <c r="D12" s="6" t="s">
        <v>173</v>
      </c>
      <c r="E12" s="6" t="s">
        <v>174</v>
      </c>
      <c r="F12" s="6" t="s">
        <v>175</v>
      </c>
      <c r="G12" s="6" t="s">
        <v>176</v>
      </c>
      <c r="H12" s="21" t="s">
        <v>177</v>
      </c>
      <c r="I12" s="6" t="s">
        <v>178</v>
      </c>
      <c r="J12" s="6"/>
      <c r="K12" s="6" t="s">
        <v>179</v>
      </c>
      <c r="L12" s="6" t="s">
        <v>180</v>
      </c>
      <c r="M12" s="22" t="n">
        <f aca="false">COUNTIF(Ideias!$C:$C,A12)</f>
        <v>0</v>
      </c>
    </row>
    <row r="13" customFormat="false" ht="90" hidden="false" customHeight="true" outlineLevel="0" collapsed="false">
      <c r="A13" s="23" t="s">
        <v>181</v>
      </c>
      <c r="B13" s="24" t="s">
        <v>182</v>
      </c>
      <c r="C13" s="24" t="s">
        <v>183</v>
      </c>
      <c r="D13" s="24" t="s">
        <v>184</v>
      </c>
      <c r="E13" s="24" t="s">
        <v>185</v>
      </c>
      <c r="F13" s="24" t="s">
        <v>186</v>
      </c>
      <c r="G13" s="24" t="s">
        <v>187</v>
      </c>
      <c r="H13" s="25" t="s">
        <v>188</v>
      </c>
      <c r="I13" s="24" t="s">
        <v>189</v>
      </c>
      <c r="J13" s="24"/>
      <c r="K13" s="24" t="s">
        <v>190</v>
      </c>
      <c r="L13" s="24" t="s">
        <v>191</v>
      </c>
      <c r="M13" s="26" t="n">
        <f aca="false">COUNTIF(Ideias!$C:$C,A13)</f>
        <v>0</v>
      </c>
    </row>
    <row r="14" customFormat="false" ht="117.75" hidden="false" customHeight="true" outlineLevel="0" collapsed="false">
      <c r="A14" s="5" t="s">
        <v>192</v>
      </c>
      <c r="B14" s="6" t="s">
        <v>193</v>
      </c>
      <c r="C14" s="6" t="s">
        <v>194</v>
      </c>
      <c r="D14" s="6" t="s">
        <v>195</v>
      </c>
      <c r="E14" s="6" t="s">
        <v>196</v>
      </c>
      <c r="F14" s="6" t="s">
        <v>197</v>
      </c>
      <c r="G14" s="6" t="s">
        <v>198</v>
      </c>
      <c r="H14" s="21" t="s">
        <v>199</v>
      </c>
      <c r="I14" s="6" t="s">
        <v>200</v>
      </c>
      <c r="J14" s="6"/>
      <c r="K14" s="6" t="s">
        <v>201</v>
      </c>
      <c r="L14" s="6" t="s">
        <v>202</v>
      </c>
      <c r="M14" s="22" t="n">
        <f aca="false">COUNTIF(Ideias!$C:$C,A14)</f>
        <v>0</v>
      </c>
    </row>
    <row r="15" customFormat="false" ht="103.5" hidden="false" customHeight="true" outlineLevel="0" collapsed="false">
      <c r="A15" s="23" t="s">
        <v>203</v>
      </c>
      <c r="B15" s="24" t="s">
        <v>204</v>
      </c>
      <c r="C15" s="24" t="s">
        <v>205</v>
      </c>
      <c r="D15" s="24" t="s">
        <v>206</v>
      </c>
      <c r="E15" s="24" t="s">
        <v>207</v>
      </c>
      <c r="F15" s="24" t="s">
        <v>208</v>
      </c>
      <c r="G15" s="24" t="s">
        <v>209</v>
      </c>
      <c r="H15" s="25" t="s">
        <v>210</v>
      </c>
      <c r="I15" s="24" t="s">
        <v>211</v>
      </c>
      <c r="J15" s="24" t="s">
        <v>212</v>
      </c>
      <c r="K15" s="24" t="s">
        <v>213</v>
      </c>
      <c r="L15" s="24" t="s">
        <v>214</v>
      </c>
      <c r="M15" s="26" t="n">
        <f aca="false">COUNTIF(Ideias!$C:$C,A15)</f>
        <v>0</v>
      </c>
    </row>
    <row r="16" customFormat="false" ht="117.75" hidden="false" customHeight="true" outlineLevel="0" collapsed="false">
      <c r="A16" s="5" t="s">
        <v>215</v>
      </c>
      <c r="B16" s="6" t="s">
        <v>216</v>
      </c>
      <c r="C16" s="6" t="s">
        <v>217</v>
      </c>
      <c r="D16" s="6" t="s">
        <v>218</v>
      </c>
      <c r="E16" s="6" t="s">
        <v>219</v>
      </c>
      <c r="F16" s="6" t="s">
        <v>220</v>
      </c>
      <c r="G16" s="6" t="s">
        <v>221</v>
      </c>
      <c r="H16" s="21" t="s">
        <v>222</v>
      </c>
      <c r="I16" s="6" t="s">
        <v>223</v>
      </c>
      <c r="J16" s="6"/>
      <c r="K16" s="6" t="s">
        <v>224</v>
      </c>
      <c r="L16" s="6" t="s">
        <v>225</v>
      </c>
      <c r="M16" s="22" t="n">
        <f aca="false">COUNTIF(Ideias!$C:$C,A16)</f>
        <v>0</v>
      </c>
    </row>
    <row r="17" customFormat="false" ht="103.5" hidden="false" customHeight="true" outlineLevel="0" collapsed="false">
      <c r="A17" s="23" t="s">
        <v>226</v>
      </c>
      <c r="B17" s="24" t="s">
        <v>227</v>
      </c>
      <c r="C17" s="24" t="s">
        <v>228</v>
      </c>
      <c r="D17" s="24" t="s">
        <v>229</v>
      </c>
      <c r="E17" s="24" t="s">
        <v>230</v>
      </c>
      <c r="F17" s="24" t="s">
        <v>231</v>
      </c>
      <c r="G17" s="24" t="s">
        <v>232</v>
      </c>
      <c r="H17" s="25" t="s">
        <v>233</v>
      </c>
      <c r="I17" s="24" t="s">
        <v>234</v>
      </c>
      <c r="J17" s="24"/>
      <c r="K17" s="24" t="s">
        <v>235</v>
      </c>
      <c r="L17" s="24" t="s">
        <v>236</v>
      </c>
      <c r="M17" s="26" t="n">
        <f aca="false">COUNTIF(Ideias!$C:$C,A17)</f>
        <v>0</v>
      </c>
    </row>
    <row r="18" customFormat="false" ht="103.5" hidden="false" customHeight="true" outlineLevel="0" collapsed="false">
      <c r="A18" s="5" t="s">
        <v>237</v>
      </c>
      <c r="B18" s="6" t="s">
        <v>238</v>
      </c>
      <c r="C18" s="6" t="s">
        <v>239</v>
      </c>
      <c r="D18" s="6" t="s">
        <v>240</v>
      </c>
      <c r="E18" s="6" t="s">
        <v>241</v>
      </c>
      <c r="F18" s="6" t="s">
        <v>242</v>
      </c>
      <c r="G18" s="6" t="s">
        <v>243</v>
      </c>
      <c r="H18" s="21" t="s">
        <v>244</v>
      </c>
      <c r="I18" s="6" t="s">
        <v>245</v>
      </c>
      <c r="J18" s="6" t="s">
        <v>246</v>
      </c>
      <c r="K18" s="6" t="s">
        <v>247</v>
      </c>
      <c r="L18" s="6" t="s">
        <v>248</v>
      </c>
      <c r="M18" s="22" t="n">
        <f aca="false">COUNTIF(Ideias!$C:$C,A18)</f>
        <v>0</v>
      </c>
    </row>
    <row r="19" customFormat="false" ht="90" hidden="false" customHeight="true" outlineLevel="0" collapsed="false">
      <c r="A19" s="23" t="s">
        <v>249</v>
      </c>
      <c r="B19" s="24" t="s">
        <v>250</v>
      </c>
      <c r="C19" s="24" t="s">
        <v>251</v>
      </c>
      <c r="D19" s="24" t="s">
        <v>252</v>
      </c>
      <c r="E19" s="24" t="s">
        <v>253</v>
      </c>
      <c r="F19" s="24" t="s">
        <v>254</v>
      </c>
      <c r="G19" s="24" t="s">
        <v>255</v>
      </c>
      <c r="H19" s="25" t="s">
        <v>256</v>
      </c>
      <c r="I19" s="24" t="s">
        <v>257</v>
      </c>
      <c r="J19" s="24"/>
      <c r="K19" s="24" t="s">
        <v>258</v>
      </c>
      <c r="L19" s="24" t="s">
        <v>259</v>
      </c>
      <c r="M19" s="26" t="n">
        <f aca="false">COUNTIF(Ideias!$C:$C,A19)</f>
        <v>0</v>
      </c>
    </row>
    <row r="20" customFormat="false" ht="90" hidden="false" customHeight="true" outlineLevel="0" collapsed="false">
      <c r="A20" s="5" t="s">
        <v>260</v>
      </c>
      <c r="B20" s="6" t="s">
        <v>261</v>
      </c>
      <c r="C20" s="6" t="s">
        <v>262</v>
      </c>
      <c r="D20" s="6" t="s">
        <v>263</v>
      </c>
      <c r="E20" s="6" t="s">
        <v>264</v>
      </c>
      <c r="F20" s="6" t="s">
        <v>265</v>
      </c>
      <c r="G20" s="6" t="s">
        <v>266</v>
      </c>
      <c r="H20" s="21" t="s">
        <v>267</v>
      </c>
      <c r="I20" s="6" t="s">
        <v>268</v>
      </c>
      <c r="J20" s="6"/>
      <c r="K20" s="6" t="s">
        <v>269</v>
      </c>
      <c r="L20" s="6" t="s">
        <v>270</v>
      </c>
      <c r="M20" s="22" t="n">
        <f aca="false">COUNTIF(Ideias!$C:$C,A20)</f>
        <v>0</v>
      </c>
    </row>
    <row r="21" customFormat="false" ht="90" hidden="false" customHeight="true" outlineLevel="0" collapsed="false">
      <c r="A21" s="23" t="s">
        <v>271</v>
      </c>
      <c r="B21" s="24" t="s">
        <v>272</v>
      </c>
      <c r="C21" s="24" t="s">
        <v>273</v>
      </c>
      <c r="D21" s="24" t="s">
        <v>274</v>
      </c>
      <c r="E21" s="24" t="s">
        <v>275</v>
      </c>
      <c r="F21" s="24" t="s">
        <v>276</v>
      </c>
      <c r="G21" s="24" t="s">
        <v>277</v>
      </c>
      <c r="H21" s="25" t="s">
        <v>278</v>
      </c>
      <c r="I21" s="24" t="s">
        <v>279</v>
      </c>
      <c r="J21" s="24" t="s">
        <v>246</v>
      </c>
      <c r="K21" s="24" t="s">
        <v>280</v>
      </c>
      <c r="L21" s="24" t="s">
        <v>281</v>
      </c>
      <c r="M21" s="26" t="n">
        <f aca="false">COUNTIF(Ideias!$C:$C,A21)</f>
        <v>0</v>
      </c>
    </row>
  </sheetData>
  <autoFilter ref="A3:M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5CF6"/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3" min="3" style="0" width="36"/>
    <col collapsed="false" customWidth="true" hidden="false" outlineLevel="0" max="6" min="4" style="0" width="30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36"/>
  </cols>
  <sheetData>
    <row r="1" customFormat="false" ht="33.75" hidden="false" customHeight="true" outlineLevel="0" collapsed="false">
      <c r="A1" s="1" t="s">
        <v>282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3" t="s">
        <v>283</v>
      </c>
      <c r="B2" s="2"/>
      <c r="C2" s="2"/>
      <c r="D2" s="2"/>
      <c r="E2" s="2"/>
      <c r="F2" s="2"/>
      <c r="G2" s="2"/>
      <c r="H2" s="2"/>
      <c r="I2" s="2"/>
    </row>
    <row r="3" customFormat="false" ht="31.5" hidden="false" customHeight="true" outlineLevel="0" collapsed="false">
      <c r="A3" s="14" t="s">
        <v>284</v>
      </c>
      <c r="B3" s="14" t="s">
        <v>285</v>
      </c>
      <c r="C3" s="14" t="s">
        <v>286</v>
      </c>
      <c r="D3" s="14" t="s">
        <v>287</v>
      </c>
      <c r="E3" s="14" t="s">
        <v>288</v>
      </c>
      <c r="F3" s="14" t="s">
        <v>289</v>
      </c>
      <c r="G3" s="14" t="s">
        <v>78</v>
      </c>
      <c r="H3" s="14" t="s">
        <v>76</v>
      </c>
      <c r="I3" s="14" t="s">
        <v>290</v>
      </c>
    </row>
    <row r="4" customFormat="false" ht="61.5" hidden="false" customHeight="true" outlineLevel="0" collapsed="false">
      <c r="A4" s="5" t="s">
        <v>291</v>
      </c>
      <c r="B4" s="6" t="s">
        <v>292</v>
      </c>
      <c r="C4" s="6" t="s">
        <v>293</v>
      </c>
      <c r="D4" s="6" t="s">
        <v>294</v>
      </c>
      <c r="E4" s="6" t="s">
        <v>295</v>
      </c>
      <c r="F4" s="6" t="s">
        <v>296</v>
      </c>
      <c r="G4" s="6"/>
      <c r="H4" s="21" t="s">
        <v>297</v>
      </c>
      <c r="I4" s="6" t="s">
        <v>298</v>
      </c>
    </row>
    <row r="5" customFormat="false" ht="75.75" hidden="false" customHeight="true" outlineLevel="0" collapsed="false">
      <c r="A5" s="23" t="s">
        <v>299</v>
      </c>
      <c r="B5" s="24" t="s">
        <v>300</v>
      </c>
      <c r="C5" s="24" t="s">
        <v>301</v>
      </c>
      <c r="D5" s="24" t="s">
        <v>302</v>
      </c>
      <c r="E5" s="24" t="s">
        <v>303</v>
      </c>
      <c r="F5" s="24" t="s">
        <v>304</v>
      </c>
      <c r="G5" s="24" t="s">
        <v>101</v>
      </c>
      <c r="H5" s="25" t="s">
        <v>177</v>
      </c>
      <c r="I5" s="24" t="s">
        <v>305</v>
      </c>
    </row>
    <row r="6" customFormat="false" ht="90" hidden="false" customHeight="true" outlineLevel="0" collapsed="false">
      <c r="A6" s="5" t="s">
        <v>306</v>
      </c>
      <c r="B6" s="6" t="s">
        <v>307</v>
      </c>
      <c r="C6" s="6" t="s">
        <v>308</v>
      </c>
      <c r="D6" s="6" t="s">
        <v>309</v>
      </c>
      <c r="E6" s="6" t="s">
        <v>310</v>
      </c>
      <c r="F6" s="6" t="s">
        <v>311</v>
      </c>
      <c r="G6" s="6"/>
      <c r="H6" s="21" t="s">
        <v>312</v>
      </c>
      <c r="I6" s="6" t="s">
        <v>313</v>
      </c>
    </row>
    <row r="7" customFormat="false" ht="61.5" hidden="false" customHeight="true" outlineLevel="0" collapsed="false">
      <c r="A7" s="23" t="s">
        <v>314</v>
      </c>
      <c r="B7" s="24" t="s">
        <v>315</v>
      </c>
      <c r="C7" s="24" t="s">
        <v>316</v>
      </c>
      <c r="D7" s="24" t="s">
        <v>317</v>
      </c>
      <c r="E7" s="24" t="s">
        <v>318</v>
      </c>
      <c r="F7" s="24" t="s">
        <v>319</v>
      </c>
      <c r="G7" s="24" t="s">
        <v>320</v>
      </c>
      <c r="H7" s="25" t="s">
        <v>321</v>
      </c>
      <c r="I7" s="24" t="s">
        <v>322</v>
      </c>
    </row>
    <row r="8" customFormat="false" ht="33.75" hidden="false" customHeight="true" outlineLevel="0" collapsed="false">
      <c r="A8" s="5" t="s">
        <v>323</v>
      </c>
      <c r="B8" s="6" t="s">
        <v>324</v>
      </c>
      <c r="C8" s="6" t="s">
        <v>325</v>
      </c>
      <c r="D8" s="6" t="s">
        <v>326</v>
      </c>
      <c r="E8" s="6" t="s">
        <v>327</v>
      </c>
      <c r="F8" s="6" t="s">
        <v>328</v>
      </c>
      <c r="G8" s="6" t="s">
        <v>101</v>
      </c>
      <c r="H8" s="21" t="s">
        <v>99</v>
      </c>
      <c r="I8" s="6" t="s">
        <v>329</v>
      </c>
    </row>
    <row r="9" customFormat="false" ht="48" hidden="false" customHeight="true" outlineLevel="0" collapsed="false">
      <c r="A9" s="23" t="s">
        <v>330</v>
      </c>
      <c r="B9" s="24" t="s">
        <v>331</v>
      </c>
      <c r="C9" s="24" t="s">
        <v>332</v>
      </c>
      <c r="D9" s="24" t="s">
        <v>333</v>
      </c>
      <c r="E9" s="24" t="s">
        <v>334</v>
      </c>
      <c r="F9" s="24" t="s">
        <v>335</v>
      </c>
      <c r="G9" s="24" t="s">
        <v>101</v>
      </c>
      <c r="H9" s="25" t="s">
        <v>336</v>
      </c>
      <c r="I9" s="24" t="s">
        <v>337</v>
      </c>
    </row>
    <row r="10" customFormat="false" ht="48" hidden="false" customHeight="true" outlineLevel="0" collapsed="false">
      <c r="A10" s="5" t="s">
        <v>338</v>
      </c>
      <c r="B10" s="6" t="s">
        <v>339</v>
      </c>
      <c r="C10" s="6" t="s">
        <v>340</v>
      </c>
      <c r="D10" s="6" t="s">
        <v>341</v>
      </c>
      <c r="E10" s="6" t="s">
        <v>342</v>
      </c>
      <c r="F10" s="6" t="s">
        <v>343</v>
      </c>
      <c r="G10" s="6"/>
      <c r="H10" s="21" t="s">
        <v>344</v>
      </c>
      <c r="I10" s="6" t="s">
        <v>345</v>
      </c>
    </row>
    <row r="11" customFormat="false" ht="145.5" hidden="false" customHeight="true" outlineLevel="0" collapsed="false">
      <c r="A11" s="23" t="s">
        <v>346</v>
      </c>
      <c r="B11" s="24" t="s">
        <v>347</v>
      </c>
      <c r="C11" s="24" t="s">
        <v>348</v>
      </c>
      <c r="D11" s="24" t="s">
        <v>349</v>
      </c>
      <c r="E11" s="24" t="s">
        <v>350</v>
      </c>
      <c r="F11" s="24" t="s">
        <v>311</v>
      </c>
      <c r="G11" s="24" t="s">
        <v>351</v>
      </c>
      <c r="H11" s="25" t="s">
        <v>210</v>
      </c>
      <c r="I11" s="24" t="s">
        <v>352</v>
      </c>
    </row>
    <row r="12" customFormat="false" ht="75.75" hidden="false" customHeight="true" outlineLevel="0" collapsed="false">
      <c r="A12" s="5" t="s">
        <v>353</v>
      </c>
      <c r="B12" s="6" t="s">
        <v>354</v>
      </c>
      <c r="C12" s="6" t="s">
        <v>355</v>
      </c>
      <c r="D12" s="6" t="s">
        <v>356</v>
      </c>
      <c r="E12" s="6" t="s">
        <v>357</v>
      </c>
      <c r="F12" s="6" t="s">
        <v>213</v>
      </c>
      <c r="G12" s="6" t="s">
        <v>358</v>
      </c>
      <c r="H12" s="21" t="s">
        <v>359</v>
      </c>
      <c r="I12" s="6" t="s">
        <v>360</v>
      </c>
    </row>
    <row r="13" customFormat="false" ht="90" hidden="false" customHeight="true" outlineLevel="0" collapsed="false">
      <c r="A13" s="23" t="s">
        <v>17</v>
      </c>
      <c r="B13" s="24" t="s">
        <v>361</v>
      </c>
      <c r="C13" s="24" t="s">
        <v>362</v>
      </c>
      <c r="D13" s="24" t="s">
        <v>363</v>
      </c>
      <c r="E13" s="24" t="s">
        <v>364</v>
      </c>
      <c r="F13" s="24" t="s">
        <v>365</v>
      </c>
      <c r="G13" s="24" t="s">
        <v>366</v>
      </c>
      <c r="H13" s="25" t="s">
        <v>367</v>
      </c>
      <c r="I13" s="24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3D3D"/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6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28"/>
  </cols>
  <sheetData>
    <row r="1" customFormat="false" ht="33.75" hidden="false" customHeight="true" outlineLevel="0" collapsed="false">
      <c r="A1" s="1" t="s">
        <v>369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370</v>
      </c>
      <c r="B2" s="2"/>
      <c r="C2" s="2"/>
      <c r="D2" s="2"/>
      <c r="E2" s="2"/>
    </row>
    <row r="3" customFormat="false" ht="31.5" hidden="false" customHeight="true" outlineLevel="0" collapsed="false">
      <c r="A3" s="14" t="s">
        <v>371</v>
      </c>
      <c r="B3" s="14" t="s">
        <v>15</v>
      </c>
      <c r="C3" s="14" t="s">
        <v>372</v>
      </c>
      <c r="D3" s="14" t="s">
        <v>17</v>
      </c>
      <c r="E3" s="14" t="s">
        <v>18</v>
      </c>
    </row>
    <row r="4" customFormat="false" ht="33.75" hidden="false" customHeight="true" outlineLevel="0" collapsed="false">
      <c r="A4" s="5" t="s">
        <v>373</v>
      </c>
      <c r="B4" s="6" t="s">
        <v>374</v>
      </c>
      <c r="C4" s="6" t="s">
        <v>375</v>
      </c>
      <c r="D4" s="8" t="s">
        <v>376</v>
      </c>
      <c r="E4" s="8"/>
    </row>
    <row r="5" customFormat="false" ht="33.75" hidden="false" customHeight="true" outlineLevel="0" collapsed="false">
      <c r="A5" s="5" t="s">
        <v>377</v>
      </c>
      <c r="B5" s="6" t="s">
        <v>378</v>
      </c>
      <c r="C5" s="6" t="s">
        <v>379</v>
      </c>
      <c r="D5" s="8" t="s">
        <v>376</v>
      </c>
      <c r="E5" s="8"/>
    </row>
    <row r="6" customFormat="false" ht="19.5" hidden="false" customHeight="true" outlineLevel="0" collapsed="false">
      <c r="A6" s="5" t="s">
        <v>380</v>
      </c>
      <c r="B6" s="6" t="s">
        <v>381</v>
      </c>
      <c r="C6" s="6" t="s">
        <v>382</v>
      </c>
      <c r="D6" s="8" t="s">
        <v>22</v>
      </c>
      <c r="E6" s="8"/>
    </row>
    <row r="7" customFormat="false" ht="33.75" hidden="false" customHeight="true" outlineLevel="0" collapsed="false">
      <c r="A7" s="5" t="s">
        <v>383</v>
      </c>
      <c r="B7" s="6" t="s">
        <v>384</v>
      </c>
      <c r="C7" s="6" t="s">
        <v>385</v>
      </c>
      <c r="D7" s="8" t="s">
        <v>22</v>
      </c>
      <c r="E7" s="8"/>
    </row>
    <row r="8" customFormat="false" ht="19.5" hidden="false" customHeight="true" outlineLevel="0" collapsed="false">
      <c r="A8" s="5" t="s">
        <v>386</v>
      </c>
      <c r="B8" s="6" t="s">
        <v>387</v>
      </c>
      <c r="C8" s="6" t="s">
        <v>388</v>
      </c>
      <c r="D8" s="8" t="s">
        <v>389</v>
      </c>
      <c r="E8" s="8"/>
    </row>
    <row r="9" customFormat="false" ht="33.75" hidden="false" customHeight="true" outlineLevel="0" collapsed="false">
      <c r="A9" s="5" t="s">
        <v>390</v>
      </c>
      <c r="B9" s="6" t="s">
        <v>391</v>
      </c>
      <c r="C9" s="6" t="s">
        <v>392</v>
      </c>
      <c r="D9" s="8" t="s">
        <v>393</v>
      </c>
      <c r="E9" s="8"/>
    </row>
    <row r="10" customFormat="false" ht="19.5" hidden="false" customHeight="true" outlineLevel="0" collapsed="false">
      <c r="A10" s="5" t="s">
        <v>394</v>
      </c>
      <c r="B10" s="6" t="s">
        <v>395</v>
      </c>
      <c r="C10" s="6" t="s">
        <v>396</v>
      </c>
      <c r="D10" s="8" t="s">
        <v>393</v>
      </c>
      <c r="E10" s="8"/>
    </row>
    <row r="11" customFormat="false" ht="48" hidden="false" customHeight="true" outlineLevel="0" collapsed="false">
      <c r="A11" s="5" t="s">
        <v>397</v>
      </c>
      <c r="B11" s="6" t="s">
        <v>398</v>
      </c>
      <c r="C11" s="6" t="s">
        <v>399</v>
      </c>
      <c r="D11" s="8" t="s">
        <v>22</v>
      </c>
      <c r="E11" s="8"/>
    </row>
    <row r="12" customFormat="false" ht="33.75" hidden="false" customHeight="true" outlineLevel="0" collapsed="false">
      <c r="A12" s="5" t="s">
        <v>400</v>
      </c>
      <c r="B12" s="6" t="s">
        <v>401</v>
      </c>
      <c r="C12" s="6" t="s">
        <v>402</v>
      </c>
      <c r="D12" s="8" t="s">
        <v>22</v>
      </c>
      <c r="E12" s="8"/>
    </row>
    <row r="13" customFormat="false" ht="33.75" hidden="false" customHeight="true" outlineLevel="0" collapsed="false">
      <c r="A13" s="5" t="s">
        <v>403</v>
      </c>
      <c r="B13" s="6" t="s">
        <v>404</v>
      </c>
      <c r="C13" s="6" t="s">
        <v>405</v>
      </c>
      <c r="D13" s="8" t="s">
        <v>376</v>
      </c>
      <c r="E13" s="8"/>
    </row>
    <row r="14" customFormat="false" ht="19.5" hidden="false" customHeight="true" outlineLevel="0" collapsed="false">
      <c r="A14" s="5" t="s">
        <v>406</v>
      </c>
      <c r="B14" s="6" t="s">
        <v>407</v>
      </c>
      <c r="C14" s="6" t="s">
        <v>408</v>
      </c>
      <c r="D14" s="8" t="s">
        <v>409</v>
      </c>
      <c r="E14" s="8"/>
    </row>
    <row r="15" customFormat="false" ht="19.5" hidden="false" customHeight="true" outlineLevel="0" collapsed="false">
      <c r="A15" s="5" t="s">
        <v>410</v>
      </c>
      <c r="B15" s="6" t="s">
        <v>411</v>
      </c>
      <c r="C15" s="6" t="s">
        <v>412</v>
      </c>
      <c r="D15" s="8" t="s">
        <v>376</v>
      </c>
      <c r="E15" s="8"/>
    </row>
    <row r="16" customFormat="false" ht="33.75" hidden="false" customHeight="true" outlineLevel="0" collapsed="false">
      <c r="A16" s="5" t="s">
        <v>413</v>
      </c>
      <c r="B16" s="6" t="s">
        <v>414</v>
      </c>
      <c r="C16" s="6" t="s">
        <v>415</v>
      </c>
      <c r="D16" s="8" t="s">
        <v>22</v>
      </c>
      <c r="E16" s="8"/>
    </row>
    <row r="17" customFormat="false" ht="19.5" hidden="false" customHeight="true" outlineLevel="0" collapsed="false">
      <c r="A17" s="5" t="s">
        <v>416</v>
      </c>
      <c r="B17" s="6" t="s">
        <v>417</v>
      </c>
      <c r="C17" s="6" t="s">
        <v>418</v>
      </c>
      <c r="D17" s="8" t="s">
        <v>389</v>
      </c>
      <c r="E17" s="8"/>
    </row>
    <row r="18" customFormat="false" ht="19.5" hidden="false" customHeight="true" outlineLevel="0" collapsed="false">
      <c r="A18" s="5" t="s">
        <v>419</v>
      </c>
      <c r="B18" s="6" t="s">
        <v>420</v>
      </c>
      <c r="C18" s="6" t="s">
        <v>421</v>
      </c>
      <c r="D18" s="8" t="s">
        <v>22</v>
      </c>
      <c r="E18" s="8"/>
    </row>
    <row r="19" customFormat="false" ht="33.75" hidden="false" customHeight="true" outlineLevel="0" collapsed="false">
      <c r="A19" s="5" t="s">
        <v>422</v>
      </c>
      <c r="B19" s="6" t="s">
        <v>423</v>
      </c>
      <c r="C19" s="6" t="s">
        <v>424</v>
      </c>
      <c r="D19" s="8" t="s">
        <v>22</v>
      </c>
      <c r="E19" s="8"/>
    </row>
    <row r="20" customFormat="false" ht="33.75" hidden="false" customHeight="true" outlineLevel="0" collapsed="false">
      <c r="A20" s="5" t="s">
        <v>425</v>
      </c>
      <c r="B20" s="6" t="s">
        <v>426</v>
      </c>
      <c r="C20" s="6" t="s">
        <v>427</v>
      </c>
      <c r="D20" s="8" t="s">
        <v>428</v>
      </c>
      <c r="E20" s="8"/>
    </row>
    <row r="21" customFormat="false" ht="33.75" hidden="false" customHeight="true" outlineLevel="0" collapsed="false">
      <c r="A21" s="5" t="s">
        <v>23</v>
      </c>
      <c r="B21" s="6" t="s">
        <v>429</v>
      </c>
      <c r="C21" s="6" t="s">
        <v>430</v>
      </c>
      <c r="D21" s="8" t="s">
        <v>22</v>
      </c>
      <c r="E21" s="8"/>
    </row>
    <row r="22" customFormat="false" ht="33.75" hidden="false" customHeight="true" outlineLevel="0" collapsed="false">
      <c r="A22" s="5" t="s">
        <v>431</v>
      </c>
      <c r="B22" s="6" t="s">
        <v>432</v>
      </c>
      <c r="C22" s="6" t="s">
        <v>433</v>
      </c>
      <c r="D22" s="8" t="s">
        <v>434</v>
      </c>
      <c r="E22" s="8"/>
    </row>
  </sheetData>
  <conditionalFormatting sqref="D4:D22">
    <cfRule type="expression" priority="2" aboveAverage="0" equalAverage="0" bottom="0" percent="0" rank="0" text="" dxfId="4">
      <formula>LEFT($D4,9)="Confirmar"</formula>
    </cfRule>
    <cfRule type="expression" priority="3" aboveAverage="0" equalAverage="0" bottom="0" percent="0" rank="0" text="" dxfId="5">
      <formula>$D4="OK"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3D3D"/>
    <pageSetUpPr fitToPage="fals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34"/>
  </cols>
  <sheetData>
    <row r="1" customFormat="false" ht="33.75" hidden="false" customHeight="true" outlineLevel="0" collapsed="false">
      <c r="A1" s="1" t="s">
        <v>435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436</v>
      </c>
      <c r="B2" s="2"/>
      <c r="C2" s="2"/>
      <c r="D2" s="2"/>
      <c r="E2" s="2"/>
      <c r="F2" s="2"/>
    </row>
    <row r="3" customFormat="false" ht="31.5" hidden="false" customHeight="true" outlineLevel="0" collapsed="false">
      <c r="A3" s="14" t="s">
        <v>437</v>
      </c>
      <c r="B3" s="14" t="s">
        <v>438</v>
      </c>
      <c r="C3" s="14" t="s">
        <v>439</v>
      </c>
      <c r="D3" s="14" t="s">
        <v>440</v>
      </c>
      <c r="E3" s="14" t="s">
        <v>441</v>
      </c>
      <c r="F3" s="14" t="s">
        <v>442</v>
      </c>
    </row>
    <row r="4" customFormat="false" ht="33.75" hidden="false" customHeight="true" outlineLevel="0" collapsed="false">
      <c r="A4" s="5" t="s">
        <v>443</v>
      </c>
      <c r="B4" s="6" t="s">
        <v>444</v>
      </c>
      <c r="C4" s="6" t="s">
        <v>445</v>
      </c>
      <c r="D4" s="6" t="s">
        <v>446</v>
      </c>
      <c r="E4" s="8"/>
      <c r="F4" s="8"/>
    </row>
    <row r="5" customFormat="false" ht="33.75" hidden="false" customHeight="true" outlineLevel="0" collapsed="false">
      <c r="A5" s="5" t="s">
        <v>447</v>
      </c>
      <c r="B5" s="6" t="s">
        <v>448</v>
      </c>
      <c r="C5" s="6" t="s">
        <v>449</v>
      </c>
      <c r="D5" s="6" t="s">
        <v>450</v>
      </c>
      <c r="E5" s="8"/>
      <c r="F5" s="8"/>
    </row>
    <row r="6" customFormat="false" ht="33.75" hidden="false" customHeight="true" outlineLevel="0" collapsed="false">
      <c r="A6" s="5" t="s">
        <v>51</v>
      </c>
      <c r="B6" s="6" t="s">
        <v>451</v>
      </c>
      <c r="C6" s="6" t="s">
        <v>452</v>
      </c>
      <c r="D6" s="6" t="s">
        <v>453</v>
      </c>
      <c r="E6" s="8"/>
      <c r="F6" s="8"/>
    </row>
    <row r="7" customFormat="false" ht="33.75" hidden="false" customHeight="true" outlineLevel="0" collapsed="false">
      <c r="A7" s="5" t="s">
        <v>454</v>
      </c>
      <c r="B7" s="6" t="s">
        <v>455</v>
      </c>
      <c r="C7" s="6" t="s">
        <v>456</v>
      </c>
      <c r="D7" s="6" t="s">
        <v>457</v>
      </c>
      <c r="E7" s="8"/>
      <c r="F7" s="8"/>
    </row>
    <row r="8" customFormat="false" ht="33.75" hidden="false" customHeight="true" outlineLevel="0" collapsed="false">
      <c r="A8" s="5" t="s">
        <v>51</v>
      </c>
      <c r="B8" s="6" t="s">
        <v>458</v>
      </c>
      <c r="C8" s="6" t="s">
        <v>459</v>
      </c>
      <c r="D8" s="6" t="s">
        <v>460</v>
      </c>
      <c r="E8" s="8"/>
      <c r="F8" s="8"/>
    </row>
    <row r="9" customFormat="false" ht="33.75" hidden="false" customHeight="true" outlineLevel="0" collapsed="false">
      <c r="A9" s="5" t="s">
        <v>454</v>
      </c>
      <c r="B9" s="6" t="s">
        <v>461</v>
      </c>
      <c r="C9" s="6" t="s">
        <v>462</v>
      </c>
      <c r="D9" s="6" t="s">
        <v>463</v>
      </c>
      <c r="E9" s="8"/>
      <c r="F9" s="8"/>
    </row>
    <row r="10" customFormat="false" ht="33.75" hidden="false" customHeight="true" outlineLevel="0" collapsed="false">
      <c r="A10" s="5" t="s">
        <v>454</v>
      </c>
      <c r="B10" s="6" t="s">
        <v>464</v>
      </c>
      <c r="C10" s="6" t="s">
        <v>465</v>
      </c>
      <c r="D10" s="6" t="s">
        <v>466</v>
      </c>
      <c r="E10" s="8"/>
      <c r="F10" s="8"/>
    </row>
    <row r="11" customFormat="false" ht="33.75" hidden="false" customHeight="true" outlineLevel="0" collapsed="false">
      <c r="A11" s="5" t="s">
        <v>447</v>
      </c>
      <c r="B11" s="6" t="s">
        <v>467</v>
      </c>
      <c r="C11" s="6" t="s">
        <v>468</v>
      </c>
      <c r="D11" s="6" t="s">
        <v>469</v>
      </c>
      <c r="E11" s="8"/>
      <c r="F11" s="8"/>
    </row>
    <row r="12" customFormat="false" ht="33.75" hidden="false" customHeight="true" outlineLevel="0" collapsed="false">
      <c r="A12" s="5" t="s">
        <v>470</v>
      </c>
      <c r="B12" s="6" t="s">
        <v>471</v>
      </c>
      <c r="C12" s="6" t="s">
        <v>472</v>
      </c>
      <c r="D12" s="6" t="s">
        <v>473</v>
      </c>
      <c r="E12" s="8"/>
      <c r="F12" s="8"/>
    </row>
    <row r="13" customFormat="false" ht="33.75" hidden="false" customHeight="true" outlineLevel="0" collapsed="false">
      <c r="A13" s="5" t="s">
        <v>447</v>
      </c>
      <c r="B13" s="6" t="s">
        <v>474</v>
      </c>
      <c r="C13" s="6" t="s">
        <v>475</v>
      </c>
      <c r="D13" s="6" t="s">
        <v>476</v>
      </c>
      <c r="E13" s="8"/>
      <c r="F13" s="8"/>
    </row>
    <row r="14" customFormat="false" ht="33.75" hidden="false" customHeight="true" outlineLevel="0" collapsed="false">
      <c r="A14" s="5" t="s">
        <v>447</v>
      </c>
      <c r="B14" s="6" t="s">
        <v>477</v>
      </c>
      <c r="C14" s="6" t="s">
        <v>478</v>
      </c>
      <c r="D14" s="6" t="s">
        <v>469</v>
      </c>
      <c r="E14" s="8"/>
      <c r="F14" s="8"/>
    </row>
    <row r="15" customFormat="false" ht="33.75" hidden="false" customHeight="true" outlineLevel="0" collapsed="false">
      <c r="A15" s="5" t="s">
        <v>447</v>
      </c>
      <c r="B15" s="6" t="s">
        <v>479</v>
      </c>
      <c r="C15" s="6" t="s">
        <v>480</v>
      </c>
      <c r="D15" s="6" t="s">
        <v>481</v>
      </c>
      <c r="E15" s="8"/>
      <c r="F15" s="8"/>
    </row>
    <row r="16" customFormat="false" ht="33.75" hidden="false" customHeight="true" outlineLevel="0" collapsed="false">
      <c r="A16" s="5" t="s">
        <v>443</v>
      </c>
      <c r="B16" s="6" t="s">
        <v>482</v>
      </c>
      <c r="C16" s="6" t="s">
        <v>483</v>
      </c>
      <c r="D16" s="6" t="s">
        <v>484</v>
      </c>
      <c r="E16" s="8"/>
      <c r="F16" s="8"/>
    </row>
    <row r="17" customFormat="false" ht="33.75" hidden="false" customHeight="true" outlineLevel="0" collapsed="false">
      <c r="A17" s="5" t="s">
        <v>447</v>
      </c>
      <c r="B17" s="6" t="s">
        <v>485</v>
      </c>
      <c r="C17" s="6" t="s">
        <v>486</v>
      </c>
      <c r="D17" s="6" t="s">
        <v>487</v>
      </c>
      <c r="E17" s="8"/>
      <c r="F17" s="8"/>
    </row>
    <row r="18" customFormat="false" ht="33.75" hidden="false" customHeight="true" outlineLevel="0" collapsed="false">
      <c r="A18" s="5" t="s">
        <v>51</v>
      </c>
      <c r="B18" s="6" t="s">
        <v>488</v>
      </c>
      <c r="C18" s="6" t="s">
        <v>489</v>
      </c>
      <c r="D18" s="6" t="s">
        <v>490</v>
      </c>
      <c r="E18" s="8"/>
      <c r="F18" s="8"/>
    </row>
    <row r="19" customFormat="false" ht="33.75" hidden="false" customHeight="true" outlineLevel="0" collapsed="false">
      <c r="A19" s="5" t="s">
        <v>491</v>
      </c>
      <c r="B19" s="6" t="s">
        <v>492</v>
      </c>
      <c r="C19" s="6" t="s">
        <v>493</v>
      </c>
      <c r="D19" s="6" t="s">
        <v>494</v>
      </c>
      <c r="E19" s="8"/>
      <c r="F19" s="8"/>
    </row>
    <row r="20" customFormat="false" ht="33.75" hidden="false" customHeight="true" outlineLevel="0" collapsed="false">
      <c r="A20" s="5" t="s">
        <v>443</v>
      </c>
      <c r="B20" s="6" t="s">
        <v>495</v>
      </c>
      <c r="C20" s="6" t="s">
        <v>496</v>
      </c>
      <c r="D20" s="6" t="s">
        <v>497</v>
      </c>
      <c r="E20" s="8"/>
      <c r="F20" s="8"/>
    </row>
    <row r="21" customFormat="false" ht="33.75" hidden="false" customHeight="true" outlineLevel="0" collapsed="false">
      <c r="A21" s="5" t="s">
        <v>443</v>
      </c>
      <c r="B21" s="6" t="s">
        <v>498</v>
      </c>
      <c r="C21" s="6" t="s">
        <v>499</v>
      </c>
      <c r="D21" s="6" t="s">
        <v>500</v>
      </c>
      <c r="E21" s="8"/>
      <c r="F21" s="8"/>
    </row>
    <row r="22" customFormat="false" ht="33.75" hidden="false" customHeight="true" outlineLevel="0" collapsed="false">
      <c r="A22" s="5" t="s">
        <v>51</v>
      </c>
      <c r="B22" s="6" t="s">
        <v>501</v>
      </c>
      <c r="C22" s="6" t="s">
        <v>502</v>
      </c>
      <c r="D22" s="6" t="s">
        <v>503</v>
      </c>
      <c r="E22" s="8"/>
      <c r="F22" s="8"/>
    </row>
    <row r="23" customFormat="false" ht="33.75" hidden="false" customHeight="true" outlineLevel="0" collapsed="false">
      <c r="A23" s="5" t="s">
        <v>491</v>
      </c>
      <c r="B23" s="6" t="s">
        <v>504</v>
      </c>
      <c r="C23" s="6" t="s">
        <v>505</v>
      </c>
      <c r="D23" s="6" t="s">
        <v>506</v>
      </c>
      <c r="E23" s="8"/>
      <c r="F23" s="8"/>
    </row>
    <row r="24" customFormat="false" ht="33.75" hidden="false" customHeight="true" outlineLevel="0" collapsed="false">
      <c r="A24" s="5" t="s">
        <v>443</v>
      </c>
      <c r="B24" s="6" t="s">
        <v>507</v>
      </c>
      <c r="C24" s="6" t="s">
        <v>508</v>
      </c>
      <c r="D24" s="6" t="s">
        <v>509</v>
      </c>
      <c r="E24" s="8"/>
      <c r="F24" s="8"/>
    </row>
    <row r="25" customFormat="false" ht="33.75" hidden="false" customHeight="true" outlineLevel="0" collapsed="false">
      <c r="A25" s="5" t="s">
        <v>491</v>
      </c>
      <c r="B25" s="6" t="s">
        <v>510</v>
      </c>
      <c r="C25" s="6" t="s">
        <v>511</v>
      </c>
      <c r="D25" s="6" t="s">
        <v>512</v>
      </c>
      <c r="E25" s="8"/>
      <c r="F25" s="8"/>
    </row>
    <row r="26" customFormat="false" ht="48" hidden="false" customHeight="true" outlineLevel="0" collapsed="false">
      <c r="A26" s="5" t="s">
        <v>513</v>
      </c>
      <c r="B26" s="6" t="s">
        <v>514</v>
      </c>
      <c r="C26" s="6" t="s">
        <v>515</v>
      </c>
      <c r="D26" s="6"/>
      <c r="E26" s="8"/>
      <c r="F26" s="8"/>
    </row>
    <row r="27" customFormat="false" ht="48" hidden="false" customHeight="true" outlineLevel="0" collapsed="false">
      <c r="A27" s="5" t="s">
        <v>516</v>
      </c>
      <c r="B27" s="6" t="s">
        <v>517</v>
      </c>
      <c r="C27" s="6" t="s">
        <v>518</v>
      </c>
      <c r="D27" s="6"/>
      <c r="E27" s="8"/>
      <c r="F27" s="8"/>
    </row>
    <row r="28" customFormat="false" ht="33.75" hidden="false" customHeight="true" outlineLevel="0" collapsed="false">
      <c r="A28" s="5" t="s">
        <v>519</v>
      </c>
      <c r="B28" s="6" t="s">
        <v>520</v>
      </c>
      <c r="C28" s="6" t="s">
        <v>521</v>
      </c>
      <c r="D28" s="6"/>
      <c r="E28" s="8"/>
      <c r="F28" s="8"/>
    </row>
    <row r="29" customFormat="false" ht="48" hidden="false" customHeight="true" outlineLevel="0" collapsed="false">
      <c r="A29" s="5" t="s">
        <v>522</v>
      </c>
      <c r="B29" s="6" t="s">
        <v>523</v>
      </c>
      <c r="C29" s="6" t="s">
        <v>524</v>
      </c>
      <c r="D29" s="6"/>
      <c r="E29" s="8"/>
      <c r="F29" s="8"/>
    </row>
    <row r="30" customFormat="false" ht="48" hidden="false" customHeight="true" outlineLevel="0" collapsed="false">
      <c r="A30" s="5" t="s">
        <v>525</v>
      </c>
      <c r="B30" s="6" t="s">
        <v>526</v>
      </c>
      <c r="C30" s="6" t="s">
        <v>527</v>
      </c>
      <c r="D30" s="6"/>
      <c r="E30" s="8"/>
      <c r="F30" s="8"/>
    </row>
    <row r="31" customFormat="false" ht="33.75" hidden="false" customHeight="true" outlineLevel="0" collapsed="false">
      <c r="A31" s="5" t="s">
        <v>528</v>
      </c>
      <c r="B31" s="6" t="s">
        <v>529</v>
      </c>
      <c r="C31" s="6" t="s">
        <v>530</v>
      </c>
      <c r="D31" s="6"/>
      <c r="E31" s="8"/>
      <c r="F31" s="8"/>
    </row>
    <row r="32" customFormat="false" ht="33.75" hidden="false" customHeight="true" outlineLevel="0" collapsed="false">
      <c r="A32" s="5" t="s">
        <v>531</v>
      </c>
      <c r="B32" s="6" t="s">
        <v>532</v>
      </c>
      <c r="C32" s="6" t="s">
        <v>533</v>
      </c>
      <c r="D32" s="6"/>
      <c r="E32" s="8"/>
      <c r="F32" s="8"/>
    </row>
    <row r="33" customFormat="false" ht="48" hidden="false" customHeight="true" outlineLevel="0" collapsed="false">
      <c r="A33" s="5" t="s">
        <v>534</v>
      </c>
      <c r="B33" s="6" t="s">
        <v>535</v>
      </c>
      <c r="C33" s="6" t="s">
        <v>536</v>
      </c>
      <c r="D33" s="6"/>
      <c r="E33" s="8"/>
      <c r="F33" s="8"/>
    </row>
    <row r="34" customFormat="false" ht="33.75" hidden="false" customHeight="true" outlineLevel="0" collapsed="false">
      <c r="A34" s="5" t="s">
        <v>537</v>
      </c>
      <c r="B34" s="6" t="s">
        <v>538</v>
      </c>
      <c r="C34" s="6" t="s">
        <v>539</v>
      </c>
      <c r="D34" s="6"/>
      <c r="E34" s="8"/>
      <c r="F34" s="8"/>
    </row>
    <row r="35" customFormat="false" ht="48" hidden="false" customHeight="true" outlineLevel="0" collapsed="false">
      <c r="A35" s="5" t="s">
        <v>540</v>
      </c>
      <c r="B35" s="6" t="s">
        <v>541</v>
      </c>
      <c r="C35" s="6" t="s">
        <v>542</v>
      </c>
      <c r="D35" s="6"/>
      <c r="E35" s="8"/>
      <c r="F35" s="8"/>
    </row>
    <row r="36" customFormat="false" ht="33.75" hidden="false" customHeight="true" outlineLevel="0" collapsed="false">
      <c r="A36" s="5" t="s">
        <v>543</v>
      </c>
      <c r="B36" s="6" t="s">
        <v>544</v>
      </c>
      <c r="C36" s="6" t="s">
        <v>545</v>
      </c>
      <c r="D36" s="6"/>
      <c r="E36" s="8"/>
      <c r="F36" s="8"/>
    </row>
    <row r="37" customFormat="false" ht="48" hidden="false" customHeight="true" outlineLevel="0" collapsed="false">
      <c r="A37" s="5" t="s">
        <v>546</v>
      </c>
      <c r="B37" s="6" t="s">
        <v>547</v>
      </c>
      <c r="C37" s="6" t="s">
        <v>548</v>
      </c>
      <c r="D37" s="6"/>
      <c r="E37" s="8"/>
      <c r="F37" s="8"/>
    </row>
    <row r="38" customFormat="false" ht="48" hidden="false" customHeight="true" outlineLevel="0" collapsed="false">
      <c r="A38" s="5" t="s">
        <v>549</v>
      </c>
      <c r="B38" s="6" t="s">
        <v>550</v>
      </c>
      <c r="C38" s="6" t="s">
        <v>551</v>
      </c>
      <c r="D38" s="6"/>
      <c r="E38" s="8"/>
      <c r="F38" s="8"/>
    </row>
    <row r="39" customFormat="false" ht="48" hidden="false" customHeight="true" outlineLevel="0" collapsed="false">
      <c r="A39" s="5" t="s">
        <v>552</v>
      </c>
      <c r="B39" s="6" t="s">
        <v>553</v>
      </c>
      <c r="C39" s="6" t="s">
        <v>554</v>
      </c>
      <c r="D39" s="6"/>
      <c r="E39" s="8"/>
      <c r="F39" s="8"/>
    </row>
    <row r="40" customFormat="false" ht="48" hidden="false" customHeight="true" outlineLevel="0" collapsed="false">
      <c r="A40" s="5" t="s">
        <v>555</v>
      </c>
      <c r="B40" s="6" t="s">
        <v>556</v>
      </c>
      <c r="C40" s="6" t="s">
        <v>557</v>
      </c>
      <c r="D40" s="6"/>
      <c r="E40" s="8"/>
      <c r="F40" s="8"/>
    </row>
    <row r="41" customFormat="false" ht="48" hidden="false" customHeight="true" outlineLevel="0" collapsed="false">
      <c r="A41" s="5" t="s">
        <v>558</v>
      </c>
      <c r="B41" s="6" t="s">
        <v>559</v>
      </c>
      <c r="C41" s="6" t="s">
        <v>560</v>
      </c>
      <c r="D41" s="6"/>
      <c r="E41" s="8"/>
      <c r="F41" s="8"/>
    </row>
    <row r="42" customFormat="false" ht="48" hidden="false" customHeight="true" outlineLevel="0" collapsed="false">
      <c r="A42" s="5" t="s">
        <v>561</v>
      </c>
      <c r="B42" s="6" t="s">
        <v>562</v>
      </c>
      <c r="C42" s="6" t="s">
        <v>563</v>
      </c>
      <c r="D42" s="6"/>
      <c r="E42" s="8"/>
      <c r="F42" s="8"/>
    </row>
    <row r="43" customFormat="false" ht="48" hidden="false" customHeight="true" outlineLevel="0" collapsed="false">
      <c r="A43" s="5" t="s">
        <v>564</v>
      </c>
      <c r="B43" s="6" t="s">
        <v>565</v>
      </c>
      <c r="C43" s="6" t="s">
        <v>566</v>
      </c>
      <c r="D43" s="6"/>
      <c r="E43" s="8"/>
      <c r="F43" s="8"/>
    </row>
  </sheetData>
  <autoFilter ref="A3:F43"/>
  <dataValidations count="1">
    <dataValidation allowBlank="true" errorStyle="stop" operator="between" showDropDown="false" showErrorMessage="false" showInputMessage="false" sqref="E4:E43" type="list">
      <formula1>"Sim,Parcial,Não"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3D3D"/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0"/>
    <col collapsed="false" customWidth="true" hidden="false" outlineLevel="0" max="5" min="4" style="0" width="34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22"/>
  </cols>
  <sheetData>
    <row r="1" customFormat="false" ht="33.75" hidden="false" customHeight="true" outlineLevel="0" collapsed="false">
      <c r="A1" s="1" t="s">
        <v>567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3" t="s">
        <v>568</v>
      </c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14" t="s">
        <v>569</v>
      </c>
      <c r="B3" s="14" t="s">
        <v>44</v>
      </c>
      <c r="C3" s="14" t="s">
        <v>71</v>
      </c>
      <c r="D3" s="14" t="s">
        <v>570</v>
      </c>
      <c r="E3" s="14" t="s">
        <v>571</v>
      </c>
      <c r="F3" s="14" t="s">
        <v>572</v>
      </c>
      <c r="G3" s="14" t="s">
        <v>573</v>
      </c>
      <c r="H3" s="14" t="s">
        <v>17</v>
      </c>
    </row>
    <row r="4" customFormat="false" ht="39.75" hidden="false" customHeight="true" outlineLevel="0" collapsed="false">
      <c r="A4" s="5" t="s">
        <v>101</v>
      </c>
      <c r="B4" s="6" t="s">
        <v>45</v>
      </c>
      <c r="C4" s="6" t="s">
        <v>574</v>
      </c>
      <c r="D4" s="8"/>
      <c r="E4" s="8"/>
      <c r="F4" s="8"/>
      <c r="G4" s="8"/>
      <c r="H4" s="8" t="s">
        <v>575</v>
      </c>
    </row>
    <row r="5" customFormat="false" ht="39.75" hidden="false" customHeight="true" outlineLevel="0" collapsed="false">
      <c r="A5" s="5" t="s">
        <v>576</v>
      </c>
      <c r="B5" s="6" t="s">
        <v>203</v>
      </c>
      <c r="C5" s="6" t="s">
        <v>577</v>
      </c>
      <c r="D5" s="8"/>
      <c r="E5" s="8"/>
      <c r="F5" s="8"/>
      <c r="G5" s="8"/>
      <c r="H5" s="8" t="s">
        <v>578</v>
      </c>
    </row>
    <row r="6" customFormat="false" ht="39.75" hidden="false" customHeight="true" outlineLevel="0" collapsed="false">
      <c r="A6" s="5" t="s">
        <v>366</v>
      </c>
      <c r="B6" s="6" t="s">
        <v>203</v>
      </c>
      <c r="C6" s="6" t="s">
        <v>579</v>
      </c>
      <c r="D6" s="8"/>
      <c r="E6" s="8"/>
      <c r="F6" s="8"/>
      <c r="G6" s="8"/>
      <c r="H6" s="8" t="s">
        <v>575</v>
      </c>
    </row>
    <row r="7" customFormat="false" ht="39.75" hidden="false" customHeight="true" outlineLevel="0" collapsed="false">
      <c r="A7" s="5" t="s">
        <v>580</v>
      </c>
      <c r="B7" s="6" t="s">
        <v>203</v>
      </c>
      <c r="C7" s="6" t="s">
        <v>577</v>
      </c>
      <c r="D7" s="8"/>
      <c r="E7" s="8"/>
      <c r="F7" s="8"/>
      <c r="G7" s="8"/>
      <c r="H7" s="8" t="s">
        <v>575</v>
      </c>
    </row>
    <row r="8" customFormat="false" ht="39.75" hidden="false" customHeight="true" outlineLevel="0" collapsed="false">
      <c r="A8" s="5" t="s">
        <v>581</v>
      </c>
      <c r="B8" s="6" t="s">
        <v>582</v>
      </c>
      <c r="C8" s="6"/>
      <c r="D8" s="8"/>
      <c r="E8" s="8"/>
      <c r="F8" s="8"/>
      <c r="G8" s="8"/>
      <c r="H8" s="8" t="s">
        <v>376</v>
      </c>
    </row>
    <row r="9" customFormat="false" ht="39.75" hidden="false" customHeight="true" outlineLevel="0" collapsed="false">
      <c r="A9" s="5" t="s">
        <v>246</v>
      </c>
      <c r="B9" s="6" t="s">
        <v>271</v>
      </c>
      <c r="C9" s="6" t="s">
        <v>583</v>
      </c>
      <c r="D9" s="8"/>
      <c r="E9" s="8"/>
      <c r="F9" s="8"/>
      <c r="G9" s="8"/>
      <c r="H9" s="8" t="s">
        <v>575</v>
      </c>
    </row>
    <row r="10" customFormat="false" ht="15" hidden="false" customHeight="false" outlineLevel="0" collapsed="false">
      <c r="A10" s="27"/>
      <c r="B10" s="27"/>
      <c r="C10" s="27"/>
      <c r="D10" s="27"/>
      <c r="E10" s="27"/>
      <c r="F10" s="27"/>
      <c r="G10" s="27"/>
      <c r="H10" s="27"/>
    </row>
    <row r="11" customFormat="false" ht="15" hidden="false" customHeight="false" outlineLevel="0" collapsed="false">
      <c r="A11" s="27"/>
      <c r="B11" s="27"/>
      <c r="C11" s="27"/>
      <c r="D11" s="27"/>
      <c r="E11" s="27"/>
      <c r="F11" s="27"/>
      <c r="G11" s="27"/>
      <c r="H11" s="27"/>
    </row>
    <row r="12" customFormat="false" ht="15" hidden="false" customHeight="false" outlineLevel="0" collapsed="false">
      <c r="A12" s="27"/>
      <c r="B12" s="27"/>
      <c r="C12" s="27"/>
      <c r="D12" s="27"/>
      <c r="E12" s="27"/>
      <c r="F12" s="27"/>
      <c r="G12" s="27"/>
      <c r="H12" s="27"/>
    </row>
    <row r="13" customFormat="false" ht="15" hidden="false" customHeight="false" outlineLevel="0" collapsed="false">
      <c r="A13" s="27"/>
      <c r="B13" s="27"/>
      <c r="C13" s="27"/>
      <c r="D13" s="27"/>
      <c r="E13" s="27"/>
      <c r="F13" s="27"/>
      <c r="G13" s="27"/>
      <c r="H13" s="27"/>
    </row>
    <row r="14" customFormat="false" ht="15" hidden="false" customHeight="false" outlineLevel="0" collapsed="false">
      <c r="A14" s="27"/>
      <c r="B14" s="27"/>
      <c r="C14" s="27"/>
      <c r="D14" s="27"/>
      <c r="E14" s="27"/>
      <c r="F14" s="27"/>
      <c r="G14" s="27"/>
      <c r="H14" s="27"/>
    </row>
    <row r="15" customFormat="false" ht="15" hidden="false" customHeight="false" outlineLevel="0" collapsed="false">
      <c r="A15" s="27"/>
      <c r="B15" s="27"/>
      <c r="C15" s="27"/>
      <c r="D15" s="27"/>
      <c r="E15" s="27"/>
      <c r="F15" s="27"/>
      <c r="G15" s="27"/>
      <c r="H15" s="27"/>
    </row>
    <row r="16" customFormat="false" ht="15" hidden="false" customHeight="false" outlineLevel="0" collapsed="false">
      <c r="A16" s="27"/>
      <c r="B16" s="27"/>
      <c r="C16" s="27"/>
      <c r="D16" s="27"/>
      <c r="E16" s="27"/>
      <c r="F16" s="27"/>
      <c r="G16" s="27"/>
      <c r="H16" s="27"/>
    </row>
    <row r="17" customFormat="false" ht="15" hidden="false" customHeight="false" outlineLevel="0" collapsed="false">
      <c r="A17" s="27"/>
      <c r="B17" s="27"/>
      <c r="C17" s="27"/>
      <c r="D17" s="27"/>
      <c r="E17" s="27"/>
      <c r="F17" s="27"/>
      <c r="G17" s="27"/>
      <c r="H17" s="27"/>
    </row>
    <row r="18" customFormat="false" ht="15" hidden="false" customHeight="false" outlineLevel="0" collapsed="false">
      <c r="A18" s="27"/>
      <c r="B18" s="27"/>
      <c r="C18" s="27"/>
      <c r="D18" s="27"/>
      <c r="E18" s="27"/>
      <c r="F18" s="27"/>
      <c r="G18" s="27"/>
      <c r="H18" s="27"/>
    </row>
    <row r="19" customFormat="false" ht="15" hidden="false" customHeight="false" outlineLevel="0" collapsed="false">
      <c r="A19" s="27"/>
      <c r="B19" s="27"/>
      <c r="C19" s="27"/>
      <c r="D19" s="27"/>
      <c r="E19" s="27"/>
      <c r="F19" s="27"/>
      <c r="G19" s="27"/>
      <c r="H19" s="27"/>
    </row>
  </sheetData>
  <dataValidations count="1">
    <dataValidation allowBlank="true" errorStyle="stop" operator="between" showDropDown="false" showErrorMessage="false" showInputMessage="false" sqref="G4:G19" type="list">
      <formula1>"Sim,Não,A confirmar"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3D3D"/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36"/>
    <col collapsed="false" customWidth="true" hidden="false" outlineLevel="0" max="6" min="6" style="0" width="42"/>
    <col collapsed="false" customWidth="true" hidden="false" outlineLevel="0" max="7" min="7" style="0" width="34"/>
  </cols>
  <sheetData>
    <row r="1" customFormat="false" ht="33.75" hidden="false" customHeight="true" outlineLevel="0" collapsed="false">
      <c r="A1" s="1" t="s">
        <v>584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585</v>
      </c>
      <c r="B2" s="2"/>
      <c r="C2" s="2"/>
      <c r="D2" s="2"/>
      <c r="E2" s="2"/>
      <c r="F2" s="2"/>
      <c r="G2" s="2"/>
    </row>
    <row r="3" customFormat="false" ht="31.5" hidden="false" customHeight="true" outlineLevel="0" collapsed="false">
      <c r="A3" s="14" t="s">
        <v>44</v>
      </c>
      <c r="B3" s="14" t="s">
        <v>586</v>
      </c>
      <c r="C3" s="14" t="s">
        <v>587</v>
      </c>
      <c r="D3" s="14" t="s">
        <v>588</v>
      </c>
      <c r="E3" s="14" t="s">
        <v>589</v>
      </c>
      <c r="F3" s="14" t="s">
        <v>590</v>
      </c>
      <c r="G3" s="14" t="s">
        <v>591</v>
      </c>
    </row>
    <row r="4" customFormat="false" ht="103.5" hidden="false" customHeight="true" outlineLevel="0" collapsed="false">
      <c r="A4" s="5" t="s">
        <v>82</v>
      </c>
      <c r="B4" s="6" t="s">
        <v>592</v>
      </c>
      <c r="C4" s="6" t="s">
        <v>593</v>
      </c>
      <c r="D4" s="6" t="s">
        <v>594</v>
      </c>
      <c r="E4" s="6" t="s">
        <v>595</v>
      </c>
      <c r="F4" s="6" t="s">
        <v>596</v>
      </c>
      <c r="G4" s="6" t="s">
        <v>597</v>
      </c>
    </row>
    <row r="5" customFormat="false" ht="90" hidden="false" customHeight="true" outlineLevel="0" collapsed="false">
      <c r="A5" s="23" t="s">
        <v>45</v>
      </c>
      <c r="B5" s="24" t="s">
        <v>598</v>
      </c>
      <c r="C5" s="24" t="s">
        <v>599</v>
      </c>
      <c r="D5" s="24" t="s">
        <v>600</v>
      </c>
      <c r="E5" s="24" t="s">
        <v>601</v>
      </c>
      <c r="F5" s="24" t="s">
        <v>602</v>
      </c>
      <c r="G5" s="24" t="s">
        <v>603</v>
      </c>
    </row>
    <row r="6" customFormat="false" ht="75.75" hidden="false" customHeight="true" outlineLevel="0" collapsed="false">
      <c r="A6" s="5" t="s">
        <v>104</v>
      </c>
      <c r="B6" s="6" t="s">
        <v>604</v>
      </c>
      <c r="C6" s="6" t="s">
        <v>605</v>
      </c>
      <c r="D6" s="6" t="s">
        <v>606</v>
      </c>
      <c r="E6" s="6" t="s">
        <v>607</v>
      </c>
      <c r="F6" s="6" t="s">
        <v>608</v>
      </c>
      <c r="G6" s="6" t="s">
        <v>609</v>
      </c>
    </row>
    <row r="7" customFormat="false" ht="75.75" hidden="false" customHeight="true" outlineLevel="0" collapsed="false">
      <c r="A7" s="23" t="s">
        <v>115</v>
      </c>
      <c r="B7" s="24" t="s">
        <v>610</v>
      </c>
      <c r="C7" s="24" t="s">
        <v>611</v>
      </c>
      <c r="D7" s="24" t="s">
        <v>612</v>
      </c>
      <c r="E7" s="24" t="s">
        <v>613</v>
      </c>
      <c r="F7" s="24" t="s">
        <v>614</v>
      </c>
      <c r="G7" s="24" t="s">
        <v>615</v>
      </c>
    </row>
    <row r="8" customFormat="false" ht="75.75" hidden="false" customHeight="true" outlineLevel="0" collapsed="false">
      <c r="A8" s="5" t="s">
        <v>126</v>
      </c>
      <c r="B8" s="6" t="s">
        <v>616</v>
      </c>
      <c r="C8" s="6" t="s">
        <v>617</v>
      </c>
      <c r="D8" s="6" t="s">
        <v>618</v>
      </c>
      <c r="E8" s="6" t="s">
        <v>619</v>
      </c>
      <c r="F8" s="6" t="s">
        <v>620</v>
      </c>
      <c r="G8" s="6" t="s">
        <v>621</v>
      </c>
    </row>
    <row r="9" customFormat="false" ht="90" hidden="false" customHeight="true" outlineLevel="0" collapsed="false">
      <c r="A9" s="23" t="s">
        <v>137</v>
      </c>
      <c r="B9" s="24" t="s">
        <v>622</v>
      </c>
      <c r="C9" s="24" t="s">
        <v>623</v>
      </c>
      <c r="D9" s="24" t="s">
        <v>624</v>
      </c>
      <c r="E9" s="24" t="s">
        <v>625</v>
      </c>
      <c r="F9" s="24" t="s">
        <v>626</v>
      </c>
      <c r="G9" s="24" t="s">
        <v>627</v>
      </c>
    </row>
    <row r="10" customFormat="false" ht="75.75" hidden="false" customHeight="true" outlineLevel="0" collapsed="false">
      <c r="A10" s="5" t="s">
        <v>148</v>
      </c>
      <c r="B10" s="6" t="s">
        <v>628</v>
      </c>
      <c r="C10" s="6" t="s">
        <v>629</v>
      </c>
      <c r="D10" s="6" t="s">
        <v>630</v>
      </c>
      <c r="E10" s="6" t="s">
        <v>631</v>
      </c>
      <c r="F10" s="6" t="s">
        <v>632</v>
      </c>
      <c r="G10" s="6" t="s">
        <v>633</v>
      </c>
    </row>
    <row r="11" customFormat="false" ht="61.5" hidden="false" customHeight="true" outlineLevel="0" collapsed="false">
      <c r="A11" s="23" t="s">
        <v>159</v>
      </c>
      <c r="B11" s="24" t="s">
        <v>634</v>
      </c>
      <c r="C11" s="24" t="s">
        <v>635</v>
      </c>
      <c r="D11" s="24" t="s">
        <v>636</v>
      </c>
      <c r="E11" s="24" t="s">
        <v>637</v>
      </c>
      <c r="F11" s="24" t="s">
        <v>638</v>
      </c>
      <c r="G11" s="24" t="s">
        <v>639</v>
      </c>
    </row>
    <row r="12" customFormat="false" ht="75.75" hidden="false" customHeight="true" outlineLevel="0" collapsed="false">
      <c r="A12" s="5" t="s">
        <v>170</v>
      </c>
      <c r="B12" s="6" t="s">
        <v>640</v>
      </c>
      <c r="C12" s="6" t="s">
        <v>641</v>
      </c>
      <c r="D12" s="6" t="s">
        <v>642</v>
      </c>
      <c r="E12" s="6" t="s">
        <v>643</v>
      </c>
      <c r="F12" s="6" t="s">
        <v>644</v>
      </c>
      <c r="G12" s="6" t="s">
        <v>645</v>
      </c>
    </row>
    <row r="13" customFormat="false" ht="61.5" hidden="false" customHeight="true" outlineLevel="0" collapsed="false">
      <c r="A13" s="23" t="s">
        <v>181</v>
      </c>
      <c r="B13" s="24" t="s">
        <v>646</v>
      </c>
      <c r="C13" s="24" t="s">
        <v>647</v>
      </c>
      <c r="D13" s="24" t="s">
        <v>648</v>
      </c>
      <c r="E13" s="24" t="s">
        <v>649</v>
      </c>
      <c r="F13" s="24" t="s">
        <v>650</v>
      </c>
      <c r="G13" s="24" t="s">
        <v>651</v>
      </c>
    </row>
    <row r="14" customFormat="false" ht="90" hidden="false" customHeight="true" outlineLevel="0" collapsed="false">
      <c r="A14" s="5" t="s">
        <v>192</v>
      </c>
      <c r="B14" s="6" t="s">
        <v>652</v>
      </c>
      <c r="C14" s="6" t="s">
        <v>653</v>
      </c>
      <c r="D14" s="6" t="s">
        <v>654</v>
      </c>
      <c r="E14" s="6" t="s">
        <v>655</v>
      </c>
      <c r="F14" s="6" t="s">
        <v>656</v>
      </c>
      <c r="G14" s="6" t="s">
        <v>657</v>
      </c>
    </row>
    <row r="15" customFormat="false" ht="61.5" hidden="false" customHeight="true" outlineLevel="0" collapsed="false">
      <c r="A15" s="23" t="s">
        <v>203</v>
      </c>
      <c r="B15" s="24" t="s">
        <v>658</v>
      </c>
      <c r="C15" s="24" t="s">
        <v>659</v>
      </c>
      <c r="D15" s="24" t="s">
        <v>660</v>
      </c>
      <c r="E15" s="24" t="s">
        <v>661</v>
      </c>
      <c r="F15" s="24" t="s">
        <v>662</v>
      </c>
      <c r="G15" s="24" t="s">
        <v>663</v>
      </c>
    </row>
    <row r="16" customFormat="false" ht="61.5" hidden="false" customHeight="true" outlineLevel="0" collapsed="false">
      <c r="A16" s="5" t="s">
        <v>215</v>
      </c>
      <c r="B16" s="6" t="s">
        <v>664</v>
      </c>
      <c r="C16" s="6" t="s">
        <v>665</v>
      </c>
      <c r="D16" s="6" t="s">
        <v>666</v>
      </c>
      <c r="E16" s="6" t="s">
        <v>667</v>
      </c>
      <c r="F16" s="6" t="s">
        <v>668</v>
      </c>
      <c r="G16" s="6" t="s">
        <v>669</v>
      </c>
    </row>
    <row r="17" customFormat="false" ht="75.75" hidden="false" customHeight="true" outlineLevel="0" collapsed="false">
      <c r="A17" s="23" t="s">
        <v>226</v>
      </c>
      <c r="B17" s="24" t="s">
        <v>670</v>
      </c>
      <c r="C17" s="24" t="s">
        <v>671</v>
      </c>
      <c r="D17" s="24" t="s">
        <v>672</v>
      </c>
      <c r="E17" s="24" t="s">
        <v>673</v>
      </c>
      <c r="F17" s="24" t="s">
        <v>674</v>
      </c>
      <c r="G17" s="24" t="s">
        <v>675</v>
      </c>
    </row>
    <row r="18" customFormat="false" ht="61.5" hidden="false" customHeight="true" outlineLevel="0" collapsed="false">
      <c r="A18" s="5" t="s">
        <v>237</v>
      </c>
      <c r="B18" s="6" t="s">
        <v>676</v>
      </c>
      <c r="C18" s="6" t="s">
        <v>677</v>
      </c>
      <c r="D18" s="6" t="s">
        <v>678</v>
      </c>
      <c r="E18" s="6" t="s">
        <v>679</v>
      </c>
      <c r="F18" s="6" t="s">
        <v>680</v>
      </c>
      <c r="G18" s="6" t="s">
        <v>681</v>
      </c>
    </row>
    <row r="19" customFormat="false" ht="75.75" hidden="false" customHeight="true" outlineLevel="0" collapsed="false">
      <c r="A19" s="23" t="s">
        <v>249</v>
      </c>
      <c r="B19" s="24" t="s">
        <v>682</v>
      </c>
      <c r="C19" s="24" t="s">
        <v>683</v>
      </c>
      <c r="D19" s="24" t="s">
        <v>684</v>
      </c>
      <c r="E19" s="24" t="s">
        <v>685</v>
      </c>
      <c r="F19" s="24" t="s">
        <v>686</v>
      </c>
      <c r="G19" s="24" t="s">
        <v>687</v>
      </c>
    </row>
    <row r="20" customFormat="false" ht="75.75" hidden="false" customHeight="true" outlineLevel="0" collapsed="false">
      <c r="A20" s="5" t="s">
        <v>260</v>
      </c>
      <c r="B20" s="6" t="s">
        <v>688</v>
      </c>
      <c r="C20" s="6" t="s">
        <v>689</v>
      </c>
      <c r="D20" s="6" t="s">
        <v>690</v>
      </c>
      <c r="E20" s="6" t="s">
        <v>691</v>
      </c>
      <c r="F20" s="6" t="s">
        <v>692</v>
      </c>
      <c r="G20" s="6" t="s">
        <v>693</v>
      </c>
    </row>
    <row r="21" customFormat="false" ht="61.5" hidden="false" customHeight="true" outlineLevel="0" collapsed="false">
      <c r="A21" s="23" t="s">
        <v>271</v>
      </c>
      <c r="B21" s="24" t="s">
        <v>694</v>
      </c>
      <c r="C21" s="24" t="s">
        <v>695</v>
      </c>
      <c r="D21" s="24" t="s">
        <v>696</v>
      </c>
      <c r="E21" s="24" t="s">
        <v>697</v>
      </c>
      <c r="F21" s="24" t="s">
        <v>698</v>
      </c>
      <c r="G21" s="24" t="s">
        <v>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3D3D"/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50"/>
  </cols>
  <sheetData>
    <row r="1" customFormat="false" ht="33.75" hidden="false" customHeight="true" outlineLevel="0" collapsed="false">
      <c r="A1" s="1" t="s">
        <v>700</v>
      </c>
      <c r="B1" s="2"/>
      <c r="C1" s="2"/>
    </row>
    <row r="2" customFormat="false" ht="19.5" hidden="false" customHeight="true" outlineLevel="0" collapsed="false">
      <c r="A2" s="3" t="s">
        <v>701</v>
      </c>
      <c r="B2" s="2"/>
      <c r="C2" s="2"/>
    </row>
    <row r="4" customFormat="false" ht="15" hidden="false" customHeight="false" outlineLevel="0" collapsed="false">
      <c r="A4" s="4" t="s">
        <v>702</v>
      </c>
    </row>
    <row r="5" customFormat="false" ht="31.5" hidden="false" customHeight="true" outlineLevel="0" collapsed="false">
      <c r="A5" s="7" t="s">
        <v>703</v>
      </c>
      <c r="B5" s="7" t="s">
        <v>704</v>
      </c>
      <c r="C5" s="7" t="s">
        <v>705</v>
      </c>
    </row>
    <row r="6" customFormat="false" ht="19.5" hidden="false" customHeight="true" outlineLevel="0" collapsed="false">
      <c r="A6" s="5" t="s">
        <v>706</v>
      </c>
      <c r="B6" s="6" t="s">
        <v>707</v>
      </c>
      <c r="C6" s="6" t="s">
        <v>708</v>
      </c>
    </row>
    <row r="7" customFormat="false" ht="33.75" hidden="false" customHeight="true" outlineLevel="0" collapsed="false">
      <c r="A7" s="5" t="s">
        <v>709</v>
      </c>
      <c r="B7" s="6" t="s">
        <v>710</v>
      </c>
      <c r="C7" s="6" t="s">
        <v>711</v>
      </c>
    </row>
    <row r="8" customFormat="false" ht="19.5" hidden="false" customHeight="true" outlineLevel="0" collapsed="false">
      <c r="A8" s="5" t="s">
        <v>712</v>
      </c>
      <c r="B8" s="6" t="s">
        <v>713</v>
      </c>
      <c r="C8" s="6" t="s">
        <v>714</v>
      </c>
    </row>
    <row r="9" customFormat="false" ht="19.5" hidden="false" customHeight="true" outlineLevel="0" collapsed="false">
      <c r="A9" s="5" t="s">
        <v>715</v>
      </c>
      <c r="B9" s="6" t="s">
        <v>716</v>
      </c>
      <c r="C9" s="6" t="s">
        <v>717</v>
      </c>
    </row>
    <row r="10" customFormat="false" ht="19.5" hidden="false" customHeight="true" outlineLevel="0" collapsed="false">
      <c r="A10" s="5" t="s">
        <v>718</v>
      </c>
      <c r="B10" s="6" t="s">
        <v>719</v>
      </c>
      <c r="C10" s="6" t="s">
        <v>720</v>
      </c>
    </row>
    <row r="12" customFormat="false" ht="15" hidden="false" customHeight="false" outlineLevel="0" collapsed="false">
      <c r="A12" s="4" t="s">
        <v>721</v>
      </c>
    </row>
    <row r="13" customFormat="false" ht="31.5" hidden="false" customHeight="true" outlineLevel="0" collapsed="false">
      <c r="A13" s="7" t="s">
        <v>703</v>
      </c>
      <c r="B13" s="7" t="s">
        <v>704</v>
      </c>
      <c r="C13" s="7" t="s">
        <v>705</v>
      </c>
    </row>
    <row r="14" customFormat="false" ht="19.5" hidden="false" customHeight="true" outlineLevel="0" collapsed="false">
      <c r="A14" s="5" t="s">
        <v>722</v>
      </c>
      <c r="B14" s="6" t="s">
        <v>723</v>
      </c>
      <c r="C14" s="6" t="s">
        <v>724</v>
      </c>
    </row>
    <row r="15" customFormat="false" ht="19.5" hidden="false" customHeight="true" outlineLevel="0" collapsed="false">
      <c r="A15" s="5" t="s">
        <v>725</v>
      </c>
      <c r="B15" s="6" t="s">
        <v>726</v>
      </c>
      <c r="C15" s="6" t="s">
        <v>727</v>
      </c>
    </row>
    <row r="16" customFormat="false" ht="19.5" hidden="false" customHeight="true" outlineLevel="0" collapsed="false">
      <c r="A16" s="5" t="s">
        <v>728</v>
      </c>
      <c r="B16" s="6" t="s">
        <v>729</v>
      </c>
      <c r="C16" s="6" t="s">
        <v>730</v>
      </c>
    </row>
    <row r="17" customFormat="false" ht="19.5" hidden="false" customHeight="true" outlineLevel="0" collapsed="false">
      <c r="A17" s="5" t="s">
        <v>731</v>
      </c>
      <c r="B17" s="6" t="s">
        <v>732</v>
      </c>
      <c r="C17" s="6" t="s">
        <v>733</v>
      </c>
    </row>
    <row r="18" customFormat="false" ht="19.5" hidden="false" customHeight="true" outlineLevel="0" collapsed="false">
      <c r="A18" s="5" t="s">
        <v>734</v>
      </c>
      <c r="B18" s="6" t="s">
        <v>735</v>
      </c>
      <c r="C18" s="6" t="s">
        <v>727</v>
      </c>
    </row>
    <row r="20" customFormat="false" ht="15" hidden="false" customHeight="false" outlineLevel="0" collapsed="false">
      <c r="A20" s="4" t="s">
        <v>736</v>
      </c>
    </row>
    <row r="21" customFormat="false" ht="31.5" hidden="false" customHeight="true" outlineLevel="0" collapsed="false">
      <c r="A21" s="7" t="s">
        <v>703</v>
      </c>
      <c r="B21" s="7" t="s">
        <v>704</v>
      </c>
      <c r="C21" s="7" t="s">
        <v>705</v>
      </c>
    </row>
    <row r="22" customFormat="false" ht="19.5" hidden="false" customHeight="true" outlineLevel="0" collapsed="false">
      <c r="A22" s="5" t="s">
        <v>737</v>
      </c>
      <c r="B22" s="6" t="s">
        <v>738</v>
      </c>
      <c r="C22" s="6" t="s">
        <v>739</v>
      </c>
    </row>
    <row r="23" customFormat="false" ht="33.75" hidden="false" customHeight="true" outlineLevel="0" collapsed="false">
      <c r="A23" s="5" t="s">
        <v>740</v>
      </c>
      <c r="B23" s="6" t="s">
        <v>741</v>
      </c>
      <c r="C23" s="6" t="s">
        <v>742</v>
      </c>
    </row>
    <row r="24" customFormat="false" ht="33.75" hidden="false" customHeight="true" outlineLevel="0" collapsed="false">
      <c r="A24" s="5" t="s">
        <v>743</v>
      </c>
      <c r="B24" s="6" t="s">
        <v>744</v>
      </c>
      <c r="C24" s="6" t="s">
        <v>745</v>
      </c>
    </row>
    <row r="25" customFormat="false" ht="19.5" hidden="false" customHeight="true" outlineLevel="0" collapsed="false">
      <c r="A25" s="5" t="s">
        <v>746</v>
      </c>
      <c r="B25" s="6" t="s">
        <v>747</v>
      </c>
      <c r="C25" s="6" t="s">
        <v>748</v>
      </c>
    </row>
    <row r="26" customFormat="false" ht="19.5" hidden="false" customHeight="true" outlineLevel="0" collapsed="false">
      <c r="A26" s="5" t="s">
        <v>749</v>
      </c>
      <c r="B26" s="6" t="s">
        <v>750</v>
      </c>
      <c r="C26" s="6" t="s">
        <v>751</v>
      </c>
    </row>
    <row r="27" customFormat="false" ht="19.5" hidden="false" customHeight="true" outlineLevel="0" collapsed="false">
      <c r="A27" s="5" t="s">
        <v>752</v>
      </c>
      <c r="B27" s="6" t="s">
        <v>753</v>
      </c>
      <c r="C27" s="6" t="s">
        <v>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5CF6"/>
    <pageSetUpPr fitToPage="false"/>
  </sheetPr>
  <dimension ref="A1:K3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30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10" min="10" style="0" width="26"/>
    <col collapsed="false" customWidth="true" hidden="false" outlineLevel="0" max="11" min="11" style="0" width="10"/>
  </cols>
  <sheetData>
    <row r="1" customFormat="false" ht="33.75" hidden="false" customHeight="true" outlineLevel="0" collapsed="false">
      <c r="A1" s="1" t="s">
        <v>755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3" t="s">
        <v>756</v>
      </c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14" t="s">
        <v>757</v>
      </c>
      <c r="B3" s="14" t="s">
        <v>758</v>
      </c>
      <c r="C3" s="14" t="s">
        <v>44</v>
      </c>
      <c r="D3" s="14" t="s">
        <v>759</v>
      </c>
      <c r="E3" s="14" t="s">
        <v>760</v>
      </c>
      <c r="F3" s="14" t="s">
        <v>761</v>
      </c>
      <c r="G3" s="14" t="s">
        <v>17</v>
      </c>
      <c r="H3" s="14" t="s">
        <v>762</v>
      </c>
      <c r="J3" s="11" t="s">
        <v>763</v>
      </c>
    </row>
    <row r="4" customFormat="false" ht="33.75" hidden="false" customHeight="true" outlineLevel="0" collapsed="false">
      <c r="A4" s="28" t="n">
        <v>46314</v>
      </c>
      <c r="B4" s="6" t="s">
        <v>764</v>
      </c>
      <c r="C4" s="6" t="s">
        <v>104</v>
      </c>
      <c r="D4" s="6" t="s">
        <v>73</v>
      </c>
      <c r="E4" s="6" t="s">
        <v>765</v>
      </c>
      <c r="F4" s="6" t="s">
        <v>766</v>
      </c>
      <c r="G4" s="6" t="s">
        <v>767</v>
      </c>
      <c r="H4" s="6" t="n">
        <v>3</v>
      </c>
      <c r="J4" s="29" t="s">
        <v>768</v>
      </c>
      <c r="K4" s="29" t="n">
        <f aca="false">COUNTIF($G$4:$G$304,J4)</f>
        <v>0</v>
      </c>
    </row>
    <row r="5" customFormat="false" ht="15" hidden="false" customHeight="false" outlineLevel="0" collapsed="false">
      <c r="A5" s="30"/>
      <c r="B5" s="8"/>
      <c r="C5" s="8"/>
      <c r="D5" s="8"/>
      <c r="E5" s="8"/>
      <c r="F5" s="8"/>
      <c r="G5" s="8"/>
      <c r="H5" s="8"/>
      <c r="J5" s="29" t="s">
        <v>767</v>
      </c>
      <c r="K5" s="29" t="n">
        <f aca="false">COUNTIF($G$4:$G$304,J5)</f>
        <v>1</v>
      </c>
    </row>
    <row r="6" customFormat="false" ht="15" hidden="false" customHeight="false" outlineLevel="0" collapsed="false">
      <c r="A6" s="30"/>
      <c r="B6" s="8"/>
      <c r="C6" s="8"/>
      <c r="D6" s="8"/>
      <c r="E6" s="8"/>
      <c r="F6" s="8"/>
      <c r="G6" s="8"/>
      <c r="H6" s="8"/>
      <c r="J6" s="29" t="s">
        <v>769</v>
      </c>
      <c r="K6" s="29" t="n">
        <f aca="false">COUNTIF($G$4:$G$304,J6)</f>
        <v>0</v>
      </c>
    </row>
    <row r="7" customFormat="false" ht="15" hidden="false" customHeight="false" outlineLevel="0" collapsed="false">
      <c r="A7" s="30"/>
      <c r="B7" s="8"/>
      <c r="C7" s="8"/>
      <c r="D7" s="8"/>
      <c r="E7" s="8"/>
      <c r="F7" s="8"/>
      <c r="G7" s="8"/>
      <c r="H7" s="8"/>
      <c r="J7" s="29" t="s">
        <v>770</v>
      </c>
      <c r="K7" s="29" t="n">
        <f aca="false">COUNTIF($G$4:$G$304,J7)</f>
        <v>0</v>
      </c>
    </row>
    <row r="8" customFormat="false" ht="15" hidden="false" customHeight="false" outlineLevel="0" collapsed="false">
      <c r="A8" s="30"/>
      <c r="B8" s="8"/>
      <c r="C8" s="8"/>
      <c r="D8" s="8"/>
      <c r="E8" s="8"/>
      <c r="F8" s="8"/>
      <c r="G8" s="8"/>
      <c r="H8" s="8"/>
    </row>
    <row r="9" customFormat="false" ht="15" hidden="false" customHeight="false" outlineLevel="0" collapsed="false">
      <c r="A9" s="30"/>
      <c r="B9" s="8"/>
      <c r="C9" s="8"/>
      <c r="D9" s="8"/>
      <c r="E9" s="8"/>
      <c r="F9" s="8"/>
      <c r="G9" s="8"/>
      <c r="H9" s="8"/>
    </row>
    <row r="10" customFormat="false" ht="15" hidden="false" customHeight="false" outlineLevel="0" collapsed="false">
      <c r="A10" s="30"/>
      <c r="B10" s="8"/>
      <c r="C10" s="8"/>
      <c r="D10" s="8"/>
      <c r="E10" s="8"/>
      <c r="F10" s="8"/>
      <c r="G10" s="8"/>
      <c r="H10" s="8"/>
    </row>
    <row r="11" customFormat="false" ht="15" hidden="false" customHeight="false" outlineLevel="0" collapsed="false">
      <c r="A11" s="30"/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30"/>
      <c r="B12" s="8"/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A13" s="30"/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A14" s="30"/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0" collapsed="false">
      <c r="A15" s="30"/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A16" s="30"/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30"/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30"/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A19" s="30"/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30"/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A21" s="30"/>
      <c r="B21" s="8"/>
      <c r="C21" s="8"/>
      <c r="D21" s="8"/>
      <c r="E21" s="8"/>
      <c r="F21" s="8"/>
      <c r="G21" s="8"/>
      <c r="H21" s="8"/>
    </row>
    <row r="22" customFormat="false" ht="15" hidden="false" customHeight="false" outlineLevel="0" collapsed="false">
      <c r="A22" s="30"/>
      <c r="B22" s="8"/>
      <c r="C22" s="8"/>
      <c r="D22" s="8"/>
      <c r="E22" s="8"/>
      <c r="F22" s="8"/>
      <c r="G22" s="8"/>
      <c r="H22" s="8"/>
    </row>
    <row r="23" customFormat="false" ht="15" hidden="false" customHeight="false" outlineLevel="0" collapsed="false">
      <c r="A23" s="30"/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0" collapsed="false">
      <c r="A24" s="30"/>
      <c r="B24" s="8"/>
      <c r="C24" s="8"/>
      <c r="D24" s="8"/>
      <c r="E24" s="8"/>
      <c r="F24" s="8"/>
      <c r="G24" s="8"/>
      <c r="H24" s="8"/>
    </row>
    <row r="25" customFormat="false" ht="15" hidden="false" customHeight="false" outlineLevel="0" collapsed="false">
      <c r="A25" s="30"/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30"/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0" collapsed="false">
      <c r="A27" s="30"/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0" collapsed="false">
      <c r="A28" s="30"/>
      <c r="B28" s="8"/>
      <c r="C28" s="8"/>
      <c r="D28" s="8"/>
      <c r="E28" s="8"/>
      <c r="F28" s="8"/>
      <c r="G28" s="8"/>
      <c r="H28" s="8"/>
    </row>
    <row r="29" customFormat="false" ht="15" hidden="false" customHeight="false" outlineLevel="0" collapsed="false">
      <c r="A29" s="30"/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0" collapsed="false">
      <c r="A30" s="30"/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0" collapsed="false">
      <c r="A31" s="30"/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0" collapsed="false">
      <c r="A32" s="30"/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0" collapsed="false">
      <c r="A33" s="30"/>
      <c r="B33" s="8"/>
      <c r="C33" s="8"/>
      <c r="D33" s="8"/>
      <c r="E33" s="8"/>
      <c r="F33" s="8"/>
      <c r="G33" s="8"/>
      <c r="H33" s="8"/>
    </row>
    <row r="34" customFormat="false" ht="15" hidden="false" customHeight="false" outlineLevel="0" collapsed="false">
      <c r="A34" s="30"/>
      <c r="B34" s="8"/>
      <c r="C34" s="8"/>
      <c r="D34" s="8"/>
      <c r="E34" s="8"/>
      <c r="F34" s="8"/>
      <c r="G34" s="8"/>
      <c r="H34" s="8"/>
    </row>
    <row r="35" customFormat="false" ht="15" hidden="false" customHeight="false" outlineLevel="0" collapsed="false">
      <c r="A35" s="30"/>
      <c r="B35" s="8"/>
      <c r="C35" s="8"/>
      <c r="D35" s="8"/>
      <c r="E35" s="8"/>
      <c r="F35" s="8"/>
      <c r="G35" s="8"/>
      <c r="H35" s="8"/>
    </row>
    <row r="36" customFormat="false" ht="15" hidden="false" customHeight="false" outlineLevel="0" collapsed="false">
      <c r="A36" s="30"/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0" collapsed="false">
      <c r="A37" s="30"/>
      <c r="B37" s="8"/>
      <c r="C37" s="8"/>
      <c r="D37" s="8"/>
      <c r="E37" s="8"/>
      <c r="F37" s="8"/>
      <c r="G37" s="8"/>
      <c r="H37" s="8"/>
    </row>
    <row r="38" customFormat="false" ht="15" hidden="false" customHeight="false" outlineLevel="0" collapsed="false">
      <c r="A38" s="30"/>
      <c r="B38" s="8"/>
      <c r="C38" s="8"/>
      <c r="D38" s="8"/>
      <c r="E38" s="8"/>
      <c r="F38" s="8"/>
      <c r="G38" s="8"/>
      <c r="H38" s="8"/>
    </row>
    <row r="39" customFormat="false" ht="15" hidden="false" customHeight="false" outlineLevel="0" collapsed="false">
      <c r="A39" s="30"/>
      <c r="B39" s="8"/>
      <c r="C39" s="8"/>
      <c r="D39" s="8"/>
      <c r="E39" s="8"/>
      <c r="F39" s="8"/>
      <c r="G39" s="8"/>
      <c r="H39" s="8"/>
    </row>
    <row r="40" customFormat="false" ht="15" hidden="false" customHeight="false" outlineLevel="0" collapsed="false">
      <c r="A40" s="30"/>
      <c r="B40" s="8"/>
      <c r="C40" s="8"/>
      <c r="D40" s="8"/>
      <c r="E40" s="8"/>
      <c r="F40" s="8"/>
      <c r="G40" s="8"/>
      <c r="H40" s="8"/>
    </row>
    <row r="41" customFormat="false" ht="15" hidden="false" customHeight="false" outlineLevel="0" collapsed="false">
      <c r="A41" s="30"/>
      <c r="B41" s="8"/>
      <c r="C41" s="8"/>
      <c r="D41" s="8"/>
      <c r="E41" s="8"/>
      <c r="F41" s="8"/>
      <c r="G41" s="8"/>
      <c r="H41" s="8"/>
    </row>
    <row r="42" customFormat="false" ht="15" hidden="false" customHeight="false" outlineLevel="0" collapsed="false">
      <c r="A42" s="30"/>
      <c r="B42" s="8"/>
      <c r="C42" s="8"/>
      <c r="D42" s="8"/>
      <c r="E42" s="8"/>
      <c r="F42" s="8"/>
      <c r="G42" s="8"/>
      <c r="H42" s="8"/>
    </row>
    <row r="43" customFormat="false" ht="15" hidden="false" customHeight="false" outlineLevel="0" collapsed="false">
      <c r="A43" s="30"/>
      <c r="B43" s="8"/>
      <c r="C43" s="8"/>
      <c r="D43" s="8"/>
      <c r="E43" s="8"/>
      <c r="F43" s="8"/>
      <c r="G43" s="8"/>
      <c r="H43" s="8"/>
    </row>
    <row r="44" customFormat="false" ht="15" hidden="false" customHeight="false" outlineLevel="0" collapsed="false">
      <c r="A44" s="30"/>
      <c r="B44" s="8"/>
      <c r="C44" s="8"/>
      <c r="D44" s="8"/>
      <c r="E44" s="8"/>
      <c r="F44" s="8"/>
      <c r="G44" s="8"/>
      <c r="H44" s="8"/>
    </row>
    <row r="45" customFormat="false" ht="15" hidden="false" customHeight="false" outlineLevel="0" collapsed="false">
      <c r="A45" s="30"/>
      <c r="B45" s="8"/>
      <c r="C45" s="8"/>
      <c r="D45" s="8"/>
      <c r="E45" s="8"/>
      <c r="F45" s="8"/>
      <c r="G45" s="8"/>
      <c r="H45" s="8"/>
    </row>
    <row r="46" customFormat="false" ht="15" hidden="false" customHeight="false" outlineLevel="0" collapsed="false">
      <c r="A46" s="30"/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0" collapsed="false">
      <c r="A47" s="30"/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0" collapsed="false">
      <c r="A48" s="30"/>
      <c r="B48" s="8"/>
      <c r="C48" s="8"/>
      <c r="D48" s="8"/>
      <c r="E48" s="8"/>
      <c r="F48" s="8"/>
      <c r="G48" s="8"/>
      <c r="H48" s="8"/>
    </row>
    <row r="49" customFormat="false" ht="15" hidden="false" customHeight="false" outlineLevel="0" collapsed="false">
      <c r="A49" s="30"/>
      <c r="B49" s="8"/>
      <c r="C49" s="8"/>
      <c r="D49" s="8"/>
      <c r="E49" s="8"/>
      <c r="F49" s="8"/>
      <c r="G49" s="8"/>
      <c r="H49" s="8"/>
    </row>
    <row r="50" customFormat="false" ht="15" hidden="false" customHeight="false" outlineLevel="0" collapsed="false">
      <c r="A50" s="30"/>
      <c r="B50" s="8"/>
      <c r="C50" s="8"/>
      <c r="D50" s="8"/>
      <c r="E50" s="8"/>
      <c r="F50" s="8"/>
      <c r="G50" s="8"/>
      <c r="H50" s="8"/>
    </row>
    <row r="51" customFormat="false" ht="15" hidden="false" customHeight="false" outlineLevel="0" collapsed="false">
      <c r="A51" s="30"/>
      <c r="B51" s="8"/>
      <c r="C51" s="8"/>
      <c r="D51" s="8"/>
      <c r="E51" s="8"/>
      <c r="F51" s="8"/>
      <c r="G51" s="8"/>
      <c r="H51" s="8"/>
    </row>
    <row r="52" customFormat="false" ht="15" hidden="false" customHeight="false" outlineLevel="0" collapsed="false">
      <c r="A52" s="30"/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0" collapsed="false">
      <c r="A53" s="30"/>
      <c r="B53" s="8"/>
      <c r="C53" s="8"/>
      <c r="D53" s="8"/>
      <c r="E53" s="8"/>
      <c r="F53" s="8"/>
      <c r="G53" s="8"/>
      <c r="H53" s="8"/>
    </row>
    <row r="54" customFormat="false" ht="15" hidden="false" customHeight="false" outlineLevel="0" collapsed="false">
      <c r="A54" s="30"/>
      <c r="B54" s="8"/>
      <c r="C54" s="8"/>
      <c r="D54" s="8"/>
      <c r="E54" s="8"/>
      <c r="F54" s="8"/>
      <c r="G54" s="8"/>
      <c r="H54" s="8"/>
    </row>
    <row r="55" customFormat="false" ht="15" hidden="false" customHeight="false" outlineLevel="0" collapsed="false">
      <c r="A55" s="30"/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0" collapsed="false">
      <c r="A56" s="30"/>
      <c r="B56" s="8"/>
      <c r="C56" s="8"/>
      <c r="D56" s="8"/>
      <c r="E56" s="8"/>
      <c r="F56" s="8"/>
      <c r="G56" s="8"/>
      <c r="H56" s="8"/>
    </row>
    <row r="57" customFormat="false" ht="15" hidden="false" customHeight="false" outlineLevel="0" collapsed="false">
      <c r="A57" s="30"/>
      <c r="B57" s="8"/>
      <c r="C57" s="8"/>
      <c r="D57" s="8"/>
      <c r="E57" s="8"/>
      <c r="F57" s="8"/>
      <c r="G57" s="8"/>
      <c r="H57" s="8"/>
    </row>
    <row r="58" customFormat="false" ht="15" hidden="false" customHeight="false" outlineLevel="0" collapsed="false">
      <c r="A58" s="30"/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0" collapsed="false">
      <c r="A59" s="30"/>
      <c r="B59" s="8"/>
      <c r="C59" s="8"/>
      <c r="D59" s="8"/>
      <c r="E59" s="8"/>
      <c r="F59" s="8"/>
      <c r="G59" s="8"/>
      <c r="H59" s="8"/>
    </row>
    <row r="60" customFormat="false" ht="15" hidden="false" customHeight="false" outlineLevel="0" collapsed="false">
      <c r="A60" s="30"/>
      <c r="B60" s="8"/>
      <c r="C60" s="8"/>
      <c r="D60" s="8"/>
      <c r="E60" s="8"/>
      <c r="F60" s="8"/>
      <c r="G60" s="8"/>
      <c r="H60" s="8"/>
    </row>
    <row r="61" customFormat="false" ht="15" hidden="false" customHeight="false" outlineLevel="0" collapsed="false">
      <c r="A61" s="30"/>
      <c r="B61" s="8"/>
      <c r="C61" s="8"/>
      <c r="D61" s="8"/>
      <c r="E61" s="8"/>
      <c r="F61" s="8"/>
      <c r="G61" s="8"/>
      <c r="H61" s="8"/>
    </row>
    <row r="62" customFormat="false" ht="15" hidden="false" customHeight="false" outlineLevel="0" collapsed="false">
      <c r="A62" s="30"/>
      <c r="B62" s="8"/>
      <c r="C62" s="8"/>
      <c r="D62" s="8"/>
      <c r="E62" s="8"/>
      <c r="F62" s="8"/>
      <c r="G62" s="8"/>
      <c r="H62" s="8"/>
    </row>
    <row r="63" customFormat="false" ht="15" hidden="false" customHeight="false" outlineLevel="0" collapsed="false">
      <c r="A63" s="30"/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0" collapsed="false">
      <c r="A64" s="30"/>
      <c r="B64" s="8"/>
      <c r="C64" s="8"/>
      <c r="D64" s="8"/>
      <c r="E64" s="8"/>
      <c r="F64" s="8"/>
      <c r="G64" s="8"/>
      <c r="H64" s="8"/>
    </row>
    <row r="65" customFormat="false" ht="15" hidden="false" customHeight="false" outlineLevel="0" collapsed="false">
      <c r="A65" s="30"/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0" collapsed="false">
      <c r="A66" s="30"/>
      <c r="B66" s="8"/>
      <c r="C66" s="8"/>
      <c r="D66" s="8"/>
      <c r="E66" s="8"/>
      <c r="F66" s="8"/>
      <c r="G66" s="8"/>
      <c r="H66" s="8"/>
    </row>
    <row r="67" customFormat="false" ht="15" hidden="false" customHeight="false" outlineLevel="0" collapsed="false">
      <c r="A67" s="30"/>
      <c r="B67" s="8"/>
      <c r="C67" s="8"/>
      <c r="D67" s="8"/>
      <c r="E67" s="8"/>
      <c r="F67" s="8"/>
      <c r="G67" s="8"/>
      <c r="H67" s="8"/>
    </row>
    <row r="68" customFormat="false" ht="15" hidden="false" customHeight="false" outlineLevel="0" collapsed="false">
      <c r="A68" s="30"/>
      <c r="B68" s="8"/>
      <c r="C68" s="8"/>
      <c r="D68" s="8"/>
      <c r="E68" s="8"/>
      <c r="F68" s="8"/>
      <c r="G68" s="8"/>
      <c r="H68" s="8"/>
    </row>
    <row r="69" customFormat="false" ht="15" hidden="false" customHeight="false" outlineLevel="0" collapsed="false">
      <c r="A69" s="30"/>
      <c r="B69" s="8"/>
      <c r="C69" s="8"/>
      <c r="D69" s="8"/>
      <c r="E69" s="8"/>
      <c r="F69" s="8"/>
      <c r="G69" s="8"/>
      <c r="H69" s="8"/>
    </row>
    <row r="70" customFormat="false" ht="15" hidden="false" customHeight="false" outlineLevel="0" collapsed="false">
      <c r="A70" s="30"/>
      <c r="B70" s="8"/>
      <c r="C70" s="8"/>
      <c r="D70" s="8"/>
      <c r="E70" s="8"/>
      <c r="F70" s="8"/>
      <c r="G70" s="8"/>
      <c r="H70" s="8"/>
    </row>
    <row r="71" customFormat="false" ht="15" hidden="false" customHeight="false" outlineLevel="0" collapsed="false">
      <c r="A71" s="30"/>
      <c r="B71" s="8"/>
      <c r="C71" s="8"/>
      <c r="D71" s="8"/>
      <c r="E71" s="8"/>
      <c r="F71" s="8"/>
      <c r="G71" s="8"/>
      <c r="H71" s="8"/>
    </row>
    <row r="72" customFormat="false" ht="15" hidden="false" customHeight="false" outlineLevel="0" collapsed="false">
      <c r="A72" s="30"/>
      <c r="B72" s="8"/>
      <c r="C72" s="8"/>
      <c r="D72" s="8"/>
      <c r="E72" s="8"/>
      <c r="F72" s="8"/>
      <c r="G72" s="8"/>
      <c r="H72" s="8"/>
    </row>
    <row r="73" customFormat="false" ht="15" hidden="false" customHeight="false" outlineLevel="0" collapsed="false">
      <c r="A73" s="30"/>
      <c r="B73" s="8"/>
      <c r="C73" s="8"/>
      <c r="D73" s="8"/>
      <c r="E73" s="8"/>
      <c r="F73" s="8"/>
      <c r="G73" s="8"/>
      <c r="H73" s="8"/>
    </row>
    <row r="74" customFormat="false" ht="15" hidden="false" customHeight="false" outlineLevel="0" collapsed="false">
      <c r="A74" s="30"/>
      <c r="B74" s="8"/>
      <c r="C74" s="8"/>
      <c r="D74" s="8"/>
      <c r="E74" s="8"/>
      <c r="F74" s="8"/>
      <c r="G74" s="8"/>
      <c r="H74" s="8"/>
    </row>
    <row r="75" customFormat="false" ht="15" hidden="false" customHeight="false" outlineLevel="0" collapsed="false">
      <c r="A75" s="30"/>
      <c r="B75" s="8"/>
      <c r="C75" s="8"/>
      <c r="D75" s="8"/>
      <c r="E75" s="8"/>
      <c r="F75" s="8"/>
      <c r="G75" s="8"/>
      <c r="H75" s="8"/>
    </row>
    <row r="76" customFormat="false" ht="15" hidden="false" customHeight="false" outlineLevel="0" collapsed="false">
      <c r="A76" s="30"/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0" collapsed="false">
      <c r="A77" s="30"/>
      <c r="B77" s="8"/>
      <c r="C77" s="8"/>
      <c r="D77" s="8"/>
      <c r="E77" s="8"/>
      <c r="F77" s="8"/>
      <c r="G77" s="8"/>
      <c r="H77" s="8"/>
    </row>
    <row r="78" customFormat="false" ht="15" hidden="false" customHeight="false" outlineLevel="0" collapsed="false">
      <c r="A78" s="30"/>
      <c r="B78" s="8"/>
      <c r="C78" s="8"/>
      <c r="D78" s="8"/>
      <c r="E78" s="8"/>
      <c r="F78" s="8"/>
      <c r="G78" s="8"/>
      <c r="H78" s="8"/>
    </row>
    <row r="79" customFormat="false" ht="15" hidden="false" customHeight="false" outlineLevel="0" collapsed="false">
      <c r="A79" s="30"/>
      <c r="B79" s="8"/>
      <c r="C79" s="8"/>
      <c r="D79" s="8"/>
      <c r="E79" s="8"/>
      <c r="F79" s="8"/>
      <c r="G79" s="8"/>
      <c r="H79" s="8"/>
    </row>
    <row r="80" customFormat="false" ht="15" hidden="false" customHeight="false" outlineLevel="0" collapsed="false">
      <c r="A80" s="30"/>
      <c r="B80" s="8"/>
      <c r="C80" s="8"/>
      <c r="D80" s="8"/>
      <c r="E80" s="8"/>
      <c r="F80" s="8"/>
      <c r="G80" s="8"/>
      <c r="H80" s="8"/>
    </row>
    <row r="81" customFormat="false" ht="15" hidden="false" customHeight="false" outlineLevel="0" collapsed="false">
      <c r="A81" s="30"/>
      <c r="B81" s="8"/>
      <c r="C81" s="8"/>
      <c r="D81" s="8"/>
      <c r="E81" s="8"/>
      <c r="F81" s="8"/>
      <c r="G81" s="8"/>
      <c r="H81" s="8"/>
    </row>
    <row r="82" customFormat="false" ht="15" hidden="false" customHeight="false" outlineLevel="0" collapsed="false">
      <c r="A82" s="30"/>
      <c r="B82" s="8"/>
      <c r="C82" s="8"/>
      <c r="D82" s="8"/>
      <c r="E82" s="8"/>
      <c r="F82" s="8"/>
      <c r="G82" s="8"/>
      <c r="H82" s="8"/>
    </row>
    <row r="83" customFormat="false" ht="15" hidden="false" customHeight="false" outlineLevel="0" collapsed="false">
      <c r="A83" s="30"/>
      <c r="B83" s="8"/>
      <c r="C83" s="8"/>
      <c r="D83" s="8"/>
      <c r="E83" s="8"/>
      <c r="F83" s="8"/>
      <c r="G83" s="8"/>
      <c r="H83" s="8"/>
    </row>
    <row r="84" customFormat="false" ht="15" hidden="false" customHeight="false" outlineLevel="0" collapsed="false">
      <c r="A84" s="30"/>
      <c r="B84" s="8"/>
      <c r="C84" s="8"/>
      <c r="D84" s="8"/>
      <c r="E84" s="8"/>
      <c r="F84" s="8"/>
      <c r="G84" s="8"/>
      <c r="H84" s="8"/>
    </row>
    <row r="85" customFormat="false" ht="15" hidden="false" customHeight="false" outlineLevel="0" collapsed="false">
      <c r="A85" s="30"/>
      <c r="B85" s="8"/>
      <c r="C85" s="8"/>
      <c r="D85" s="8"/>
      <c r="E85" s="8"/>
      <c r="F85" s="8"/>
      <c r="G85" s="8"/>
      <c r="H85" s="8"/>
    </row>
    <row r="86" customFormat="false" ht="15" hidden="false" customHeight="false" outlineLevel="0" collapsed="false">
      <c r="A86" s="30"/>
      <c r="B86" s="8"/>
      <c r="C86" s="8"/>
      <c r="D86" s="8"/>
      <c r="E86" s="8"/>
      <c r="F86" s="8"/>
      <c r="G86" s="8"/>
      <c r="H86" s="8"/>
    </row>
    <row r="87" customFormat="false" ht="15" hidden="false" customHeight="false" outlineLevel="0" collapsed="false">
      <c r="A87" s="30"/>
      <c r="B87" s="8"/>
      <c r="C87" s="8"/>
      <c r="D87" s="8"/>
      <c r="E87" s="8"/>
      <c r="F87" s="8"/>
      <c r="G87" s="8"/>
      <c r="H87" s="8"/>
    </row>
    <row r="88" customFormat="false" ht="15" hidden="false" customHeight="false" outlineLevel="0" collapsed="false">
      <c r="A88" s="30"/>
      <c r="B88" s="8"/>
      <c r="C88" s="8"/>
      <c r="D88" s="8"/>
      <c r="E88" s="8"/>
      <c r="F88" s="8"/>
      <c r="G88" s="8"/>
      <c r="H88" s="8"/>
    </row>
    <row r="89" customFormat="false" ht="15" hidden="false" customHeight="false" outlineLevel="0" collapsed="false">
      <c r="A89" s="30"/>
      <c r="B89" s="8"/>
      <c r="C89" s="8"/>
      <c r="D89" s="8"/>
      <c r="E89" s="8"/>
      <c r="F89" s="8"/>
      <c r="G89" s="8"/>
      <c r="H89" s="8"/>
    </row>
    <row r="90" customFormat="false" ht="15" hidden="false" customHeight="false" outlineLevel="0" collapsed="false">
      <c r="A90" s="30"/>
      <c r="B90" s="8"/>
      <c r="C90" s="8"/>
      <c r="D90" s="8"/>
      <c r="E90" s="8"/>
      <c r="F90" s="8"/>
      <c r="G90" s="8"/>
      <c r="H90" s="8"/>
    </row>
    <row r="91" customFormat="false" ht="15" hidden="false" customHeight="false" outlineLevel="0" collapsed="false">
      <c r="A91" s="30"/>
      <c r="B91" s="8"/>
      <c r="C91" s="8"/>
      <c r="D91" s="8"/>
      <c r="E91" s="8"/>
      <c r="F91" s="8"/>
      <c r="G91" s="8"/>
      <c r="H91" s="8"/>
    </row>
    <row r="92" customFormat="false" ht="15" hidden="false" customHeight="false" outlineLevel="0" collapsed="false">
      <c r="A92" s="30"/>
      <c r="B92" s="8"/>
      <c r="C92" s="8"/>
      <c r="D92" s="8"/>
      <c r="E92" s="8"/>
      <c r="F92" s="8"/>
      <c r="G92" s="8"/>
      <c r="H92" s="8"/>
    </row>
    <row r="93" customFormat="false" ht="15" hidden="false" customHeight="false" outlineLevel="0" collapsed="false">
      <c r="A93" s="30"/>
      <c r="B93" s="8"/>
      <c r="C93" s="8"/>
      <c r="D93" s="8"/>
      <c r="E93" s="8"/>
      <c r="F93" s="8"/>
      <c r="G93" s="8"/>
      <c r="H93" s="8"/>
    </row>
    <row r="94" customFormat="false" ht="15" hidden="false" customHeight="false" outlineLevel="0" collapsed="false">
      <c r="A94" s="30"/>
      <c r="B94" s="8"/>
      <c r="C94" s="8"/>
      <c r="D94" s="8"/>
      <c r="E94" s="8"/>
      <c r="F94" s="8"/>
      <c r="G94" s="8"/>
      <c r="H94" s="8"/>
    </row>
    <row r="95" customFormat="false" ht="15" hidden="false" customHeight="false" outlineLevel="0" collapsed="false">
      <c r="A95" s="30"/>
      <c r="B95" s="8"/>
      <c r="C95" s="8"/>
      <c r="D95" s="8"/>
      <c r="E95" s="8"/>
      <c r="F95" s="8"/>
      <c r="G95" s="8"/>
      <c r="H95" s="8"/>
    </row>
    <row r="96" customFormat="false" ht="15" hidden="false" customHeight="false" outlineLevel="0" collapsed="false">
      <c r="A96" s="30"/>
      <c r="B96" s="8"/>
      <c r="C96" s="8"/>
      <c r="D96" s="8"/>
      <c r="E96" s="8"/>
      <c r="F96" s="8"/>
      <c r="G96" s="8"/>
      <c r="H96" s="8"/>
    </row>
    <row r="97" customFormat="false" ht="15" hidden="false" customHeight="false" outlineLevel="0" collapsed="false">
      <c r="A97" s="30"/>
      <c r="B97" s="8"/>
      <c r="C97" s="8"/>
      <c r="D97" s="8"/>
      <c r="E97" s="8"/>
      <c r="F97" s="8"/>
      <c r="G97" s="8"/>
      <c r="H97" s="8"/>
    </row>
    <row r="98" customFormat="false" ht="15" hidden="false" customHeight="false" outlineLevel="0" collapsed="false">
      <c r="A98" s="30"/>
      <c r="B98" s="8"/>
      <c r="C98" s="8"/>
      <c r="D98" s="8"/>
      <c r="E98" s="8"/>
      <c r="F98" s="8"/>
      <c r="G98" s="8"/>
      <c r="H98" s="8"/>
    </row>
    <row r="99" customFormat="false" ht="15" hidden="false" customHeight="false" outlineLevel="0" collapsed="false">
      <c r="A99" s="30"/>
      <c r="B99" s="8"/>
      <c r="C99" s="8"/>
      <c r="D99" s="8"/>
      <c r="E99" s="8"/>
      <c r="F99" s="8"/>
      <c r="G99" s="8"/>
      <c r="H99" s="8"/>
    </row>
    <row r="100" customFormat="false" ht="15" hidden="false" customHeight="false" outlineLevel="0" collapsed="false">
      <c r="A100" s="30"/>
      <c r="B100" s="8"/>
      <c r="C100" s="8"/>
      <c r="D100" s="8"/>
      <c r="E100" s="8"/>
      <c r="F100" s="8"/>
      <c r="G100" s="8"/>
      <c r="H100" s="8"/>
    </row>
    <row r="101" customFormat="false" ht="15" hidden="false" customHeight="false" outlineLevel="0" collapsed="false">
      <c r="A101" s="30"/>
      <c r="B101" s="8"/>
      <c r="C101" s="8"/>
      <c r="D101" s="8"/>
      <c r="E101" s="8"/>
      <c r="F101" s="8"/>
      <c r="G101" s="8"/>
      <c r="H101" s="8"/>
    </row>
    <row r="102" customFormat="false" ht="15" hidden="false" customHeight="false" outlineLevel="0" collapsed="false">
      <c r="A102" s="30"/>
      <c r="B102" s="8"/>
      <c r="C102" s="8"/>
      <c r="D102" s="8"/>
      <c r="E102" s="8"/>
      <c r="F102" s="8"/>
      <c r="G102" s="8"/>
      <c r="H102" s="8"/>
    </row>
    <row r="103" customFormat="false" ht="15" hidden="false" customHeight="false" outlineLevel="0" collapsed="false">
      <c r="A103" s="30"/>
      <c r="B103" s="8"/>
      <c r="C103" s="8"/>
      <c r="D103" s="8"/>
      <c r="E103" s="8"/>
      <c r="F103" s="8"/>
      <c r="G103" s="8"/>
      <c r="H103" s="8"/>
    </row>
    <row r="104" customFormat="false" ht="15" hidden="false" customHeight="false" outlineLevel="0" collapsed="false">
      <c r="A104" s="30"/>
      <c r="B104" s="8"/>
      <c r="C104" s="8"/>
      <c r="D104" s="8"/>
      <c r="E104" s="8"/>
      <c r="F104" s="8"/>
      <c r="G104" s="8"/>
      <c r="H104" s="8"/>
    </row>
    <row r="105" customFormat="false" ht="15" hidden="false" customHeight="false" outlineLevel="0" collapsed="false">
      <c r="A105" s="30"/>
      <c r="B105" s="8"/>
      <c r="C105" s="8"/>
      <c r="D105" s="8"/>
      <c r="E105" s="8"/>
      <c r="F105" s="8"/>
      <c r="G105" s="8"/>
      <c r="H105" s="8"/>
    </row>
    <row r="106" customFormat="false" ht="15" hidden="false" customHeight="false" outlineLevel="0" collapsed="false">
      <c r="A106" s="30"/>
      <c r="B106" s="8"/>
      <c r="C106" s="8"/>
      <c r="D106" s="8"/>
      <c r="E106" s="8"/>
      <c r="F106" s="8"/>
      <c r="G106" s="8"/>
      <c r="H106" s="8"/>
    </row>
    <row r="107" customFormat="false" ht="15" hidden="false" customHeight="false" outlineLevel="0" collapsed="false">
      <c r="A107" s="30"/>
      <c r="B107" s="8"/>
      <c r="C107" s="8"/>
      <c r="D107" s="8"/>
      <c r="E107" s="8"/>
      <c r="F107" s="8"/>
      <c r="G107" s="8"/>
      <c r="H107" s="8"/>
    </row>
    <row r="108" customFormat="false" ht="15" hidden="false" customHeight="false" outlineLevel="0" collapsed="false">
      <c r="A108" s="30"/>
      <c r="B108" s="8"/>
      <c r="C108" s="8"/>
      <c r="D108" s="8"/>
      <c r="E108" s="8"/>
      <c r="F108" s="8"/>
      <c r="G108" s="8"/>
      <c r="H108" s="8"/>
    </row>
    <row r="109" customFormat="false" ht="15" hidden="false" customHeight="false" outlineLevel="0" collapsed="false">
      <c r="A109" s="30"/>
      <c r="B109" s="8"/>
      <c r="C109" s="8"/>
      <c r="D109" s="8"/>
      <c r="E109" s="8"/>
      <c r="F109" s="8"/>
      <c r="G109" s="8"/>
      <c r="H109" s="8"/>
    </row>
    <row r="110" customFormat="false" ht="15" hidden="false" customHeight="false" outlineLevel="0" collapsed="false">
      <c r="A110" s="30"/>
      <c r="B110" s="8"/>
      <c r="C110" s="8"/>
      <c r="D110" s="8"/>
      <c r="E110" s="8"/>
      <c r="F110" s="8"/>
      <c r="G110" s="8"/>
      <c r="H110" s="8"/>
    </row>
    <row r="111" customFormat="false" ht="15" hidden="false" customHeight="false" outlineLevel="0" collapsed="false">
      <c r="A111" s="30"/>
      <c r="B111" s="8"/>
      <c r="C111" s="8"/>
      <c r="D111" s="8"/>
      <c r="E111" s="8"/>
      <c r="F111" s="8"/>
      <c r="G111" s="8"/>
      <c r="H111" s="8"/>
    </row>
    <row r="112" customFormat="false" ht="15" hidden="false" customHeight="false" outlineLevel="0" collapsed="false">
      <c r="A112" s="30"/>
      <c r="B112" s="8"/>
      <c r="C112" s="8"/>
      <c r="D112" s="8"/>
      <c r="E112" s="8"/>
      <c r="F112" s="8"/>
      <c r="G112" s="8"/>
      <c r="H112" s="8"/>
    </row>
    <row r="113" customFormat="false" ht="15" hidden="false" customHeight="false" outlineLevel="0" collapsed="false">
      <c r="A113" s="30"/>
      <c r="B113" s="8"/>
      <c r="C113" s="8"/>
      <c r="D113" s="8"/>
      <c r="E113" s="8"/>
      <c r="F113" s="8"/>
      <c r="G113" s="8"/>
      <c r="H113" s="8"/>
    </row>
    <row r="114" customFormat="false" ht="15" hidden="false" customHeight="false" outlineLevel="0" collapsed="false">
      <c r="A114" s="30"/>
      <c r="B114" s="8"/>
      <c r="C114" s="8"/>
      <c r="D114" s="8"/>
      <c r="E114" s="8"/>
      <c r="F114" s="8"/>
      <c r="G114" s="8"/>
      <c r="H114" s="8"/>
    </row>
    <row r="115" customFormat="false" ht="15" hidden="false" customHeight="false" outlineLevel="0" collapsed="false">
      <c r="A115" s="30"/>
      <c r="B115" s="8"/>
      <c r="C115" s="8"/>
      <c r="D115" s="8"/>
      <c r="E115" s="8"/>
      <c r="F115" s="8"/>
      <c r="G115" s="8"/>
      <c r="H115" s="8"/>
    </row>
    <row r="116" customFormat="false" ht="15" hidden="false" customHeight="false" outlineLevel="0" collapsed="false">
      <c r="A116" s="30"/>
      <c r="B116" s="8"/>
      <c r="C116" s="8"/>
      <c r="D116" s="8"/>
      <c r="E116" s="8"/>
      <c r="F116" s="8"/>
      <c r="G116" s="8"/>
      <c r="H116" s="8"/>
    </row>
    <row r="117" customFormat="false" ht="15" hidden="false" customHeight="false" outlineLevel="0" collapsed="false">
      <c r="A117" s="30"/>
      <c r="B117" s="8"/>
      <c r="C117" s="8"/>
      <c r="D117" s="8"/>
      <c r="E117" s="8"/>
      <c r="F117" s="8"/>
      <c r="G117" s="8"/>
      <c r="H117" s="8"/>
    </row>
    <row r="118" customFormat="false" ht="15" hidden="false" customHeight="false" outlineLevel="0" collapsed="false">
      <c r="A118" s="30"/>
      <c r="B118" s="8"/>
      <c r="C118" s="8"/>
      <c r="D118" s="8"/>
      <c r="E118" s="8"/>
      <c r="F118" s="8"/>
      <c r="G118" s="8"/>
      <c r="H118" s="8"/>
    </row>
    <row r="119" customFormat="false" ht="15" hidden="false" customHeight="false" outlineLevel="0" collapsed="false">
      <c r="A119" s="30"/>
      <c r="B119" s="8"/>
      <c r="C119" s="8"/>
      <c r="D119" s="8"/>
      <c r="E119" s="8"/>
      <c r="F119" s="8"/>
      <c r="G119" s="8"/>
      <c r="H119" s="8"/>
    </row>
    <row r="120" customFormat="false" ht="15" hidden="false" customHeight="false" outlineLevel="0" collapsed="false">
      <c r="A120" s="30"/>
      <c r="B120" s="8"/>
      <c r="C120" s="8"/>
      <c r="D120" s="8"/>
      <c r="E120" s="8"/>
      <c r="F120" s="8"/>
      <c r="G120" s="8"/>
      <c r="H120" s="8"/>
    </row>
    <row r="121" customFormat="false" ht="15" hidden="false" customHeight="false" outlineLevel="0" collapsed="false">
      <c r="A121" s="30"/>
      <c r="B121" s="8"/>
      <c r="C121" s="8"/>
      <c r="D121" s="8"/>
      <c r="E121" s="8"/>
      <c r="F121" s="8"/>
      <c r="G121" s="8"/>
      <c r="H121" s="8"/>
    </row>
    <row r="122" customFormat="false" ht="15" hidden="false" customHeight="false" outlineLevel="0" collapsed="false">
      <c r="A122" s="30"/>
      <c r="B122" s="8"/>
      <c r="C122" s="8"/>
      <c r="D122" s="8"/>
      <c r="E122" s="8"/>
      <c r="F122" s="8"/>
      <c r="G122" s="8"/>
      <c r="H122" s="8"/>
    </row>
    <row r="123" customFormat="false" ht="15" hidden="false" customHeight="false" outlineLevel="0" collapsed="false">
      <c r="A123" s="30"/>
      <c r="B123" s="8"/>
      <c r="C123" s="8"/>
      <c r="D123" s="8"/>
      <c r="E123" s="8"/>
      <c r="F123" s="8"/>
      <c r="G123" s="8"/>
      <c r="H123" s="8"/>
    </row>
    <row r="124" customFormat="false" ht="15" hidden="false" customHeight="false" outlineLevel="0" collapsed="false">
      <c r="A124" s="30"/>
      <c r="B124" s="8"/>
      <c r="C124" s="8"/>
      <c r="D124" s="8"/>
      <c r="E124" s="8"/>
      <c r="F124" s="8"/>
      <c r="G124" s="8"/>
      <c r="H124" s="8"/>
    </row>
    <row r="125" customFormat="false" ht="15" hidden="false" customHeight="false" outlineLevel="0" collapsed="false">
      <c r="A125" s="30"/>
      <c r="B125" s="8"/>
      <c r="C125" s="8"/>
      <c r="D125" s="8"/>
      <c r="E125" s="8"/>
      <c r="F125" s="8"/>
      <c r="G125" s="8"/>
      <c r="H125" s="8"/>
    </row>
    <row r="126" customFormat="false" ht="15" hidden="false" customHeight="false" outlineLevel="0" collapsed="false">
      <c r="A126" s="30"/>
      <c r="B126" s="8"/>
      <c r="C126" s="8"/>
      <c r="D126" s="8"/>
      <c r="E126" s="8"/>
      <c r="F126" s="8"/>
      <c r="G126" s="8"/>
      <c r="H126" s="8"/>
    </row>
    <row r="127" customFormat="false" ht="15" hidden="false" customHeight="false" outlineLevel="0" collapsed="false">
      <c r="A127" s="30"/>
      <c r="B127" s="8"/>
      <c r="C127" s="8"/>
      <c r="D127" s="8"/>
      <c r="E127" s="8"/>
      <c r="F127" s="8"/>
      <c r="G127" s="8"/>
      <c r="H127" s="8"/>
    </row>
    <row r="128" customFormat="false" ht="15" hidden="false" customHeight="false" outlineLevel="0" collapsed="false">
      <c r="A128" s="30"/>
      <c r="B128" s="8"/>
      <c r="C128" s="8"/>
      <c r="D128" s="8"/>
      <c r="E128" s="8"/>
      <c r="F128" s="8"/>
      <c r="G128" s="8"/>
      <c r="H128" s="8"/>
    </row>
    <row r="129" customFormat="false" ht="15" hidden="false" customHeight="false" outlineLevel="0" collapsed="false">
      <c r="A129" s="30"/>
      <c r="B129" s="8"/>
      <c r="C129" s="8"/>
      <c r="D129" s="8"/>
      <c r="E129" s="8"/>
      <c r="F129" s="8"/>
      <c r="G129" s="8"/>
      <c r="H129" s="8"/>
    </row>
    <row r="130" customFormat="false" ht="15" hidden="false" customHeight="false" outlineLevel="0" collapsed="false">
      <c r="A130" s="30"/>
      <c r="B130" s="8"/>
      <c r="C130" s="8"/>
      <c r="D130" s="8"/>
      <c r="E130" s="8"/>
      <c r="F130" s="8"/>
      <c r="G130" s="8"/>
      <c r="H130" s="8"/>
    </row>
    <row r="131" customFormat="false" ht="15" hidden="false" customHeight="false" outlineLevel="0" collapsed="false">
      <c r="A131" s="30"/>
      <c r="B131" s="8"/>
      <c r="C131" s="8"/>
      <c r="D131" s="8"/>
      <c r="E131" s="8"/>
      <c r="F131" s="8"/>
      <c r="G131" s="8"/>
      <c r="H131" s="8"/>
    </row>
    <row r="132" customFormat="false" ht="15" hidden="false" customHeight="false" outlineLevel="0" collapsed="false">
      <c r="A132" s="30"/>
      <c r="B132" s="8"/>
      <c r="C132" s="8"/>
      <c r="D132" s="8"/>
      <c r="E132" s="8"/>
      <c r="F132" s="8"/>
      <c r="G132" s="8"/>
      <c r="H132" s="8"/>
    </row>
    <row r="133" customFormat="false" ht="15" hidden="false" customHeight="false" outlineLevel="0" collapsed="false">
      <c r="A133" s="30"/>
      <c r="B133" s="8"/>
      <c r="C133" s="8"/>
      <c r="D133" s="8"/>
      <c r="E133" s="8"/>
      <c r="F133" s="8"/>
      <c r="G133" s="8"/>
      <c r="H133" s="8"/>
    </row>
    <row r="134" customFormat="false" ht="15" hidden="false" customHeight="false" outlineLevel="0" collapsed="false">
      <c r="A134" s="30"/>
      <c r="B134" s="8"/>
      <c r="C134" s="8"/>
      <c r="D134" s="8"/>
      <c r="E134" s="8"/>
      <c r="F134" s="8"/>
      <c r="G134" s="8"/>
      <c r="H134" s="8"/>
    </row>
    <row r="135" customFormat="false" ht="15" hidden="false" customHeight="false" outlineLevel="0" collapsed="false">
      <c r="A135" s="30"/>
      <c r="B135" s="8"/>
      <c r="C135" s="8"/>
      <c r="D135" s="8"/>
      <c r="E135" s="8"/>
      <c r="F135" s="8"/>
      <c r="G135" s="8"/>
      <c r="H135" s="8"/>
    </row>
    <row r="136" customFormat="false" ht="15" hidden="false" customHeight="false" outlineLevel="0" collapsed="false">
      <c r="A136" s="30"/>
      <c r="B136" s="8"/>
      <c r="C136" s="8"/>
      <c r="D136" s="8"/>
      <c r="E136" s="8"/>
      <c r="F136" s="8"/>
      <c r="G136" s="8"/>
      <c r="H136" s="8"/>
    </row>
    <row r="137" customFormat="false" ht="15" hidden="false" customHeight="false" outlineLevel="0" collapsed="false">
      <c r="A137" s="30"/>
      <c r="B137" s="8"/>
      <c r="C137" s="8"/>
      <c r="D137" s="8"/>
      <c r="E137" s="8"/>
      <c r="F137" s="8"/>
      <c r="G137" s="8"/>
      <c r="H137" s="8"/>
    </row>
    <row r="138" customFormat="false" ht="15" hidden="false" customHeight="false" outlineLevel="0" collapsed="false">
      <c r="A138" s="30"/>
      <c r="B138" s="8"/>
      <c r="C138" s="8"/>
      <c r="D138" s="8"/>
      <c r="E138" s="8"/>
      <c r="F138" s="8"/>
      <c r="G138" s="8"/>
      <c r="H138" s="8"/>
    </row>
    <row r="139" customFormat="false" ht="15" hidden="false" customHeight="false" outlineLevel="0" collapsed="false">
      <c r="A139" s="30"/>
      <c r="B139" s="8"/>
      <c r="C139" s="8"/>
      <c r="D139" s="8"/>
      <c r="E139" s="8"/>
      <c r="F139" s="8"/>
      <c r="G139" s="8"/>
      <c r="H139" s="8"/>
    </row>
    <row r="140" customFormat="false" ht="15" hidden="false" customHeight="false" outlineLevel="0" collapsed="false">
      <c r="A140" s="30"/>
      <c r="B140" s="8"/>
      <c r="C140" s="8"/>
      <c r="D140" s="8"/>
      <c r="E140" s="8"/>
      <c r="F140" s="8"/>
      <c r="G140" s="8"/>
      <c r="H140" s="8"/>
    </row>
    <row r="141" customFormat="false" ht="15" hidden="false" customHeight="false" outlineLevel="0" collapsed="false">
      <c r="A141" s="30"/>
      <c r="B141" s="8"/>
      <c r="C141" s="8"/>
      <c r="D141" s="8"/>
      <c r="E141" s="8"/>
      <c r="F141" s="8"/>
      <c r="G141" s="8"/>
      <c r="H141" s="8"/>
    </row>
    <row r="142" customFormat="false" ht="15" hidden="false" customHeight="false" outlineLevel="0" collapsed="false">
      <c r="A142" s="30"/>
      <c r="B142" s="8"/>
      <c r="C142" s="8"/>
      <c r="D142" s="8"/>
      <c r="E142" s="8"/>
      <c r="F142" s="8"/>
      <c r="G142" s="8"/>
      <c r="H142" s="8"/>
    </row>
    <row r="143" customFormat="false" ht="15" hidden="false" customHeight="false" outlineLevel="0" collapsed="false">
      <c r="A143" s="30"/>
      <c r="B143" s="8"/>
      <c r="C143" s="8"/>
      <c r="D143" s="8"/>
      <c r="E143" s="8"/>
      <c r="F143" s="8"/>
      <c r="G143" s="8"/>
      <c r="H143" s="8"/>
    </row>
    <row r="144" customFormat="false" ht="15" hidden="false" customHeight="false" outlineLevel="0" collapsed="false">
      <c r="A144" s="30"/>
      <c r="B144" s="8"/>
      <c r="C144" s="8"/>
      <c r="D144" s="8"/>
      <c r="E144" s="8"/>
      <c r="F144" s="8"/>
      <c r="G144" s="8"/>
      <c r="H144" s="8"/>
    </row>
    <row r="145" customFormat="false" ht="15" hidden="false" customHeight="false" outlineLevel="0" collapsed="false">
      <c r="A145" s="30"/>
      <c r="B145" s="8"/>
      <c r="C145" s="8"/>
      <c r="D145" s="8"/>
      <c r="E145" s="8"/>
      <c r="F145" s="8"/>
      <c r="G145" s="8"/>
      <c r="H145" s="8"/>
    </row>
    <row r="146" customFormat="false" ht="15" hidden="false" customHeight="false" outlineLevel="0" collapsed="false">
      <c r="A146" s="30"/>
      <c r="B146" s="8"/>
      <c r="C146" s="8"/>
      <c r="D146" s="8"/>
      <c r="E146" s="8"/>
      <c r="F146" s="8"/>
      <c r="G146" s="8"/>
      <c r="H146" s="8"/>
    </row>
    <row r="147" customFormat="false" ht="15" hidden="false" customHeight="false" outlineLevel="0" collapsed="false">
      <c r="A147" s="30"/>
      <c r="B147" s="8"/>
      <c r="C147" s="8"/>
      <c r="D147" s="8"/>
      <c r="E147" s="8"/>
      <c r="F147" s="8"/>
      <c r="G147" s="8"/>
      <c r="H147" s="8"/>
    </row>
    <row r="148" customFormat="false" ht="15" hidden="false" customHeight="false" outlineLevel="0" collapsed="false">
      <c r="A148" s="30"/>
      <c r="B148" s="8"/>
      <c r="C148" s="8"/>
      <c r="D148" s="8"/>
      <c r="E148" s="8"/>
      <c r="F148" s="8"/>
      <c r="G148" s="8"/>
      <c r="H148" s="8"/>
    </row>
    <row r="149" customFormat="false" ht="15" hidden="false" customHeight="false" outlineLevel="0" collapsed="false">
      <c r="A149" s="30"/>
      <c r="B149" s="8"/>
      <c r="C149" s="8"/>
      <c r="D149" s="8"/>
      <c r="E149" s="8"/>
      <c r="F149" s="8"/>
      <c r="G149" s="8"/>
      <c r="H149" s="8"/>
    </row>
    <row r="150" customFormat="false" ht="15" hidden="false" customHeight="false" outlineLevel="0" collapsed="false">
      <c r="A150" s="30"/>
      <c r="B150" s="8"/>
      <c r="C150" s="8"/>
      <c r="D150" s="8"/>
      <c r="E150" s="8"/>
      <c r="F150" s="8"/>
      <c r="G150" s="8"/>
      <c r="H150" s="8"/>
    </row>
    <row r="151" customFormat="false" ht="15" hidden="false" customHeight="false" outlineLevel="0" collapsed="false">
      <c r="A151" s="30"/>
      <c r="B151" s="8"/>
      <c r="C151" s="8"/>
      <c r="D151" s="8"/>
      <c r="E151" s="8"/>
      <c r="F151" s="8"/>
      <c r="G151" s="8"/>
      <c r="H151" s="8"/>
    </row>
    <row r="152" customFormat="false" ht="15" hidden="false" customHeight="false" outlineLevel="0" collapsed="false">
      <c r="A152" s="30"/>
      <c r="B152" s="8"/>
      <c r="C152" s="8"/>
      <c r="D152" s="8"/>
      <c r="E152" s="8"/>
      <c r="F152" s="8"/>
      <c r="G152" s="8"/>
      <c r="H152" s="8"/>
    </row>
    <row r="153" customFormat="false" ht="15" hidden="false" customHeight="false" outlineLevel="0" collapsed="false">
      <c r="A153" s="30"/>
      <c r="B153" s="8"/>
      <c r="C153" s="8"/>
      <c r="D153" s="8"/>
      <c r="E153" s="8"/>
      <c r="F153" s="8"/>
      <c r="G153" s="8"/>
      <c r="H153" s="8"/>
    </row>
    <row r="154" customFormat="false" ht="15" hidden="false" customHeight="false" outlineLevel="0" collapsed="false">
      <c r="A154" s="30"/>
      <c r="B154" s="8"/>
      <c r="C154" s="8"/>
      <c r="D154" s="8"/>
      <c r="E154" s="8"/>
      <c r="F154" s="8"/>
      <c r="G154" s="8"/>
      <c r="H154" s="8"/>
    </row>
    <row r="155" customFormat="false" ht="15" hidden="false" customHeight="false" outlineLevel="0" collapsed="false">
      <c r="A155" s="30"/>
      <c r="B155" s="8"/>
      <c r="C155" s="8"/>
      <c r="D155" s="8"/>
      <c r="E155" s="8"/>
      <c r="F155" s="8"/>
      <c r="G155" s="8"/>
      <c r="H155" s="8"/>
    </row>
    <row r="156" customFormat="false" ht="15" hidden="false" customHeight="false" outlineLevel="0" collapsed="false">
      <c r="A156" s="30"/>
      <c r="B156" s="8"/>
      <c r="C156" s="8"/>
      <c r="D156" s="8"/>
      <c r="E156" s="8"/>
      <c r="F156" s="8"/>
      <c r="G156" s="8"/>
      <c r="H156" s="8"/>
    </row>
    <row r="157" customFormat="false" ht="15" hidden="false" customHeight="false" outlineLevel="0" collapsed="false">
      <c r="A157" s="30"/>
      <c r="B157" s="8"/>
      <c r="C157" s="8"/>
      <c r="D157" s="8"/>
      <c r="E157" s="8"/>
      <c r="F157" s="8"/>
      <c r="G157" s="8"/>
      <c r="H157" s="8"/>
    </row>
    <row r="158" customFormat="false" ht="15" hidden="false" customHeight="false" outlineLevel="0" collapsed="false">
      <c r="A158" s="30"/>
      <c r="B158" s="8"/>
      <c r="C158" s="8"/>
      <c r="D158" s="8"/>
      <c r="E158" s="8"/>
      <c r="F158" s="8"/>
      <c r="G158" s="8"/>
      <c r="H158" s="8"/>
    </row>
    <row r="159" customFormat="false" ht="15" hidden="false" customHeight="false" outlineLevel="0" collapsed="false">
      <c r="A159" s="30"/>
      <c r="B159" s="8"/>
      <c r="C159" s="8"/>
      <c r="D159" s="8"/>
      <c r="E159" s="8"/>
      <c r="F159" s="8"/>
      <c r="G159" s="8"/>
      <c r="H159" s="8"/>
    </row>
    <row r="160" customFormat="false" ht="15" hidden="false" customHeight="false" outlineLevel="0" collapsed="false">
      <c r="A160" s="30"/>
      <c r="B160" s="8"/>
      <c r="C160" s="8"/>
      <c r="D160" s="8"/>
      <c r="E160" s="8"/>
      <c r="F160" s="8"/>
      <c r="G160" s="8"/>
      <c r="H160" s="8"/>
    </row>
    <row r="161" customFormat="false" ht="15" hidden="false" customHeight="false" outlineLevel="0" collapsed="false">
      <c r="A161" s="30"/>
      <c r="B161" s="8"/>
      <c r="C161" s="8"/>
      <c r="D161" s="8"/>
      <c r="E161" s="8"/>
      <c r="F161" s="8"/>
      <c r="G161" s="8"/>
      <c r="H161" s="8"/>
    </row>
    <row r="162" customFormat="false" ht="15" hidden="false" customHeight="false" outlineLevel="0" collapsed="false">
      <c r="A162" s="30"/>
      <c r="B162" s="8"/>
      <c r="C162" s="8"/>
      <c r="D162" s="8"/>
      <c r="E162" s="8"/>
      <c r="F162" s="8"/>
      <c r="G162" s="8"/>
      <c r="H162" s="8"/>
    </row>
    <row r="163" customFormat="false" ht="15" hidden="false" customHeight="false" outlineLevel="0" collapsed="false">
      <c r="A163" s="30"/>
      <c r="B163" s="8"/>
      <c r="C163" s="8"/>
      <c r="D163" s="8"/>
      <c r="E163" s="8"/>
      <c r="F163" s="8"/>
      <c r="G163" s="8"/>
      <c r="H163" s="8"/>
    </row>
    <row r="164" customFormat="false" ht="15" hidden="false" customHeight="false" outlineLevel="0" collapsed="false">
      <c r="A164" s="30"/>
      <c r="B164" s="8"/>
      <c r="C164" s="8"/>
      <c r="D164" s="8"/>
      <c r="E164" s="8"/>
      <c r="F164" s="8"/>
      <c r="G164" s="8"/>
      <c r="H164" s="8"/>
    </row>
    <row r="165" customFormat="false" ht="15" hidden="false" customHeight="false" outlineLevel="0" collapsed="false">
      <c r="A165" s="30"/>
      <c r="B165" s="8"/>
      <c r="C165" s="8"/>
      <c r="D165" s="8"/>
      <c r="E165" s="8"/>
      <c r="F165" s="8"/>
      <c r="G165" s="8"/>
      <c r="H165" s="8"/>
    </row>
    <row r="166" customFormat="false" ht="15" hidden="false" customHeight="false" outlineLevel="0" collapsed="false">
      <c r="A166" s="30"/>
      <c r="B166" s="8"/>
      <c r="C166" s="8"/>
      <c r="D166" s="8"/>
      <c r="E166" s="8"/>
      <c r="F166" s="8"/>
      <c r="G166" s="8"/>
      <c r="H166" s="8"/>
    </row>
    <row r="167" customFormat="false" ht="15" hidden="false" customHeight="false" outlineLevel="0" collapsed="false">
      <c r="A167" s="30"/>
      <c r="B167" s="8"/>
      <c r="C167" s="8"/>
      <c r="D167" s="8"/>
      <c r="E167" s="8"/>
      <c r="F167" s="8"/>
      <c r="G167" s="8"/>
      <c r="H167" s="8"/>
    </row>
    <row r="168" customFormat="false" ht="15" hidden="false" customHeight="false" outlineLevel="0" collapsed="false">
      <c r="A168" s="30"/>
      <c r="B168" s="8"/>
      <c r="C168" s="8"/>
      <c r="D168" s="8"/>
      <c r="E168" s="8"/>
      <c r="F168" s="8"/>
      <c r="G168" s="8"/>
      <c r="H168" s="8"/>
    </row>
    <row r="169" customFormat="false" ht="15" hidden="false" customHeight="false" outlineLevel="0" collapsed="false">
      <c r="A169" s="30"/>
      <c r="B169" s="8"/>
      <c r="C169" s="8"/>
      <c r="D169" s="8"/>
      <c r="E169" s="8"/>
      <c r="F169" s="8"/>
      <c r="G169" s="8"/>
      <c r="H169" s="8"/>
    </row>
    <row r="170" customFormat="false" ht="15" hidden="false" customHeight="false" outlineLevel="0" collapsed="false">
      <c r="A170" s="30"/>
      <c r="B170" s="8"/>
      <c r="C170" s="8"/>
      <c r="D170" s="8"/>
      <c r="E170" s="8"/>
      <c r="F170" s="8"/>
      <c r="G170" s="8"/>
      <c r="H170" s="8"/>
    </row>
    <row r="171" customFormat="false" ht="15" hidden="false" customHeight="false" outlineLevel="0" collapsed="false">
      <c r="A171" s="30"/>
      <c r="B171" s="8"/>
      <c r="C171" s="8"/>
      <c r="D171" s="8"/>
      <c r="E171" s="8"/>
      <c r="F171" s="8"/>
      <c r="G171" s="8"/>
      <c r="H171" s="8"/>
    </row>
    <row r="172" customFormat="false" ht="15" hidden="false" customHeight="false" outlineLevel="0" collapsed="false">
      <c r="A172" s="30"/>
      <c r="B172" s="8"/>
      <c r="C172" s="8"/>
      <c r="D172" s="8"/>
      <c r="E172" s="8"/>
      <c r="F172" s="8"/>
      <c r="G172" s="8"/>
      <c r="H172" s="8"/>
    </row>
    <row r="173" customFormat="false" ht="15" hidden="false" customHeight="false" outlineLevel="0" collapsed="false">
      <c r="A173" s="30"/>
      <c r="B173" s="8"/>
      <c r="C173" s="8"/>
      <c r="D173" s="8"/>
      <c r="E173" s="8"/>
      <c r="F173" s="8"/>
      <c r="G173" s="8"/>
      <c r="H173" s="8"/>
    </row>
    <row r="174" customFormat="false" ht="15" hidden="false" customHeight="false" outlineLevel="0" collapsed="false">
      <c r="A174" s="30"/>
      <c r="B174" s="8"/>
      <c r="C174" s="8"/>
      <c r="D174" s="8"/>
      <c r="E174" s="8"/>
      <c r="F174" s="8"/>
      <c r="G174" s="8"/>
      <c r="H174" s="8"/>
    </row>
    <row r="175" customFormat="false" ht="15" hidden="false" customHeight="false" outlineLevel="0" collapsed="false">
      <c r="A175" s="30"/>
      <c r="B175" s="8"/>
      <c r="C175" s="8"/>
      <c r="D175" s="8"/>
      <c r="E175" s="8"/>
      <c r="F175" s="8"/>
      <c r="G175" s="8"/>
      <c r="H175" s="8"/>
    </row>
    <row r="176" customFormat="false" ht="15" hidden="false" customHeight="false" outlineLevel="0" collapsed="false">
      <c r="A176" s="30"/>
      <c r="B176" s="8"/>
      <c r="C176" s="8"/>
      <c r="D176" s="8"/>
      <c r="E176" s="8"/>
      <c r="F176" s="8"/>
      <c r="G176" s="8"/>
      <c r="H176" s="8"/>
    </row>
    <row r="177" customFormat="false" ht="15" hidden="false" customHeight="false" outlineLevel="0" collapsed="false">
      <c r="A177" s="30"/>
      <c r="B177" s="8"/>
      <c r="C177" s="8"/>
      <c r="D177" s="8"/>
      <c r="E177" s="8"/>
      <c r="F177" s="8"/>
      <c r="G177" s="8"/>
      <c r="H177" s="8"/>
    </row>
    <row r="178" customFormat="false" ht="15" hidden="false" customHeight="false" outlineLevel="0" collapsed="false">
      <c r="A178" s="30"/>
      <c r="B178" s="8"/>
      <c r="C178" s="8"/>
      <c r="D178" s="8"/>
      <c r="E178" s="8"/>
      <c r="F178" s="8"/>
      <c r="G178" s="8"/>
      <c r="H178" s="8"/>
    </row>
    <row r="179" customFormat="false" ht="15" hidden="false" customHeight="false" outlineLevel="0" collapsed="false">
      <c r="A179" s="30"/>
      <c r="B179" s="8"/>
      <c r="C179" s="8"/>
      <c r="D179" s="8"/>
      <c r="E179" s="8"/>
      <c r="F179" s="8"/>
      <c r="G179" s="8"/>
      <c r="H179" s="8"/>
    </row>
    <row r="180" customFormat="false" ht="15" hidden="false" customHeight="false" outlineLevel="0" collapsed="false">
      <c r="A180" s="30"/>
      <c r="B180" s="8"/>
      <c r="C180" s="8"/>
      <c r="D180" s="8"/>
      <c r="E180" s="8"/>
      <c r="F180" s="8"/>
      <c r="G180" s="8"/>
      <c r="H180" s="8"/>
    </row>
    <row r="181" customFormat="false" ht="15" hidden="false" customHeight="false" outlineLevel="0" collapsed="false">
      <c r="A181" s="30"/>
      <c r="B181" s="8"/>
      <c r="C181" s="8"/>
      <c r="D181" s="8"/>
      <c r="E181" s="8"/>
      <c r="F181" s="8"/>
      <c r="G181" s="8"/>
      <c r="H181" s="8"/>
    </row>
    <row r="182" customFormat="false" ht="15" hidden="false" customHeight="false" outlineLevel="0" collapsed="false">
      <c r="A182" s="30"/>
      <c r="B182" s="8"/>
      <c r="C182" s="8"/>
      <c r="D182" s="8"/>
      <c r="E182" s="8"/>
      <c r="F182" s="8"/>
      <c r="G182" s="8"/>
      <c r="H182" s="8"/>
    </row>
    <row r="183" customFormat="false" ht="15" hidden="false" customHeight="false" outlineLevel="0" collapsed="false">
      <c r="A183" s="30"/>
      <c r="B183" s="8"/>
      <c r="C183" s="8"/>
      <c r="D183" s="8"/>
      <c r="E183" s="8"/>
      <c r="F183" s="8"/>
      <c r="G183" s="8"/>
      <c r="H183" s="8"/>
    </row>
    <row r="184" customFormat="false" ht="15" hidden="false" customHeight="false" outlineLevel="0" collapsed="false">
      <c r="A184" s="30"/>
      <c r="B184" s="8"/>
      <c r="C184" s="8"/>
      <c r="D184" s="8"/>
      <c r="E184" s="8"/>
      <c r="F184" s="8"/>
      <c r="G184" s="8"/>
      <c r="H184" s="8"/>
    </row>
    <row r="185" customFormat="false" ht="15" hidden="false" customHeight="false" outlineLevel="0" collapsed="false">
      <c r="A185" s="30"/>
      <c r="B185" s="8"/>
      <c r="C185" s="8"/>
      <c r="D185" s="8"/>
      <c r="E185" s="8"/>
      <c r="F185" s="8"/>
      <c r="G185" s="8"/>
      <c r="H185" s="8"/>
    </row>
    <row r="186" customFormat="false" ht="15" hidden="false" customHeight="false" outlineLevel="0" collapsed="false">
      <c r="A186" s="30"/>
      <c r="B186" s="8"/>
      <c r="C186" s="8"/>
      <c r="D186" s="8"/>
      <c r="E186" s="8"/>
      <c r="F186" s="8"/>
      <c r="G186" s="8"/>
      <c r="H186" s="8"/>
    </row>
    <row r="187" customFormat="false" ht="15" hidden="false" customHeight="false" outlineLevel="0" collapsed="false">
      <c r="A187" s="30"/>
      <c r="B187" s="8"/>
      <c r="C187" s="8"/>
      <c r="D187" s="8"/>
      <c r="E187" s="8"/>
      <c r="F187" s="8"/>
      <c r="G187" s="8"/>
      <c r="H187" s="8"/>
    </row>
    <row r="188" customFormat="false" ht="15" hidden="false" customHeight="false" outlineLevel="0" collapsed="false">
      <c r="A188" s="30"/>
      <c r="B188" s="8"/>
      <c r="C188" s="8"/>
      <c r="D188" s="8"/>
      <c r="E188" s="8"/>
      <c r="F188" s="8"/>
      <c r="G188" s="8"/>
      <c r="H188" s="8"/>
    </row>
    <row r="189" customFormat="false" ht="15" hidden="false" customHeight="false" outlineLevel="0" collapsed="false">
      <c r="A189" s="30"/>
      <c r="B189" s="8"/>
      <c r="C189" s="8"/>
      <c r="D189" s="8"/>
      <c r="E189" s="8"/>
      <c r="F189" s="8"/>
      <c r="G189" s="8"/>
      <c r="H189" s="8"/>
    </row>
    <row r="190" customFormat="false" ht="15" hidden="false" customHeight="false" outlineLevel="0" collapsed="false">
      <c r="A190" s="30"/>
      <c r="B190" s="8"/>
      <c r="C190" s="8"/>
      <c r="D190" s="8"/>
      <c r="E190" s="8"/>
      <c r="F190" s="8"/>
      <c r="G190" s="8"/>
      <c r="H190" s="8"/>
    </row>
    <row r="191" customFormat="false" ht="15" hidden="false" customHeight="false" outlineLevel="0" collapsed="false">
      <c r="A191" s="30"/>
      <c r="B191" s="8"/>
      <c r="C191" s="8"/>
      <c r="D191" s="8"/>
      <c r="E191" s="8"/>
      <c r="F191" s="8"/>
      <c r="G191" s="8"/>
      <c r="H191" s="8"/>
    </row>
    <row r="192" customFormat="false" ht="15" hidden="false" customHeight="false" outlineLevel="0" collapsed="false">
      <c r="A192" s="30"/>
      <c r="B192" s="8"/>
      <c r="C192" s="8"/>
      <c r="D192" s="8"/>
      <c r="E192" s="8"/>
      <c r="F192" s="8"/>
      <c r="G192" s="8"/>
      <c r="H192" s="8"/>
    </row>
    <row r="193" customFormat="false" ht="15" hidden="false" customHeight="false" outlineLevel="0" collapsed="false">
      <c r="A193" s="30"/>
      <c r="B193" s="8"/>
      <c r="C193" s="8"/>
      <c r="D193" s="8"/>
      <c r="E193" s="8"/>
      <c r="F193" s="8"/>
      <c r="G193" s="8"/>
      <c r="H193" s="8"/>
    </row>
    <row r="194" customFormat="false" ht="15" hidden="false" customHeight="false" outlineLevel="0" collapsed="false">
      <c r="A194" s="30"/>
      <c r="B194" s="8"/>
      <c r="C194" s="8"/>
      <c r="D194" s="8"/>
      <c r="E194" s="8"/>
      <c r="F194" s="8"/>
      <c r="G194" s="8"/>
      <c r="H194" s="8"/>
    </row>
    <row r="195" customFormat="false" ht="15" hidden="false" customHeight="false" outlineLevel="0" collapsed="false">
      <c r="A195" s="30"/>
      <c r="B195" s="8"/>
      <c r="C195" s="8"/>
      <c r="D195" s="8"/>
      <c r="E195" s="8"/>
      <c r="F195" s="8"/>
      <c r="G195" s="8"/>
      <c r="H195" s="8"/>
    </row>
    <row r="196" customFormat="false" ht="15" hidden="false" customHeight="false" outlineLevel="0" collapsed="false">
      <c r="A196" s="30"/>
      <c r="B196" s="8"/>
      <c r="C196" s="8"/>
      <c r="D196" s="8"/>
      <c r="E196" s="8"/>
      <c r="F196" s="8"/>
      <c r="G196" s="8"/>
      <c r="H196" s="8"/>
    </row>
    <row r="197" customFormat="false" ht="15" hidden="false" customHeight="false" outlineLevel="0" collapsed="false">
      <c r="A197" s="30"/>
      <c r="B197" s="8"/>
      <c r="C197" s="8"/>
      <c r="D197" s="8"/>
      <c r="E197" s="8"/>
      <c r="F197" s="8"/>
      <c r="G197" s="8"/>
      <c r="H197" s="8"/>
    </row>
    <row r="198" customFormat="false" ht="15" hidden="false" customHeight="false" outlineLevel="0" collapsed="false">
      <c r="A198" s="30"/>
      <c r="B198" s="8"/>
      <c r="C198" s="8"/>
      <c r="D198" s="8"/>
      <c r="E198" s="8"/>
      <c r="F198" s="8"/>
      <c r="G198" s="8"/>
      <c r="H198" s="8"/>
    </row>
    <row r="199" customFormat="false" ht="15" hidden="false" customHeight="false" outlineLevel="0" collapsed="false">
      <c r="A199" s="30"/>
      <c r="B199" s="8"/>
      <c r="C199" s="8"/>
      <c r="D199" s="8"/>
      <c r="E199" s="8"/>
      <c r="F199" s="8"/>
      <c r="G199" s="8"/>
      <c r="H199" s="8"/>
    </row>
    <row r="200" customFormat="false" ht="15" hidden="false" customHeight="false" outlineLevel="0" collapsed="false">
      <c r="A200" s="30"/>
      <c r="B200" s="8"/>
      <c r="C200" s="8"/>
      <c r="D200" s="8"/>
      <c r="E200" s="8"/>
      <c r="F200" s="8"/>
      <c r="G200" s="8"/>
      <c r="H200" s="8"/>
    </row>
    <row r="201" customFormat="false" ht="15" hidden="false" customHeight="false" outlineLevel="0" collapsed="false">
      <c r="A201" s="30"/>
      <c r="B201" s="8"/>
      <c r="C201" s="8"/>
      <c r="D201" s="8"/>
      <c r="E201" s="8"/>
      <c r="F201" s="8"/>
      <c r="G201" s="8"/>
      <c r="H201" s="8"/>
    </row>
    <row r="202" customFormat="false" ht="15" hidden="false" customHeight="false" outlineLevel="0" collapsed="false">
      <c r="A202" s="30"/>
      <c r="B202" s="8"/>
      <c r="C202" s="8"/>
      <c r="D202" s="8"/>
      <c r="E202" s="8"/>
      <c r="F202" s="8"/>
      <c r="G202" s="8"/>
      <c r="H202" s="8"/>
    </row>
    <row r="203" customFormat="false" ht="15" hidden="false" customHeight="false" outlineLevel="0" collapsed="false">
      <c r="A203" s="30"/>
      <c r="B203" s="8"/>
      <c r="C203" s="8"/>
      <c r="D203" s="8"/>
      <c r="E203" s="8"/>
      <c r="F203" s="8"/>
      <c r="G203" s="8"/>
      <c r="H203" s="8"/>
    </row>
    <row r="204" customFormat="false" ht="15" hidden="false" customHeight="false" outlineLevel="0" collapsed="false">
      <c r="A204" s="30"/>
      <c r="B204" s="8"/>
      <c r="C204" s="8"/>
      <c r="D204" s="8"/>
      <c r="E204" s="8"/>
      <c r="F204" s="8"/>
      <c r="G204" s="8"/>
      <c r="H204" s="8"/>
    </row>
    <row r="205" customFormat="false" ht="15" hidden="false" customHeight="false" outlineLevel="0" collapsed="false">
      <c r="A205" s="30"/>
      <c r="B205" s="8"/>
      <c r="C205" s="8"/>
      <c r="D205" s="8"/>
      <c r="E205" s="8"/>
      <c r="F205" s="8"/>
      <c r="G205" s="8"/>
      <c r="H205" s="8"/>
    </row>
    <row r="206" customFormat="false" ht="15" hidden="false" customHeight="false" outlineLevel="0" collapsed="false">
      <c r="A206" s="30"/>
      <c r="B206" s="8"/>
      <c r="C206" s="8"/>
      <c r="D206" s="8"/>
      <c r="E206" s="8"/>
      <c r="F206" s="8"/>
      <c r="G206" s="8"/>
      <c r="H206" s="8"/>
    </row>
    <row r="207" customFormat="false" ht="15" hidden="false" customHeight="false" outlineLevel="0" collapsed="false">
      <c r="A207" s="30"/>
      <c r="B207" s="8"/>
      <c r="C207" s="8"/>
      <c r="D207" s="8"/>
      <c r="E207" s="8"/>
      <c r="F207" s="8"/>
      <c r="G207" s="8"/>
      <c r="H207" s="8"/>
    </row>
    <row r="208" customFormat="false" ht="15" hidden="false" customHeight="false" outlineLevel="0" collapsed="false">
      <c r="A208" s="30"/>
      <c r="B208" s="8"/>
      <c r="C208" s="8"/>
      <c r="D208" s="8"/>
      <c r="E208" s="8"/>
      <c r="F208" s="8"/>
      <c r="G208" s="8"/>
      <c r="H208" s="8"/>
    </row>
    <row r="209" customFormat="false" ht="15" hidden="false" customHeight="false" outlineLevel="0" collapsed="false">
      <c r="A209" s="30"/>
      <c r="B209" s="8"/>
      <c r="C209" s="8"/>
      <c r="D209" s="8"/>
      <c r="E209" s="8"/>
      <c r="F209" s="8"/>
      <c r="G209" s="8"/>
      <c r="H209" s="8"/>
    </row>
    <row r="210" customFormat="false" ht="15" hidden="false" customHeight="false" outlineLevel="0" collapsed="false">
      <c r="A210" s="30"/>
      <c r="B210" s="8"/>
      <c r="C210" s="8"/>
      <c r="D210" s="8"/>
      <c r="E210" s="8"/>
      <c r="F210" s="8"/>
      <c r="G210" s="8"/>
      <c r="H210" s="8"/>
    </row>
    <row r="211" customFormat="false" ht="15" hidden="false" customHeight="false" outlineLevel="0" collapsed="false">
      <c r="A211" s="30"/>
      <c r="B211" s="8"/>
      <c r="C211" s="8"/>
      <c r="D211" s="8"/>
      <c r="E211" s="8"/>
      <c r="F211" s="8"/>
      <c r="G211" s="8"/>
      <c r="H211" s="8"/>
    </row>
    <row r="212" customFormat="false" ht="15" hidden="false" customHeight="false" outlineLevel="0" collapsed="false">
      <c r="A212" s="30"/>
      <c r="B212" s="8"/>
      <c r="C212" s="8"/>
      <c r="D212" s="8"/>
      <c r="E212" s="8"/>
      <c r="F212" s="8"/>
      <c r="G212" s="8"/>
      <c r="H212" s="8"/>
    </row>
    <row r="213" customFormat="false" ht="15" hidden="false" customHeight="false" outlineLevel="0" collapsed="false">
      <c r="A213" s="30"/>
      <c r="B213" s="8"/>
      <c r="C213" s="8"/>
      <c r="D213" s="8"/>
      <c r="E213" s="8"/>
      <c r="F213" s="8"/>
      <c r="G213" s="8"/>
      <c r="H213" s="8"/>
    </row>
    <row r="214" customFormat="false" ht="15" hidden="false" customHeight="false" outlineLevel="0" collapsed="false">
      <c r="A214" s="30"/>
      <c r="B214" s="8"/>
      <c r="C214" s="8"/>
      <c r="D214" s="8"/>
      <c r="E214" s="8"/>
      <c r="F214" s="8"/>
      <c r="G214" s="8"/>
      <c r="H214" s="8"/>
    </row>
    <row r="215" customFormat="false" ht="15" hidden="false" customHeight="false" outlineLevel="0" collapsed="false">
      <c r="A215" s="30"/>
      <c r="B215" s="8"/>
      <c r="C215" s="8"/>
      <c r="D215" s="8"/>
      <c r="E215" s="8"/>
      <c r="F215" s="8"/>
      <c r="G215" s="8"/>
      <c r="H215" s="8"/>
    </row>
    <row r="216" customFormat="false" ht="15" hidden="false" customHeight="false" outlineLevel="0" collapsed="false">
      <c r="A216" s="30"/>
      <c r="B216" s="8"/>
      <c r="C216" s="8"/>
      <c r="D216" s="8"/>
      <c r="E216" s="8"/>
      <c r="F216" s="8"/>
      <c r="G216" s="8"/>
      <c r="H216" s="8"/>
    </row>
    <row r="217" customFormat="false" ht="15" hidden="false" customHeight="false" outlineLevel="0" collapsed="false">
      <c r="A217" s="30"/>
      <c r="B217" s="8"/>
      <c r="C217" s="8"/>
      <c r="D217" s="8"/>
      <c r="E217" s="8"/>
      <c r="F217" s="8"/>
      <c r="G217" s="8"/>
      <c r="H217" s="8"/>
    </row>
    <row r="218" customFormat="false" ht="15" hidden="false" customHeight="false" outlineLevel="0" collapsed="false">
      <c r="A218" s="30"/>
      <c r="B218" s="8"/>
      <c r="C218" s="8"/>
      <c r="D218" s="8"/>
      <c r="E218" s="8"/>
      <c r="F218" s="8"/>
      <c r="G218" s="8"/>
      <c r="H218" s="8"/>
    </row>
    <row r="219" customFormat="false" ht="15" hidden="false" customHeight="false" outlineLevel="0" collapsed="false">
      <c r="A219" s="30"/>
      <c r="B219" s="8"/>
      <c r="C219" s="8"/>
      <c r="D219" s="8"/>
      <c r="E219" s="8"/>
      <c r="F219" s="8"/>
      <c r="G219" s="8"/>
      <c r="H219" s="8"/>
    </row>
    <row r="220" customFormat="false" ht="15" hidden="false" customHeight="false" outlineLevel="0" collapsed="false">
      <c r="A220" s="30"/>
      <c r="B220" s="8"/>
      <c r="C220" s="8"/>
      <c r="D220" s="8"/>
      <c r="E220" s="8"/>
      <c r="F220" s="8"/>
      <c r="G220" s="8"/>
      <c r="H220" s="8"/>
    </row>
    <row r="221" customFormat="false" ht="15" hidden="false" customHeight="false" outlineLevel="0" collapsed="false">
      <c r="A221" s="30"/>
      <c r="B221" s="8"/>
      <c r="C221" s="8"/>
      <c r="D221" s="8"/>
      <c r="E221" s="8"/>
      <c r="F221" s="8"/>
      <c r="G221" s="8"/>
      <c r="H221" s="8"/>
    </row>
    <row r="222" customFormat="false" ht="15" hidden="false" customHeight="false" outlineLevel="0" collapsed="false">
      <c r="A222" s="30"/>
      <c r="B222" s="8"/>
      <c r="C222" s="8"/>
      <c r="D222" s="8"/>
      <c r="E222" s="8"/>
      <c r="F222" s="8"/>
      <c r="G222" s="8"/>
      <c r="H222" s="8"/>
    </row>
    <row r="223" customFormat="false" ht="15" hidden="false" customHeight="false" outlineLevel="0" collapsed="false">
      <c r="A223" s="30"/>
      <c r="B223" s="8"/>
      <c r="C223" s="8"/>
      <c r="D223" s="8"/>
      <c r="E223" s="8"/>
      <c r="F223" s="8"/>
      <c r="G223" s="8"/>
      <c r="H223" s="8"/>
    </row>
    <row r="224" customFormat="false" ht="15" hidden="false" customHeight="false" outlineLevel="0" collapsed="false">
      <c r="A224" s="30"/>
      <c r="B224" s="8"/>
      <c r="C224" s="8"/>
      <c r="D224" s="8"/>
      <c r="E224" s="8"/>
      <c r="F224" s="8"/>
      <c r="G224" s="8"/>
      <c r="H224" s="8"/>
    </row>
    <row r="225" customFormat="false" ht="15" hidden="false" customHeight="false" outlineLevel="0" collapsed="false">
      <c r="A225" s="30"/>
      <c r="B225" s="8"/>
      <c r="C225" s="8"/>
      <c r="D225" s="8"/>
      <c r="E225" s="8"/>
      <c r="F225" s="8"/>
      <c r="G225" s="8"/>
      <c r="H225" s="8"/>
    </row>
    <row r="226" customFormat="false" ht="15" hidden="false" customHeight="false" outlineLevel="0" collapsed="false">
      <c r="A226" s="30"/>
      <c r="B226" s="8"/>
      <c r="C226" s="8"/>
      <c r="D226" s="8"/>
      <c r="E226" s="8"/>
      <c r="F226" s="8"/>
      <c r="G226" s="8"/>
      <c r="H226" s="8"/>
    </row>
    <row r="227" customFormat="false" ht="15" hidden="false" customHeight="false" outlineLevel="0" collapsed="false">
      <c r="A227" s="30"/>
      <c r="B227" s="8"/>
      <c r="C227" s="8"/>
      <c r="D227" s="8"/>
      <c r="E227" s="8"/>
      <c r="F227" s="8"/>
      <c r="G227" s="8"/>
      <c r="H227" s="8"/>
    </row>
    <row r="228" customFormat="false" ht="15" hidden="false" customHeight="false" outlineLevel="0" collapsed="false">
      <c r="A228" s="30"/>
      <c r="B228" s="8"/>
      <c r="C228" s="8"/>
      <c r="D228" s="8"/>
      <c r="E228" s="8"/>
      <c r="F228" s="8"/>
      <c r="G228" s="8"/>
      <c r="H228" s="8"/>
    </row>
    <row r="229" customFormat="false" ht="15" hidden="false" customHeight="false" outlineLevel="0" collapsed="false">
      <c r="A229" s="30"/>
      <c r="B229" s="8"/>
      <c r="C229" s="8"/>
      <c r="D229" s="8"/>
      <c r="E229" s="8"/>
      <c r="F229" s="8"/>
      <c r="G229" s="8"/>
      <c r="H229" s="8"/>
    </row>
    <row r="230" customFormat="false" ht="15" hidden="false" customHeight="false" outlineLevel="0" collapsed="false">
      <c r="A230" s="30"/>
      <c r="B230" s="8"/>
      <c r="C230" s="8"/>
      <c r="D230" s="8"/>
      <c r="E230" s="8"/>
      <c r="F230" s="8"/>
      <c r="G230" s="8"/>
      <c r="H230" s="8"/>
    </row>
    <row r="231" customFormat="false" ht="15" hidden="false" customHeight="false" outlineLevel="0" collapsed="false">
      <c r="A231" s="30"/>
      <c r="B231" s="8"/>
      <c r="C231" s="8"/>
      <c r="D231" s="8"/>
      <c r="E231" s="8"/>
      <c r="F231" s="8"/>
      <c r="G231" s="8"/>
      <c r="H231" s="8"/>
    </row>
    <row r="232" customFormat="false" ht="15" hidden="false" customHeight="false" outlineLevel="0" collapsed="false">
      <c r="A232" s="30"/>
      <c r="B232" s="8"/>
      <c r="C232" s="8"/>
      <c r="D232" s="8"/>
      <c r="E232" s="8"/>
      <c r="F232" s="8"/>
      <c r="G232" s="8"/>
      <c r="H232" s="8"/>
    </row>
    <row r="233" customFormat="false" ht="15" hidden="false" customHeight="false" outlineLevel="0" collapsed="false">
      <c r="A233" s="30"/>
      <c r="B233" s="8"/>
      <c r="C233" s="8"/>
      <c r="D233" s="8"/>
      <c r="E233" s="8"/>
      <c r="F233" s="8"/>
      <c r="G233" s="8"/>
      <c r="H233" s="8"/>
    </row>
    <row r="234" customFormat="false" ht="15" hidden="false" customHeight="false" outlineLevel="0" collapsed="false">
      <c r="A234" s="30"/>
      <c r="B234" s="8"/>
      <c r="C234" s="8"/>
      <c r="D234" s="8"/>
      <c r="E234" s="8"/>
      <c r="F234" s="8"/>
      <c r="G234" s="8"/>
      <c r="H234" s="8"/>
    </row>
    <row r="235" customFormat="false" ht="15" hidden="false" customHeight="false" outlineLevel="0" collapsed="false">
      <c r="A235" s="30"/>
      <c r="B235" s="8"/>
      <c r="C235" s="8"/>
      <c r="D235" s="8"/>
      <c r="E235" s="8"/>
      <c r="F235" s="8"/>
      <c r="G235" s="8"/>
      <c r="H235" s="8"/>
    </row>
    <row r="236" customFormat="false" ht="15" hidden="false" customHeight="false" outlineLevel="0" collapsed="false">
      <c r="A236" s="30"/>
      <c r="B236" s="8"/>
      <c r="C236" s="8"/>
      <c r="D236" s="8"/>
      <c r="E236" s="8"/>
      <c r="F236" s="8"/>
      <c r="G236" s="8"/>
      <c r="H236" s="8"/>
    </row>
    <row r="237" customFormat="false" ht="15" hidden="false" customHeight="false" outlineLevel="0" collapsed="false">
      <c r="A237" s="30"/>
      <c r="B237" s="8"/>
      <c r="C237" s="8"/>
      <c r="D237" s="8"/>
      <c r="E237" s="8"/>
      <c r="F237" s="8"/>
      <c r="G237" s="8"/>
      <c r="H237" s="8"/>
    </row>
    <row r="238" customFormat="false" ht="15" hidden="false" customHeight="false" outlineLevel="0" collapsed="false">
      <c r="A238" s="30"/>
      <c r="B238" s="8"/>
      <c r="C238" s="8"/>
      <c r="D238" s="8"/>
      <c r="E238" s="8"/>
      <c r="F238" s="8"/>
      <c r="G238" s="8"/>
      <c r="H238" s="8"/>
    </row>
    <row r="239" customFormat="false" ht="15" hidden="false" customHeight="false" outlineLevel="0" collapsed="false">
      <c r="A239" s="30"/>
      <c r="B239" s="8"/>
      <c r="C239" s="8"/>
      <c r="D239" s="8"/>
      <c r="E239" s="8"/>
      <c r="F239" s="8"/>
      <c r="G239" s="8"/>
      <c r="H239" s="8"/>
    </row>
    <row r="240" customFormat="false" ht="15" hidden="false" customHeight="false" outlineLevel="0" collapsed="false">
      <c r="A240" s="30"/>
      <c r="B240" s="8"/>
      <c r="C240" s="8"/>
      <c r="D240" s="8"/>
      <c r="E240" s="8"/>
      <c r="F240" s="8"/>
      <c r="G240" s="8"/>
      <c r="H240" s="8"/>
    </row>
    <row r="241" customFormat="false" ht="15" hidden="false" customHeight="false" outlineLevel="0" collapsed="false">
      <c r="A241" s="30"/>
      <c r="B241" s="8"/>
      <c r="C241" s="8"/>
      <c r="D241" s="8"/>
      <c r="E241" s="8"/>
      <c r="F241" s="8"/>
      <c r="G241" s="8"/>
      <c r="H241" s="8"/>
    </row>
    <row r="242" customFormat="false" ht="15" hidden="false" customHeight="false" outlineLevel="0" collapsed="false">
      <c r="A242" s="30"/>
      <c r="B242" s="8"/>
      <c r="C242" s="8"/>
      <c r="D242" s="8"/>
      <c r="E242" s="8"/>
      <c r="F242" s="8"/>
      <c r="G242" s="8"/>
      <c r="H242" s="8"/>
    </row>
    <row r="243" customFormat="false" ht="15" hidden="false" customHeight="false" outlineLevel="0" collapsed="false">
      <c r="A243" s="30"/>
      <c r="B243" s="8"/>
      <c r="C243" s="8"/>
      <c r="D243" s="8"/>
      <c r="E243" s="8"/>
      <c r="F243" s="8"/>
      <c r="G243" s="8"/>
      <c r="H243" s="8"/>
    </row>
    <row r="244" customFormat="false" ht="15" hidden="false" customHeight="false" outlineLevel="0" collapsed="false">
      <c r="A244" s="30"/>
      <c r="B244" s="8"/>
      <c r="C244" s="8"/>
      <c r="D244" s="8"/>
      <c r="E244" s="8"/>
      <c r="F244" s="8"/>
      <c r="G244" s="8"/>
      <c r="H244" s="8"/>
    </row>
    <row r="245" customFormat="false" ht="15" hidden="false" customHeight="false" outlineLevel="0" collapsed="false">
      <c r="A245" s="30"/>
      <c r="B245" s="8"/>
      <c r="C245" s="8"/>
      <c r="D245" s="8"/>
      <c r="E245" s="8"/>
      <c r="F245" s="8"/>
      <c r="G245" s="8"/>
      <c r="H245" s="8"/>
    </row>
    <row r="246" customFormat="false" ht="15" hidden="false" customHeight="false" outlineLevel="0" collapsed="false">
      <c r="A246" s="30"/>
      <c r="B246" s="8"/>
      <c r="C246" s="8"/>
      <c r="D246" s="8"/>
      <c r="E246" s="8"/>
      <c r="F246" s="8"/>
      <c r="G246" s="8"/>
      <c r="H246" s="8"/>
    </row>
    <row r="247" customFormat="false" ht="15" hidden="false" customHeight="false" outlineLevel="0" collapsed="false">
      <c r="A247" s="30"/>
      <c r="B247" s="8"/>
      <c r="C247" s="8"/>
      <c r="D247" s="8"/>
      <c r="E247" s="8"/>
      <c r="F247" s="8"/>
      <c r="G247" s="8"/>
      <c r="H247" s="8"/>
    </row>
    <row r="248" customFormat="false" ht="15" hidden="false" customHeight="false" outlineLevel="0" collapsed="false">
      <c r="A248" s="30"/>
      <c r="B248" s="8"/>
      <c r="C248" s="8"/>
      <c r="D248" s="8"/>
      <c r="E248" s="8"/>
      <c r="F248" s="8"/>
      <c r="G248" s="8"/>
      <c r="H248" s="8"/>
    </row>
    <row r="249" customFormat="false" ht="15" hidden="false" customHeight="false" outlineLevel="0" collapsed="false">
      <c r="A249" s="30"/>
      <c r="B249" s="8"/>
      <c r="C249" s="8"/>
      <c r="D249" s="8"/>
      <c r="E249" s="8"/>
      <c r="F249" s="8"/>
      <c r="G249" s="8"/>
      <c r="H249" s="8"/>
    </row>
    <row r="250" customFormat="false" ht="15" hidden="false" customHeight="false" outlineLevel="0" collapsed="false">
      <c r="A250" s="30"/>
      <c r="B250" s="8"/>
      <c r="C250" s="8"/>
      <c r="D250" s="8"/>
      <c r="E250" s="8"/>
      <c r="F250" s="8"/>
      <c r="G250" s="8"/>
      <c r="H250" s="8"/>
    </row>
    <row r="251" customFormat="false" ht="15" hidden="false" customHeight="false" outlineLevel="0" collapsed="false">
      <c r="A251" s="30"/>
      <c r="B251" s="8"/>
      <c r="C251" s="8"/>
      <c r="D251" s="8"/>
      <c r="E251" s="8"/>
      <c r="F251" s="8"/>
      <c r="G251" s="8"/>
      <c r="H251" s="8"/>
    </row>
    <row r="252" customFormat="false" ht="15" hidden="false" customHeight="false" outlineLevel="0" collapsed="false">
      <c r="A252" s="30"/>
      <c r="B252" s="8"/>
      <c r="C252" s="8"/>
      <c r="D252" s="8"/>
      <c r="E252" s="8"/>
      <c r="F252" s="8"/>
      <c r="G252" s="8"/>
      <c r="H252" s="8"/>
    </row>
    <row r="253" customFormat="false" ht="15" hidden="false" customHeight="false" outlineLevel="0" collapsed="false">
      <c r="A253" s="30"/>
      <c r="B253" s="8"/>
      <c r="C253" s="8"/>
      <c r="D253" s="8"/>
      <c r="E253" s="8"/>
      <c r="F253" s="8"/>
      <c r="G253" s="8"/>
      <c r="H253" s="8"/>
    </row>
    <row r="254" customFormat="false" ht="15" hidden="false" customHeight="false" outlineLevel="0" collapsed="false">
      <c r="A254" s="30"/>
      <c r="B254" s="8"/>
      <c r="C254" s="8"/>
      <c r="D254" s="8"/>
      <c r="E254" s="8"/>
      <c r="F254" s="8"/>
      <c r="G254" s="8"/>
      <c r="H254" s="8"/>
    </row>
    <row r="255" customFormat="false" ht="15" hidden="false" customHeight="false" outlineLevel="0" collapsed="false">
      <c r="A255" s="30"/>
      <c r="B255" s="8"/>
      <c r="C255" s="8"/>
      <c r="D255" s="8"/>
      <c r="E255" s="8"/>
      <c r="F255" s="8"/>
      <c r="G255" s="8"/>
      <c r="H255" s="8"/>
    </row>
    <row r="256" customFormat="false" ht="15" hidden="false" customHeight="false" outlineLevel="0" collapsed="false">
      <c r="A256" s="30"/>
      <c r="B256" s="8"/>
      <c r="C256" s="8"/>
      <c r="D256" s="8"/>
      <c r="E256" s="8"/>
      <c r="F256" s="8"/>
      <c r="G256" s="8"/>
      <c r="H256" s="8"/>
    </row>
    <row r="257" customFormat="false" ht="15" hidden="false" customHeight="false" outlineLevel="0" collapsed="false">
      <c r="A257" s="30"/>
      <c r="B257" s="8"/>
      <c r="C257" s="8"/>
      <c r="D257" s="8"/>
      <c r="E257" s="8"/>
      <c r="F257" s="8"/>
      <c r="G257" s="8"/>
      <c r="H257" s="8"/>
    </row>
    <row r="258" customFormat="false" ht="15" hidden="false" customHeight="false" outlineLevel="0" collapsed="false">
      <c r="A258" s="30"/>
      <c r="B258" s="8"/>
      <c r="C258" s="8"/>
      <c r="D258" s="8"/>
      <c r="E258" s="8"/>
      <c r="F258" s="8"/>
      <c r="G258" s="8"/>
      <c r="H258" s="8"/>
    </row>
    <row r="259" customFormat="false" ht="15" hidden="false" customHeight="false" outlineLevel="0" collapsed="false">
      <c r="A259" s="30"/>
      <c r="B259" s="8"/>
      <c r="C259" s="8"/>
      <c r="D259" s="8"/>
      <c r="E259" s="8"/>
      <c r="F259" s="8"/>
      <c r="G259" s="8"/>
      <c r="H259" s="8"/>
    </row>
    <row r="260" customFormat="false" ht="15" hidden="false" customHeight="false" outlineLevel="0" collapsed="false">
      <c r="A260" s="30"/>
      <c r="B260" s="8"/>
      <c r="C260" s="8"/>
      <c r="D260" s="8"/>
      <c r="E260" s="8"/>
      <c r="F260" s="8"/>
      <c r="G260" s="8"/>
      <c r="H260" s="8"/>
    </row>
    <row r="261" customFormat="false" ht="15" hidden="false" customHeight="false" outlineLevel="0" collapsed="false">
      <c r="A261" s="30"/>
      <c r="B261" s="8"/>
      <c r="C261" s="8"/>
      <c r="D261" s="8"/>
      <c r="E261" s="8"/>
      <c r="F261" s="8"/>
      <c r="G261" s="8"/>
      <c r="H261" s="8"/>
    </row>
    <row r="262" customFormat="false" ht="15" hidden="false" customHeight="false" outlineLevel="0" collapsed="false">
      <c r="A262" s="30"/>
      <c r="B262" s="8"/>
      <c r="C262" s="8"/>
      <c r="D262" s="8"/>
      <c r="E262" s="8"/>
      <c r="F262" s="8"/>
      <c r="G262" s="8"/>
      <c r="H262" s="8"/>
    </row>
    <row r="263" customFormat="false" ht="15" hidden="false" customHeight="false" outlineLevel="0" collapsed="false">
      <c r="A263" s="30"/>
      <c r="B263" s="8"/>
      <c r="C263" s="8"/>
      <c r="D263" s="8"/>
      <c r="E263" s="8"/>
      <c r="F263" s="8"/>
      <c r="G263" s="8"/>
      <c r="H263" s="8"/>
    </row>
    <row r="264" customFormat="false" ht="15" hidden="false" customHeight="false" outlineLevel="0" collapsed="false">
      <c r="A264" s="30"/>
      <c r="B264" s="8"/>
      <c r="C264" s="8"/>
      <c r="D264" s="8"/>
      <c r="E264" s="8"/>
      <c r="F264" s="8"/>
      <c r="G264" s="8"/>
      <c r="H264" s="8"/>
    </row>
    <row r="265" customFormat="false" ht="15" hidden="false" customHeight="false" outlineLevel="0" collapsed="false">
      <c r="A265" s="30"/>
      <c r="B265" s="8"/>
      <c r="C265" s="8"/>
      <c r="D265" s="8"/>
      <c r="E265" s="8"/>
      <c r="F265" s="8"/>
      <c r="G265" s="8"/>
      <c r="H265" s="8"/>
    </row>
    <row r="266" customFormat="false" ht="15" hidden="false" customHeight="false" outlineLevel="0" collapsed="false">
      <c r="A266" s="30"/>
      <c r="B266" s="8"/>
      <c r="C266" s="8"/>
      <c r="D266" s="8"/>
      <c r="E266" s="8"/>
      <c r="F266" s="8"/>
      <c r="G266" s="8"/>
      <c r="H266" s="8"/>
    </row>
    <row r="267" customFormat="false" ht="15" hidden="false" customHeight="false" outlineLevel="0" collapsed="false">
      <c r="A267" s="30"/>
      <c r="B267" s="8"/>
      <c r="C267" s="8"/>
      <c r="D267" s="8"/>
      <c r="E267" s="8"/>
      <c r="F267" s="8"/>
      <c r="G267" s="8"/>
      <c r="H267" s="8"/>
    </row>
    <row r="268" customFormat="false" ht="15" hidden="false" customHeight="false" outlineLevel="0" collapsed="false">
      <c r="A268" s="30"/>
      <c r="B268" s="8"/>
      <c r="C268" s="8"/>
      <c r="D268" s="8"/>
      <c r="E268" s="8"/>
      <c r="F268" s="8"/>
      <c r="G268" s="8"/>
      <c r="H268" s="8"/>
    </row>
    <row r="269" customFormat="false" ht="15" hidden="false" customHeight="false" outlineLevel="0" collapsed="false">
      <c r="A269" s="30"/>
      <c r="B269" s="8"/>
      <c r="C269" s="8"/>
      <c r="D269" s="8"/>
      <c r="E269" s="8"/>
      <c r="F269" s="8"/>
      <c r="G269" s="8"/>
      <c r="H269" s="8"/>
    </row>
    <row r="270" customFormat="false" ht="15" hidden="false" customHeight="false" outlineLevel="0" collapsed="false">
      <c r="A270" s="30"/>
      <c r="B270" s="8"/>
      <c r="C270" s="8"/>
      <c r="D270" s="8"/>
      <c r="E270" s="8"/>
      <c r="F270" s="8"/>
      <c r="G270" s="8"/>
      <c r="H270" s="8"/>
    </row>
    <row r="271" customFormat="false" ht="15" hidden="false" customHeight="false" outlineLevel="0" collapsed="false">
      <c r="A271" s="30"/>
      <c r="B271" s="8"/>
      <c r="C271" s="8"/>
      <c r="D271" s="8"/>
      <c r="E271" s="8"/>
      <c r="F271" s="8"/>
      <c r="G271" s="8"/>
      <c r="H271" s="8"/>
    </row>
    <row r="272" customFormat="false" ht="15" hidden="false" customHeight="false" outlineLevel="0" collapsed="false">
      <c r="A272" s="30"/>
      <c r="B272" s="8"/>
      <c r="C272" s="8"/>
      <c r="D272" s="8"/>
      <c r="E272" s="8"/>
      <c r="F272" s="8"/>
      <c r="G272" s="8"/>
      <c r="H272" s="8"/>
    </row>
    <row r="273" customFormat="false" ht="15" hidden="false" customHeight="false" outlineLevel="0" collapsed="false">
      <c r="A273" s="30"/>
      <c r="B273" s="8"/>
      <c r="C273" s="8"/>
      <c r="D273" s="8"/>
      <c r="E273" s="8"/>
      <c r="F273" s="8"/>
      <c r="G273" s="8"/>
      <c r="H273" s="8"/>
    </row>
    <row r="274" customFormat="false" ht="15" hidden="false" customHeight="false" outlineLevel="0" collapsed="false">
      <c r="A274" s="30"/>
      <c r="B274" s="8"/>
      <c r="C274" s="8"/>
      <c r="D274" s="8"/>
      <c r="E274" s="8"/>
      <c r="F274" s="8"/>
      <c r="G274" s="8"/>
      <c r="H274" s="8"/>
    </row>
    <row r="275" customFormat="false" ht="15" hidden="false" customHeight="false" outlineLevel="0" collapsed="false">
      <c r="A275" s="30"/>
      <c r="B275" s="8"/>
      <c r="C275" s="8"/>
      <c r="D275" s="8"/>
      <c r="E275" s="8"/>
      <c r="F275" s="8"/>
      <c r="G275" s="8"/>
      <c r="H275" s="8"/>
    </row>
    <row r="276" customFormat="false" ht="15" hidden="false" customHeight="false" outlineLevel="0" collapsed="false">
      <c r="A276" s="30"/>
      <c r="B276" s="8"/>
      <c r="C276" s="8"/>
      <c r="D276" s="8"/>
      <c r="E276" s="8"/>
      <c r="F276" s="8"/>
      <c r="G276" s="8"/>
      <c r="H276" s="8"/>
    </row>
    <row r="277" customFormat="false" ht="15" hidden="false" customHeight="false" outlineLevel="0" collapsed="false">
      <c r="A277" s="30"/>
      <c r="B277" s="8"/>
      <c r="C277" s="8"/>
      <c r="D277" s="8"/>
      <c r="E277" s="8"/>
      <c r="F277" s="8"/>
      <c r="G277" s="8"/>
      <c r="H277" s="8"/>
    </row>
    <row r="278" customFormat="false" ht="15" hidden="false" customHeight="false" outlineLevel="0" collapsed="false">
      <c r="A278" s="30"/>
      <c r="B278" s="8"/>
      <c r="C278" s="8"/>
      <c r="D278" s="8"/>
      <c r="E278" s="8"/>
      <c r="F278" s="8"/>
      <c r="G278" s="8"/>
      <c r="H278" s="8"/>
    </row>
    <row r="279" customFormat="false" ht="15" hidden="false" customHeight="false" outlineLevel="0" collapsed="false">
      <c r="A279" s="30"/>
      <c r="B279" s="8"/>
      <c r="C279" s="8"/>
      <c r="D279" s="8"/>
      <c r="E279" s="8"/>
      <c r="F279" s="8"/>
      <c r="G279" s="8"/>
      <c r="H279" s="8"/>
    </row>
    <row r="280" customFormat="false" ht="15" hidden="false" customHeight="false" outlineLevel="0" collapsed="false">
      <c r="A280" s="30"/>
      <c r="B280" s="8"/>
      <c r="C280" s="8"/>
      <c r="D280" s="8"/>
      <c r="E280" s="8"/>
      <c r="F280" s="8"/>
      <c r="G280" s="8"/>
      <c r="H280" s="8"/>
    </row>
    <row r="281" customFormat="false" ht="15" hidden="false" customHeight="false" outlineLevel="0" collapsed="false">
      <c r="A281" s="30"/>
      <c r="B281" s="8"/>
      <c r="C281" s="8"/>
      <c r="D281" s="8"/>
      <c r="E281" s="8"/>
      <c r="F281" s="8"/>
      <c r="G281" s="8"/>
      <c r="H281" s="8"/>
    </row>
    <row r="282" customFormat="false" ht="15" hidden="false" customHeight="false" outlineLevel="0" collapsed="false">
      <c r="A282" s="30"/>
      <c r="B282" s="8"/>
      <c r="C282" s="8"/>
      <c r="D282" s="8"/>
      <c r="E282" s="8"/>
      <c r="F282" s="8"/>
      <c r="G282" s="8"/>
      <c r="H282" s="8"/>
    </row>
    <row r="283" customFormat="false" ht="15" hidden="false" customHeight="false" outlineLevel="0" collapsed="false">
      <c r="A283" s="30"/>
      <c r="B283" s="8"/>
      <c r="C283" s="8"/>
      <c r="D283" s="8"/>
      <c r="E283" s="8"/>
      <c r="F283" s="8"/>
      <c r="G283" s="8"/>
      <c r="H283" s="8"/>
    </row>
    <row r="284" customFormat="false" ht="15" hidden="false" customHeight="false" outlineLevel="0" collapsed="false">
      <c r="A284" s="30"/>
      <c r="B284" s="8"/>
      <c r="C284" s="8"/>
      <c r="D284" s="8"/>
      <c r="E284" s="8"/>
      <c r="F284" s="8"/>
      <c r="G284" s="8"/>
      <c r="H284" s="8"/>
    </row>
    <row r="285" customFormat="false" ht="15" hidden="false" customHeight="false" outlineLevel="0" collapsed="false">
      <c r="A285" s="30"/>
      <c r="B285" s="8"/>
      <c r="C285" s="8"/>
      <c r="D285" s="8"/>
      <c r="E285" s="8"/>
      <c r="F285" s="8"/>
      <c r="G285" s="8"/>
      <c r="H285" s="8"/>
    </row>
    <row r="286" customFormat="false" ht="15" hidden="false" customHeight="false" outlineLevel="0" collapsed="false">
      <c r="A286" s="30"/>
      <c r="B286" s="8"/>
      <c r="C286" s="8"/>
      <c r="D286" s="8"/>
      <c r="E286" s="8"/>
      <c r="F286" s="8"/>
      <c r="G286" s="8"/>
      <c r="H286" s="8"/>
    </row>
    <row r="287" customFormat="false" ht="15" hidden="false" customHeight="false" outlineLevel="0" collapsed="false">
      <c r="A287" s="30"/>
      <c r="B287" s="8"/>
      <c r="C287" s="8"/>
      <c r="D287" s="8"/>
      <c r="E287" s="8"/>
      <c r="F287" s="8"/>
      <c r="G287" s="8"/>
      <c r="H287" s="8"/>
    </row>
    <row r="288" customFormat="false" ht="15" hidden="false" customHeight="false" outlineLevel="0" collapsed="false">
      <c r="A288" s="30"/>
      <c r="B288" s="8"/>
      <c r="C288" s="8"/>
      <c r="D288" s="8"/>
      <c r="E288" s="8"/>
      <c r="F288" s="8"/>
      <c r="G288" s="8"/>
      <c r="H288" s="8"/>
    </row>
    <row r="289" customFormat="false" ht="15" hidden="false" customHeight="false" outlineLevel="0" collapsed="false">
      <c r="A289" s="30"/>
      <c r="B289" s="8"/>
      <c r="C289" s="8"/>
      <c r="D289" s="8"/>
      <c r="E289" s="8"/>
      <c r="F289" s="8"/>
      <c r="G289" s="8"/>
      <c r="H289" s="8"/>
    </row>
    <row r="290" customFormat="false" ht="15" hidden="false" customHeight="false" outlineLevel="0" collapsed="false">
      <c r="A290" s="30"/>
      <c r="B290" s="8"/>
      <c r="C290" s="8"/>
      <c r="D290" s="8"/>
      <c r="E290" s="8"/>
      <c r="F290" s="8"/>
      <c r="G290" s="8"/>
      <c r="H290" s="8"/>
    </row>
    <row r="291" customFormat="false" ht="15" hidden="false" customHeight="false" outlineLevel="0" collapsed="false">
      <c r="A291" s="30"/>
      <c r="B291" s="8"/>
      <c r="C291" s="8"/>
      <c r="D291" s="8"/>
      <c r="E291" s="8"/>
      <c r="F291" s="8"/>
      <c r="G291" s="8"/>
      <c r="H291" s="8"/>
    </row>
    <row r="292" customFormat="false" ht="15" hidden="false" customHeight="false" outlineLevel="0" collapsed="false">
      <c r="A292" s="30"/>
      <c r="B292" s="8"/>
      <c r="C292" s="8"/>
      <c r="D292" s="8"/>
      <c r="E292" s="8"/>
      <c r="F292" s="8"/>
      <c r="G292" s="8"/>
      <c r="H292" s="8"/>
    </row>
    <row r="293" customFormat="false" ht="15" hidden="false" customHeight="false" outlineLevel="0" collapsed="false">
      <c r="A293" s="30"/>
      <c r="B293" s="8"/>
      <c r="C293" s="8"/>
      <c r="D293" s="8"/>
      <c r="E293" s="8"/>
      <c r="F293" s="8"/>
      <c r="G293" s="8"/>
      <c r="H293" s="8"/>
    </row>
    <row r="294" customFormat="false" ht="15" hidden="false" customHeight="false" outlineLevel="0" collapsed="false">
      <c r="A294" s="30"/>
      <c r="B294" s="8"/>
      <c r="C294" s="8"/>
      <c r="D294" s="8"/>
      <c r="E294" s="8"/>
      <c r="F294" s="8"/>
      <c r="G294" s="8"/>
      <c r="H294" s="8"/>
    </row>
    <row r="295" customFormat="false" ht="15" hidden="false" customHeight="false" outlineLevel="0" collapsed="false">
      <c r="A295" s="30"/>
      <c r="B295" s="8"/>
      <c r="C295" s="8"/>
      <c r="D295" s="8"/>
      <c r="E295" s="8"/>
      <c r="F295" s="8"/>
      <c r="G295" s="8"/>
      <c r="H295" s="8"/>
    </row>
    <row r="296" customFormat="false" ht="15" hidden="false" customHeight="false" outlineLevel="0" collapsed="false">
      <c r="A296" s="30"/>
      <c r="B296" s="8"/>
      <c r="C296" s="8"/>
      <c r="D296" s="8"/>
      <c r="E296" s="8"/>
      <c r="F296" s="8"/>
      <c r="G296" s="8"/>
      <c r="H296" s="8"/>
    </row>
    <row r="297" customFormat="false" ht="15" hidden="false" customHeight="false" outlineLevel="0" collapsed="false">
      <c r="A297" s="30"/>
      <c r="B297" s="8"/>
      <c r="C297" s="8"/>
      <c r="D297" s="8"/>
      <c r="E297" s="8"/>
      <c r="F297" s="8"/>
      <c r="G297" s="8"/>
      <c r="H297" s="8"/>
    </row>
    <row r="298" customFormat="false" ht="15" hidden="false" customHeight="false" outlineLevel="0" collapsed="false">
      <c r="A298" s="30"/>
      <c r="B298" s="8"/>
      <c r="C298" s="8"/>
      <c r="D298" s="8"/>
      <c r="E298" s="8"/>
      <c r="F298" s="8"/>
      <c r="G298" s="8"/>
      <c r="H298" s="8"/>
    </row>
    <row r="299" customFormat="false" ht="15" hidden="false" customHeight="false" outlineLevel="0" collapsed="false">
      <c r="A299" s="30"/>
      <c r="B299" s="8"/>
      <c r="C299" s="8"/>
      <c r="D299" s="8"/>
      <c r="E299" s="8"/>
      <c r="F299" s="8"/>
      <c r="G299" s="8"/>
      <c r="H299" s="8"/>
    </row>
    <row r="300" customFormat="false" ht="15" hidden="false" customHeight="false" outlineLevel="0" collapsed="false">
      <c r="A300" s="30"/>
      <c r="B300" s="8"/>
      <c r="C300" s="8"/>
      <c r="D300" s="8"/>
      <c r="E300" s="8"/>
      <c r="F300" s="8"/>
      <c r="G300" s="8"/>
      <c r="H300" s="8"/>
    </row>
    <row r="301" customFormat="false" ht="15" hidden="false" customHeight="false" outlineLevel="0" collapsed="false">
      <c r="A301" s="30"/>
      <c r="B301" s="8"/>
      <c r="C301" s="8"/>
      <c r="D301" s="8"/>
      <c r="E301" s="8"/>
      <c r="F301" s="8"/>
      <c r="G301" s="8"/>
      <c r="H301" s="8"/>
    </row>
    <row r="302" customFormat="false" ht="15" hidden="false" customHeight="false" outlineLevel="0" collapsed="false">
      <c r="A302" s="30"/>
      <c r="B302" s="8"/>
      <c r="C302" s="8"/>
      <c r="D302" s="8"/>
      <c r="E302" s="8"/>
      <c r="F302" s="8"/>
      <c r="G302" s="8"/>
      <c r="H302" s="8"/>
    </row>
    <row r="303" customFormat="false" ht="15" hidden="false" customHeight="false" outlineLevel="0" collapsed="false">
      <c r="A303" s="30"/>
      <c r="B303" s="8"/>
      <c r="C303" s="8"/>
      <c r="D303" s="8"/>
      <c r="E303" s="8"/>
      <c r="F303" s="8"/>
      <c r="G303" s="8"/>
      <c r="H303" s="8"/>
    </row>
    <row r="304" customFormat="false" ht="15" hidden="false" customHeight="false" outlineLevel="0" collapsed="false">
      <c r="A304" s="30"/>
      <c r="B304" s="8"/>
      <c r="C304" s="8"/>
      <c r="D304" s="8"/>
      <c r="E304" s="8"/>
      <c r="F304" s="8"/>
      <c r="G304" s="8"/>
      <c r="H304" s="8"/>
    </row>
  </sheetData>
  <autoFilter ref="A3:H304"/>
  <conditionalFormatting sqref="A4:H304">
    <cfRule type="expression" priority="2" aboveAverage="0" equalAverage="0" bottom="0" percent="0" rank="0" text="" dxfId="7">
      <formula>$G4="Aprovada (levar à matriz)"</formula>
    </cfRule>
    <cfRule type="expression" priority="3" aboveAverage="0" equalAverage="0" bottom="0" percent="0" rank="0" text="" dxfId="8">
      <formula>$G4="Descartada"</formula>
    </cfRule>
  </conditionalFormatting>
  <dataValidations count="3">
    <dataValidation allowBlank="true" errorStyle="stop" operator="between" showDropDown="false" showErrorMessage="false" showInputMessage="false" sqref="C4:C304" type="list">
      <formula1>Listas!$A$2:$A$60</formula1>
      <formula2>0</formula2>
    </dataValidation>
    <dataValidation allowBlank="true" errorStyle="stop" operator="between" showDropDown="false" showErrorMessage="false" showInputMessage="false" sqref="D4:D304" type="list">
      <formula1>Listas!$B$2:$B$20</formula1>
      <formula2>0</formula2>
    </dataValidation>
    <dataValidation allowBlank="true" errorStyle="stop" operator="between" showDropDown="false" showErrorMessage="false" showInputMessage="false" sqref="G4:G304" type="list">
      <formula1>Listas!$C$2:$C$10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C6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34"/>
  </cols>
  <sheetData>
    <row r="1" customFormat="false" ht="15" hidden="false" customHeight="false" outlineLevel="0" collapsed="false">
      <c r="A1" s="31" t="s">
        <v>771</v>
      </c>
      <c r="B1" s="31" t="s">
        <v>772</v>
      </c>
      <c r="C1" s="31" t="s">
        <v>17</v>
      </c>
    </row>
    <row r="2" customFormat="false" ht="15" hidden="false" customHeight="false" outlineLevel="0" collapsed="false">
      <c r="A2" s="0" t="str">
        <f aca="false">IF(Nichos!A4="","",Nichos!A4)</f>
        <v>Varejo de Moda e Vitrines</v>
      </c>
      <c r="B2" s="0" t="s">
        <v>73</v>
      </c>
      <c r="C2" s="0" t="s">
        <v>768</v>
      </c>
    </row>
    <row r="3" customFormat="false" ht="15" hidden="false" customHeight="false" outlineLevel="0" collapsed="false">
      <c r="A3" s="0" t="str">
        <f aca="false">IF(Nichos!A5="","",Nichos!A5)</f>
        <v>Supermercados, Atacarejos e Home Centers</v>
      </c>
      <c r="B3" s="0" t="s">
        <v>773</v>
      </c>
      <c r="C3" s="0" t="s">
        <v>767</v>
      </c>
    </row>
    <row r="4" customFormat="false" ht="15" hidden="false" customHeight="false" outlineLevel="0" collapsed="false">
      <c r="A4" s="0" t="str">
        <f aca="false">IF(Nichos!A6="","",Nichos!A6)</f>
        <v>Farmácias e Drogarias</v>
      </c>
      <c r="B4" s="0" t="s">
        <v>76</v>
      </c>
      <c r="C4" s="0" t="s">
        <v>769</v>
      </c>
    </row>
    <row r="5" customFormat="false" ht="15" hidden="false" customHeight="false" outlineLevel="0" collapsed="false">
      <c r="A5" s="0" t="str">
        <f aca="false">IF(Nichos!A7="","",Nichos!A7)</f>
        <v>Postos de Combustível e Conveniência</v>
      </c>
      <c r="B5" s="0" t="s">
        <v>774</v>
      </c>
      <c r="C5" s="0" t="s">
        <v>770</v>
      </c>
    </row>
    <row r="6" customFormat="false" ht="15" hidden="false" customHeight="false" outlineLevel="0" collapsed="false">
      <c r="A6" s="0" t="str">
        <f aca="false">IF(Nichos!A8="","",Nichos!A8)</f>
        <v>DOOH e Investidores de Mídia</v>
      </c>
      <c r="B6" s="0" t="s">
        <v>569</v>
      </c>
    </row>
    <row r="7" customFormat="false" ht="15" hidden="false" customHeight="false" outlineLevel="0" collapsed="false">
      <c r="A7" s="0" t="str">
        <f aca="false">IF(Nichos!A9="","",Nichos!A9)</f>
        <v>Shopping Centers</v>
      </c>
      <c r="B7" s="0" t="s">
        <v>371</v>
      </c>
    </row>
    <row r="8" customFormat="false" ht="15" hidden="false" customHeight="false" outlineLevel="0" collapsed="false">
      <c r="A8" s="0" t="str">
        <f aca="false">IF(Nichos!A10="","",Nichos!A10)</f>
        <v>Concessionárias de Veículos</v>
      </c>
      <c r="B8" s="0" t="s">
        <v>284</v>
      </c>
    </row>
    <row r="9" customFormat="false" ht="15" hidden="false" customHeight="false" outlineLevel="0" collapsed="false">
      <c r="A9" s="0" t="str">
        <f aca="false">IF(Nichos!A11="","",Nichos!A11)</f>
        <v>Construtoras e Stands de Vendas</v>
      </c>
      <c r="B9" s="0" t="s">
        <v>775</v>
      </c>
    </row>
    <row r="10" customFormat="false" ht="15" hidden="false" customHeight="false" outlineLevel="0" collapsed="false">
      <c r="A10" s="0" t="str">
        <f aca="false">IF(Nichos!A12="","",Nichos!A12)</f>
        <v>Franquias e Redes</v>
      </c>
    </row>
    <row r="11" customFormat="false" ht="15" hidden="false" customHeight="false" outlineLevel="0" collapsed="false">
      <c r="A11" s="0" t="str">
        <f aca="false">IF(Nichos!A13="","",Nichos!A13)</f>
        <v>Bares, Restaurantes e Food Service</v>
      </c>
    </row>
    <row r="12" customFormat="false" ht="15" hidden="false" customHeight="false" outlineLevel="0" collapsed="false">
      <c r="A12" s="0" t="str">
        <f aca="false">IF(Nichos!A14="","",Nichos!A14)</f>
        <v>Igrejas e Centros Religiosos</v>
      </c>
    </row>
    <row r="13" customFormat="false" ht="15" hidden="false" customHeight="false" outlineLevel="0" collapsed="false">
      <c r="A13" s="0" t="str">
        <f aca="false">IF(Nichos!A15="","",Nichos!A15)</f>
        <v>Hotéis, Parques, Clubes e Piscinas</v>
      </c>
    </row>
    <row r="14" customFormat="false" ht="15" hidden="false" customHeight="false" outlineLevel="0" collapsed="false">
      <c r="A14" s="0" t="str">
        <f aca="false">IF(Nichos!A16="","",Nichos!A16)</f>
        <v>Eventos, Agências e Produtoras</v>
      </c>
    </row>
    <row r="15" customFormat="false" ht="15" hidden="false" customHeight="false" outlineLevel="0" collapsed="false">
      <c r="A15" s="0" t="str">
        <f aca="false">IF(Nichos!A17="","",Nichos!A17)</f>
        <v>Corporativo (Comunicação Interna e Recepções)</v>
      </c>
    </row>
    <row r="16" customFormat="false" ht="15" hidden="false" customHeight="false" outlineLevel="0" collapsed="false">
      <c r="A16" s="0" t="str">
        <f aca="false">IF(Nichos!A18="","",Nichos!A18)</f>
        <v>Educação (Escolas, Faculdades e Universidades)</v>
      </c>
    </row>
    <row r="17" customFormat="false" ht="15" hidden="false" customHeight="false" outlineLevel="0" collapsed="false">
      <c r="A17" s="0" t="str">
        <f aca="false">IF(Nichos!A19="","",Nichos!A19)</f>
        <v>Saúde (Hospitais, Clínicas e Laboratórios)</v>
      </c>
    </row>
    <row r="18" customFormat="false" ht="15" hidden="false" customHeight="false" outlineLevel="0" collapsed="false">
      <c r="A18" s="0" t="str">
        <f aca="false">IF(Nichos!A20="","",Nichos!A20)</f>
        <v>Arenas, Estádios, Academias e Esportes</v>
      </c>
    </row>
    <row r="19" customFormat="false" ht="15" hidden="false" customHeight="false" outlineLevel="0" collapsed="false">
      <c r="A19" s="0" t="str">
        <f aca="false">IF(Nichos!A21="","",Nichos!A21)</f>
        <v>Poder Público e Mobiliário Urbano</v>
      </c>
    </row>
    <row r="20" customFormat="false" ht="15" hidden="false" customHeight="false" outlineLevel="0" collapsed="false">
      <c r="A20" s="0" t="str">
        <f aca="false">IF(Nichos!A22="","",Nichos!A22)</f>
        <v/>
      </c>
    </row>
    <row r="21" customFormat="false" ht="15" hidden="false" customHeight="false" outlineLevel="0" collapsed="false">
      <c r="A21" s="0" t="str">
        <f aca="false">IF(Nichos!A23="","",Nichos!A23)</f>
        <v/>
      </c>
    </row>
    <row r="22" customFormat="false" ht="15" hidden="false" customHeight="false" outlineLevel="0" collapsed="false">
      <c r="A22" s="0" t="str">
        <f aca="false">IF(Nichos!A24="","",Nichos!A24)</f>
        <v/>
      </c>
    </row>
    <row r="23" customFormat="false" ht="15" hidden="false" customHeight="false" outlineLevel="0" collapsed="false">
      <c r="A23" s="0" t="str">
        <f aca="false">IF(Nichos!A25="","",Nichos!A25)</f>
        <v/>
      </c>
    </row>
    <row r="24" customFormat="false" ht="15" hidden="false" customHeight="false" outlineLevel="0" collapsed="false">
      <c r="A24" s="0" t="str">
        <f aca="false">IF(Nichos!A26="","",Nichos!A26)</f>
        <v/>
      </c>
    </row>
    <row r="25" customFormat="false" ht="15" hidden="false" customHeight="false" outlineLevel="0" collapsed="false">
      <c r="A25" s="0" t="str">
        <f aca="false">IF(Nichos!A27="","",Nichos!A27)</f>
        <v/>
      </c>
    </row>
    <row r="26" customFormat="false" ht="15" hidden="false" customHeight="false" outlineLevel="0" collapsed="false">
      <c r="A26" s="0" t="str">
        <f aca="false">IF(Nichos!A28="","",Nichos!A28)</f>
        <v/>
      </c>
    </row>
    <row r="27" customFormat="false" ht="15" hidden="false" customHeight="false" outlineLevel="0" collapsed="false">
      <c r="A27" s="0" t="str">
        <f aca="false">IF(Nichos!A29="","",Nichos!A29)</f>
        <v/>
      </c>
    </row>
    <row r="28" customFormat="false" ht="15" hidden="false" customHeight="false" outlineLevel="0" collapsed="false">
      <c r="A28" s="0" t="str">
        <f aca="false">IF(Nichos!A30="","",Nichos!A30)</f>
        <v/>
      </c>
    </row>
    <row r="29" customFormat="false" ht="15" hidden="false" customHeight="false" outlineLevel="0" collapsed="false">
      <c r="A29" s="0" t="str">
        <f aca="false">IF(Nichos!A31="","",Nichos!A31)</f>
        <v/>
      </c>
    </row>
    <row r="30" customFormat="false" ht="15" hidden="false" customHeight="false" outlineLevel="0" collapsed="false">
      <c r="A30" s="0" t="str">
        <f aca="false">IF(Nichos!A32="","",Nichos!A32)</f>
        <v/>
      </c>
    </row>
    <row r="31" customFormat="false" ht="15" hidden="false" customHeight="false" outlineLevel="0" collapsed="false">
      <c r="A31" s="0" t="str">
        <f aca="false">IF(Nichos!A33="","",Nichos!A33)</f>
        <v/>
      </c>
    </row>
    <row r="32" customFormat="false" ht="15" hidden="false" customHeight="false" outlineLevel="0" collapsed="false">
      <c r="A32" s="0" t="str">
        <f aca="false">IF(Nichos!A34="","",Nichos!A34)</f>
        <v/>
      </c>
    </row>
    <row r="33" customFormat="false" ht="15" hidden="false" customHeight="false" outlineLevel="0" collapsed="false">
      <c r="A33" s="0" t="str">
        <f aca="false">IF(Nichos!A35="","",Nichos!A35)</f>
        <v/>
      </c>
    </row>
    <row r="34" customFormat="false" ht="15" hidden="false" customHeight="false" outlineLevel="0" collapsed="false">
      <c r="A34" s="0" t="str">
        <f aca="false">IF(Nichos!A36="","",Nichos!A36)</f>
        <v/>
      </c>
    </row>
    <row r="35" customFormat="false" ht="15" hidden="false" customHeight="false" outlineLevel="0" collapsed="false">
      <c r="A35" s="0" t="str">
        <f aca="false">IF(Nichos!A37="","",Nichos!A37)</f>
        <v/>
      </c>
    </row>
    <row r="36" customFormat="false" ht="15" hidden="false" customHeight="false" outlineLevel="0" collapsed="false">
      <c r="A36" s="0" t="str">
        <f aca="false">IF(Nichos!A38="","",Nichos!A38)</f>
        <v/>
      </c>
    </row>
    <row r="37" customFormat="false" ht="15" hidden="false" customHeight="false" outlineLevel="0" collapsed="false">
      <c r="A37" s="0" t="str">
        <f aca="false">IF(Nichos!A39="","",Nichos!A39)</f>
        <v/>
      </c>
    </row>
    <row r="38" customFormat="false" ht="15" hidden="false" customHeight="false" outlineLevel="0" collapsed="false">
      <c r="A38" s="0" t="str">
        <f aca="false">IF(Nichos!A40="","",Nichos!A40)</f>
        <v/>
      </c>
    </row>
    <row r="39" customFormat="false" ht="15" hidden="false" customHeight="false" outlineLevel="0" collapsed="false">
      <c r="A39" s="0" t="str">
        <f aca="false">IF(Nichos!A41="","",Nichos!A41)</f>
        <v/>
      </c>
    </row>
    <row r="40" customFormat="false" ht="15" hidden="false" customHeight="false" outlineLevel="0" collapsed="false">
      <c r="A40" s="0" t="str">
        <f aca="false">IF(Nichos!A42="","",Nichos!A42)</f>
        <v/>
      </c>
    </row>
    <row r="41" customFormat="false" ht="15" hidden="false" customHeight="false" outlineLevel="0" collapsed="false">
      <c r="A41" s="0" t="str">
        <f aca="false">IF(Nichos!A43="","",Nichos!A43)</f>
        <v/>
      </c>
    </row>
    <row r="42" customFormat="false" ht="15" hidden="false" customHeight="false" outlineLevel="0" collapsed="false">
      <c r="A42" s="0" t="str">
        <f aca="false">IF(Nichos!A44="","",Nichos!A44)</f>
        <v/>
      </c>
    </row>
    <row r="43" customFormat="false" ht="15" hidden="false" customHeight="false" outlineLevel="0" collapsed="false">
      <c r="A43" s="0" t="str">
        <f aca="false">IF(Nichos!A45="","",Nichos!A45)</f>
        <v/>
      </c>
    </row>
    <row r="44" customFormat="false" ht="15" hidden="false" customHeight="false" outlineLevel="0" collapsed="false">
      <c r="A44" s="0" t="str">
        <f aca="false">IF(Nichos!A46="","",Nichos!A46)</f>
        <v/>
      </c>
    </row>
    <row r="45" customFormat="false" ht="15" hidden="false" customHeight="false" outlineLevel="0" collapsed="false">
      <c r="A45" s="0" t="str">
        <f aca="false">IF(Nichos!A47="","",Nichos!A47)</f>
        <v/>
      </c>
    </row>
    <row r="46" customFormat="false" ht="15" hidden="false" customHeight="false" outlineLevel="0" collapsed="false">
      <c r="A46" s="0" t="str">
        <f aca="false">IF(Nichos!A48="","",Nichos!A48)</f>
        <v/>
      </c>
    </row>
    <row r="47" customFormat="false" ht="15" hidden="false" customHeight="false" outlineLevel="0" collapsed="false">
      <c r="A47" s="0" t="str">
        <f aca="false">IF(Nichos!A49="","",Nichos!A49)</f>
        <v/>
      </c>
    </row>
    <row r="48" customFormat="false" ht="15" hidden="false" customHeight="false" outlineLevel="0" collapsed="false">
      <c r="A48" s="0" t="str">
        <f aca="false">IF(Nichos!A50="","",Nichos!A50)</f>
        <v/>
      </c>
    </row>
    <row r="49" customFormat="false" ht="15" hidden="false" customHeight="false" outlineLevel="0" collapsed="false">
      <c r="A49" s="0" t="str">
        <f aca="false">IF(Nichos!A51="","",Nichos!A51)</f>
        <v/>
      </c>
    </row>
    <row r="50" customFormat="false" ht="15" hidden="false" customHeight="false" outlineLevel="0" collapsed="false">
      <c r="A50" s="0" t="str">
        <f aca="false">IF(Nichos!A52="","",Nichos!A52)</f>
        <v/>
      </c>
    </row>
    <row r="51" customFormat="false" ht="15" hidden="false" customHeight="false" outlineLevel="0" collapsed="false">
      <c r="A51" s="0" t="str">
        <f aca="false">IF(Nichos!A53="","",Nichos!A53)</f>
        <v/>
      </c>
    </row>
    <row r="52" customFormat="false" ht="15" hidden="false" customHeight="false" outlineLevel="0" collapsed="false">
      <c r="A52" s="0" t="str">
        <f aca="false">IF(Nichos!A54="","",Nichos!A54)</f>
        <v/>
      </c>
    </row>
    <row r="53" customFormat="false" ht="15" hidden="false" customHeight="false" outlineLevel="0" collapsed="false">
      <c r="A53" s="0" t="str">
        <f aca="false">IF(Nichos!A55="","",Nichos!A55)</f>
        <v/>
      </c>
    </row>
    <row r="54" customFormat="false" ht="15" hidden="false" customHeight="false" outlineLevel="0" collapsed="false">
      <c r="A54" s="0" t="str">
        <f aca="false">IF(Nichos!A56="","",Nichos!A56)</f>
        <v/>
      </c>
    </row>
    <row r="55" customFormat="false" ht="15" hidden="false" customHeight="false" outlineLevel="0" collapsed="false">
      <c r="A55" s="0" t="str">
        <f aca="false">IF(Nichos!A57="","",Nichos!A57)</f>
        <v/>
      </c>
    </row>
    <row r="56" customFormat="false" ht="15" hidden="false" customHeight="false" outlineLevel="0" collapsed="false">
      <c r="A56" s="0" t="str">
        <f aca="false">IF(Nichos!A58="","",Nichos!A58)</f>
        <v/>
      </c>
    </row>
    <row r="57" customFormat="false" ht="15" hidden="false" customHeight="false" outlineLevel="0" collapsed="false">
      <c r="A57" s="0" t="str">
        <f aca="false">IF(Nichos!A59="","",Nichos!A59)</f>
        <v/>
      </c>
    </row>
    <row r="58" customFormat="false" ht="15" hidden="false" customHeight="false" outlineLevel="0" collapsed="false">
      <c r="A58" s="0" t="str">
        <f aca="false">IF(Nichos!A60="","",Nichos!A60)</f>
        <v/>
      </c>
    </row>
    <row r="59" customFormat="false" ht="15" hidden="false" customHeight="false" outlineLevel="0" collapsed="false">
      <c r="A59" s="0" t="str">
        <f aca="false">IF(Nichos!A61="","",Nichos!A61)</f>
        <v/>
      </c>
    </row>
    <row r="60" customFormat="false" ht="15" hidden="false" customHeight="false" outlineLevel="0" collapsed="false">
      <c r="A60" s="0" t="str">
        <f aca="false">IF(Nichos!A62="","",Nichos!A62)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2026-10-19T18:43:39Z</dcterms:created>
  <dc:creator>openpyxl</dc:creator>
  <dc:description/>
  <dc:language>en-US</dc:language>
  <cp:lastModifiedBy/>
  <dcterms:modified xsi:type="dcterms:W3CDTF">2026-10-19T18:43:40Z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