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7.xml.rels" ContentType="application/vnd.openxmlformats-package.relationships+xml"/>
  <Override PartName="/xl/worksheets/_rels/sheet12.xml.rels" ContentType="application/vnd.openxmlformats-package.relationships+xml"/>
  <Override PartName="/xl/worksheets/_rels/sheet8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 usar" sheetId="1" state="visible" r:id="rId3"/>
    <sheet name="Gerador de Roteiro" sheetId="2" state="visible" r:id="rId4"/>
    <sheet name="Roteiro Mestre" sheetId="3" state="visible" r:id="rId5"/>
    <sheet name="LedWave – Prova" sheetId="4" state="visible" r:id="rId6"/>
    <sheet name="Propósitos de Compra" sheetId="5" state="visible" r:id="rId7"/>
    <sheet name="Diferenciais" sheetId="6" state="visible" r:id="rId8"/>
    <sheet name="Cases" sheetId="7" state="visible" r:id="rId9"/>
    <sheet name="Nichos" sheetId="8" state="visible" r:id="rId10"/>
    <sheet name="SPIN por Nicho" sheetId="9" state="visible" r:id="rId11"/>
    <sheet name="Orçamento por Nicho" sheetId="10" state="visible" r:id="rId12"/>
    <sheet name="Objeções" sheetId="11" state="visible" r:id="rId13"/>
    <sheet name="Frases de Efeito" sheetId="12" state="visible" r:id="rId14"/>
    <sheet name="Prospecção Outbound" sheetId="13" state="visible" r:id="rId15"/>
    <sheet name="Escuta Ativa" sheetId="14" state="visible" r:id="rId16"/>
    <sheet name="Roleplay" sheetId="15" state="visible" r:id="rId17"/>
    <sheet name="Técnicas" sheetId="16" state="visible" r:id="rId18"/>
    <sheet name="Banco de Ideias" sheetId="17" state="visible" r:id="rId19"/>
    <sheet name="Listas" sheetId="18" state="visible" r:id="rId20"/>
  </sheets>
  <definedNames>
    <definedName function="false" hidden="true" localSheetId="16" name="_xlnm._FilterDatabase" vbProcedure="false">'Banco de Ideias'!$A$4:$J$305</definedName>
    <definedName function="false" hidden="true" localSheetId="11" name="_xlnm._FilterDatabase" vbProcedure="false">'Frases de Efeito'!$A$3:$D$53</definedName>
    <definedName function="false" hidden="true" localSheetId="7" name="_xlnm._FilterDatabase" vbProcedure="false">Nichos!$A$3:$Y$21</definedName>
    <definedName function="false" hidden="true" localSheetId="10" name="_xlnm._FilterDatabase" vbProcedure="false">Objeções!$A$3:$F$48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<sst xmlns="http://schemas.openxmlformats.org/spreadsheetml/2006/main" count="1735" uniqueCount="1348">
  <si>
    <t xml:space="preserve">Playbook Comercial LedWave por Nicho</t>
  </si>
  <si>
    <t xml:space="preserve">Storytelling, prospecção e argumentação por segmento · apresentações de 10 a 20 minutos · versão 1 (out/2026)</t>
  </si>
  <si>
    <t xml:space="preserve">O que é</t>
  </si>
  <si>
    <t xml:space="preserve">Material vivo para o time comercial vender painéis de LED por nicho: primeiro vendemos a LedWave (quem somos, tamanho, presença, prova), depois o porquê aquele cliente precisa digitalizar o ponto dele.</t>
  </si>
  <si>
    <t xml:space="preserve">Como montar uma apresentação</t>
  </si>
  <si>
    <t xml:space="preserve">1) Abra a aba Gerador de Roteiro. 2) Escolha o nicho e a duração (10, 15 ou 20 min) nas células amarelas. 3) O roteiro sai pronto, bloco a bloco, com tempo, técnica e fala. 4) Ajuste com o nome e os números do cliente.</t>
  </si>
  <si>
    <t xml:space="preserve">Antes da reunião</t>
  </si>
  <si>
    <t xml:space="preserve">Prospecção Outbound (cadência e script de ligação) → SPIN por Nicho (perguntas inteligentes) → Orçamento por Nicho (o que levantar para orçar certo).</t>
  </si>
  <si>
    <t xml:space="preserve">Durante a reunião</t>
  </si>
  <si>
    <t xml:space="preserve">Gerador de Roteiro + Escuta Ativa + Objeções. Regra de ouro: na descoberta, o cliente fala 70% do tempo.</t>
  </si>
  <si>
    <t xml:space="preserve">Treino do time</t>
  </si>
  <si>
    <t xml:space="preserve">Aba Roleplay: cenário, script de referência e ficha de avaliação com nota. Repita com outros nichos trocando a persona.</t>
  </si>
  <si>
    <t xml:space="preserve">Como contribuir (gestores)</t>
  </si>
  <si>
    <t xml:space="preserve">Toda ideia nova entra na aba Banco de Ideias (uma linha por ideia). Na reunião do time, as ideias com status 'Aprovada' são levadas para a matriz Nichos. A coluna 'Ideias no Banco' da matriz mostra quantas contribuições cada nicho tem.</t>
  </si>
  <si>
    <t xml:space="preserve">Células editáveis</t>
  </si>
  <si>
    <t xml:space="preserve">Fundo amarelo = campo para preencher ou escolher. Todo o texto das abas de conteúdo também pode ser editado e melhorado. Não apague as colunas A das abas Nichos e Listas: elas alimentam as fórmulas.</t>
  </si>
  <si>
    <t xml:space="preserve">Fatos sobre a LedWave</t>
  </si>
  <si>
    <t xml:space="preserve">Na aba LedWave – Prova, a coluna Status diz se o dado já tem fonte pública ou se precisa ser validado com a apresentação executiva oficial. Só use em reunião dados 'Fonte pública' ou já validados.</t>
  </si>
  <si>
    <t xml:space="preserve">Insights do comercial</t>
  </si>
  <si>
    <t xml:space="preserve">As abas Propósitos de Compra, Diferenciais e Cases organizam o que o time comercial trouxe na reunião. Cada nicho da matriz tem os seus propósitos de compra, cases de referência e objeções mais prováveis (colunas T a V). Itens marcados 'Confirmar' precisam de detalhe do comercial antes de ir para o cliente.</t>
  </si>
  <si>
    <t xml:space="preserve">Adicionar um nicho</t>
  </si>
  <si>
    <t xml:space="preserve">Inclua uma nova linha no fim da matriz Nichos (e nas abas SPIN e Orçamento, com o mesmo nome). Ele aparece automaticamente na lista do Gerador e do Banco de Ideias (até a linha 60).</t>
  </si>
  <si>
    <t xml:space="preserve">Legenda</t>
  </si>
  <si>
    <t xml:space="preserve">Campo editável / escolha</t>
  </si>
  <si>
    <t xml:space="preserve">Cabeçalho de tabela</t>
  </si>
  <si>
    <t xml:space="preserve">Gerador de Roteiro</t>
  </si>
  <si>
    <t xml:space="preserve">Escolha o nicho e a duração. O roteiro se monta sozinho a partir das outras abas.</t>
  </si>
  <si>
    <t xml:space="preserve">Nicho</t>
  </si>
  <si>
    <t xml:space="preserve">Farmácias e Drogarias</t>
  </si>
  <si>
    <t xml:space="preserve">Duração (min)</t>
  </si>
  <si>
    <t xml:space="preserve">Cliente (opcional)</t>
  </si>
  <si>
    <t xml:space="preserve">Rede Exemplo (38 lojas)</t>
  </si>
  <si>
    <t xml:space="preserve">Bloco</t>
  </si>
  <si>
    <t xml:space="preserve">Minutos</t>
  </si>
  <si>
    <t xml:space="preserve">Termina em (min)</t>
  </si>
  <si>
    <t xml:space="preserve">Técnica</t>
  </si>
  <si>
    <t xml:space="preserve">Como conduzir</t>
  </si>
  <si>
    <t xml:space="preserve">Fala do nicho (pronta para adaptar)</t>
  </si>
  <si>
    <t xml:space="preserve">Total</t>
  </si>
  <si>
    <t xml:space="preserve">Dica: copie a coluna F para as notas do apresentador dos slides. Os tempos vêm dos percentuais da aba Roteiro Mestre.</t>
  </si>
  <si>
    <t xml:space="preserve">Roteiro Mestre: a estrutura de toda apresentação</t>
  </si>
  <si>
    <t xml:space="preserve">Primeiro vendemos a LedWave como guia confiável; depois, o porquê do cliente. Ajuste os percentuais na coluna B (amarelo).</t>
  </si>
  <si>
    <t xml:space="preserve">% do tempo</t>
  </si>
  <si>
    <t xml:space="preserve">Objetivo</t>
  </si>
  <si>
    <t xml:space="preserve">Slide sugerido</t>
  </si>
  <si>
    <t xml:space="preserve">Erro a evitar</t>
  </si>
  <si>
    <t xml:space="preserve">1. Abertura / Gancho</t>
  </si>
  <si>
    <t xml:space="preserve">Capturar atenção nos primeiros 30 a 60 segundos e mostrar que a conversa é sobre o cliente.</t>
  </si>
  <si>
    <t xml:space="preserve">Pergunta provocativa (Challenger) + pausa de 3 segundos</t>
  </si>
  <si>
    <t xml:space="preserve">Use o GANCHO do nicho. Não comece falando da LedWave. Faça a pergunta, olhe nos olhos e espere a resposta.</t>
  </si>
  <si>
    <t xml:space="preserve">Uma imagem forte do mundo do cliente + a pergunta em uma linha.</t>
  </si>
  <si>
    <t xml:space="preserve">Começar com 'Bom, a LedWave foi fundada em...'</t>
  </si>
  <si>
    <t xml:space="preserve">2. O mundo do cliente (dor)</t>
  </si>
  <si>
    <t xml:space="preserve">Mostrar que entendemos o negócio dele melhor do que ele espera.</t>
  </si>
  <si>
    <t xml:space="preserve">SPIN (Situação e Problema) + espelhamento</t>
  </si>
  <si>
    <t xml:space="preserve">Descreva a DOR do nicho com as palavras dele. Faça 2 perguntas de descoberta e anote as respostas: elas vão virar números no fechamento.</t>
  </si>
  <si>
    <t xml:space="preserve">Antes: a realidade dele (foto do PDV/espaço dele, se possível).</t>
  </si>
  <si>
    <t xml:space="preserve">Falar de produto antes de ouvir.</t>
  </si>
  <si>
    <t xml:space="preserve">3. Custo da inação</t>
  </si>
  <si>
    <t xml:space="preserve">Criar urgência: ficar parado também custa.</t>
  </si>
  <si>
    <t xml:space="preserve">Ancoragem de perda (aversão à perda)</t>
  </si>
  <si>
    <t xml:space="preserve">Use o CUSTO DA INAÇÃO do nicho. Transforme em número com os dados que ele te deu ('se 1 em cada 100 que passam entrasse...').</t>
  </si>
  <si>
    <t xml:space="preserve">Um número grande e simples.</t>
  </si>
  <si>
    <t xml:space="preserve">Assustar sem dar saída. A saída vem no próximo bloco.</t>
  </si>
  <si>
    <t xml:space="preserve">4. Quem é a LedWave (o guia)</t>
  </si>
  <si>
    <t xml:space="preserve">Construir autoridade: o cliente é o herói, a LedWave é o guia que já fez isso antes.</t>
  </si>
  <si>
    <t xml:space="preserve">StoryBrand (herói x guia) + prova social + regra de 3</t>
  </si>
  <si>
    <t xml:space="preserve">Conte a origem em 20 segundos (R$ 12 mil e Xangai) e escolha 3 provas da aba LedWave – Prova que mais combinam com o nicho. Termine com 'e é por isso que estamos aqui'.</t>
  </si>
  <si>
    <t xml:space="preserve">3 big numbers + 1 foto de projeto-ícone + logos de clientes do nicho.</t>
  </si>
  <si>
    <t xml:space="preserve">Ler a lista inteira de conquistas. Escolha 3.</t>
  </si>
  <si>
    <t xml:space="preserve">5. A virada: o porquê (propósito)</t>
  </si>
  <si>
    <t xml:space="preserve">Mudar a conversa de 'comprar uma tela' para 'conquistar um resultado'.</t>
  </si>
  <si>
    <t xml:space="preserve">Golden Circle (Por quê → Como → O quê) + analogia</t>
  </si>
  <si>
    <t xml:space="preserve">Diga o PROPÓSITO do nicho e conte a HISTÓRIA/ANALOGIA. Feche com a FRASE DE EFEITO e faça uma pausa.</t>
  </si>
  <si>
    <t xml:space="preserve">Depois: o mesmo espaço do cliente com o painel (mockup).</t>
  </si>
  <si>
    <t xml:space="preserve">Falar de pixel pitch e nits aqui.</t>
  </si>
  <si>
    <t xml:space="preserve">6. Como funciona (3 argumentos)</t>
  </si>
  <si>
    <t xml:space="preserve">Dar razões concretas: receita, experiência e operação.</t>
  </si>
  <si>
    <t xml:space="preserve">Regra de 3 + Feature → Benefício → Ganho</t>
  </si>
  <si>
    <t xml:space="preserve">Apresente os 3 argumentos do nicho (Receita, Experiência, Operação), um por slide. Para cada um, diga o ganho em uma frase. Mostre a SOLUÇÃO recomendada e a PROVA/CASE.</t>
  </si>
  <si>
    <t xml:space="preserve">3 slides, 1 argumento cada, com ícone e uma frase.</t>
  </si>
  <si>
    <t xml:space="preserve">Despejar ficha técnica. Ficha técnica vai em anexo.</t>
  </si>
  <si>
    <t xml:space="preserve">7. Objeções antecipadas + números</t>
  </si>
  <si>
    <t xml:space="preserve">Responder antes que ele pergunte e mostrar a conta.</t>
  </si>
  <si>
    <t xml:space="preserve">Inoculação (antecipar objeção) + Feel/Felt/Found</t>
  </si>
  <si>
    <t xml:space="preserve">Traga a OBJEÇÃO nº1 do nicho e a RESPOSTA. Mostre os KPIs que ele vai medir e, se possível, uma conta simples de retorno.</t>
  </si>
  <si>
    <t xml:space="preserve">Tabela: investimento x economia x receita nova x KPI.</t>
  </si>
  <si>
    <t xml:space="preserve">Discutir desconto antes de mostrar valor.</t>
  </si>
  <si>
    <t xml:space="preserve">8. Fechamento e próximo passo</t>
  </si>
  <si>
    <t xml:space="preserve">Sair da reunião com um compromisso concreto, com data.</t>
  </si>
  <si>
    <t xml:space="preserve">Peak-End (terminar no ponto alto) + fechamento por próximo passo</t>
  </si>
  <si>
    <t xml:space="preserve">Repita a FRASE DE EFEITO, diga a FRASE DE FECHAMENTO e proponha o CTA com data: 'Podemos agendar a visita técnica para quinta ou sexta?'</t>
  </si>
  <si>
    <t xml:space="preserve">Frase de efeito em tela cheia + CTA + contato do executivo.</t>
  </si>
  <si>
    <t xml:space="preserve">Terminar com 'alguma dúvida?'. Termine com uma escolha entre duas datas.</t>
  </si>
  <si>
    <t xml:space="preserve">Total (deve ser 100%)</t>
  </si>
  <si>
    <t xml:space="preserve">LedWave: por que confiar em nós</t>
  </si>
  <si>
    <t xml:space="preserve">Use 3 provas por apresentação, escolhidas pelo nicho. Status 'Validar' = conferir com a apresentação executiva antes de usar.</t>
  </si>
  <si>
    <t xml:space="preserve">As linhas 5 (Origem), 7 (Reconhecimento) e 9 (Projeto-ícone) alimentam o bloco 4 do Gerador de Roteiro. Ao editar, mantenha essa ordem.</t>
  </si>
  <si>
    <t xml:space="preserve">Tema</t>
  </si>
  <si>
    <t xml:space="preserve">Fato</t>
  </si>
  <si>
    <t xml:space="preserve">Como falar (frase pronta)</t>
  </si>
  <si>
    <t xml:space="preserve">Fonte</t>
  </si>
  <si>
    <t xml:space="preserve">Status</t>
  </si>
  <si>
    <t xml:space="preserve">Observações do gestor</t>
  </si>
  <si>
    <t xml:space="preserve">Origem</t>
  </si>
  <si>
    <t xml:space="preserve">Fundada em Goiânia no fim de 2010/início de 2011, começou com investimento inicial de R$ 12 mil e uma fábrica SKD. A ideia nasceu em uma viagem do fundador e CEO Tiago Brito a Xangai.</t>
  </si>
  <si>
    <t xml:space="preserve">Começamos com R$ 12 mil e uma ideia trazida de Xangai. Hoje somos referência em LED no Brasil. Essa é a prova de que a gente sabe fazer muito com o investimento do cliente.</t>
  </si>
  <si>
    <t xml:space="preserve">Exame: 'Negócio de R$ 12 mil vira líder em LED e hoje fatura R$ 200 milhões'; Marcas pelo Mundo (entrevista Tiago Brito)</t>
  </si>
  <si>
    <t xml:space="preserve">Fonte pública</t>
  </si>
  <si>
    <t xml:space="preserve">Tamanho</t>
  </si>
  <si>
    <t xml:space="preserve">Faturamento anual na casa de R$ 200 milhões (aproximado).</t>
  </si>
  <si>
    <t xml:space="preserve">Uma operação de cerca de R$ 200 milhões por ano. Você não está comprando de uma startup; está comprando de quem lidera o setor.</t>
  </si>
  <si>
    <t xml:space="preserve">Exame (reportagem citada acima)</t>
  </si>
  <si>
    <t xml:space="preserve">Validar</t>
  </si>
  <si>
    <t xml:space="preserve">Reconhecimento</t>
  </si>
  <si>
    <t xml:space="preserve">4 anos consecutivos no ranking Exame Negócios em Expansão. Em 2025: 1ª colocada no segmento de painéis de LED e 70ª na faixa de R$ 30 a 150 milhões, com dados auditados pela PwC.</t>
  </si>
  <si>
    <t xml:space="preserve">Quatro anos seguidos entre as empresas que mais crescem no Brasil, número 1 do nosso segmento. Números auditados, não autodeclarados.</t>
  </si>
  <si>
    <t xml:space="preserve">Curta Mais; Jornal do Brás; Folha Vitória (ranking Exame)</t>
  </si>
  <si>
    <t xml:space="preserve">Presença</t>
  </si>
  <si>
    <t xml:space="preserve">Sede e linha de produção em Goiânia; unidades em São Paulo, Brasília e Orlando (EUA); operações no Brasil, Estados Unidos e China.</t>
  </si>
  <si>
    <t xml:space="preserve">Fabricamos no Brasil, operamos nos Estados Unidos e temos pé na China, onde está a tecnologia de LED. Isso significa preço, prazo e suporte.</t>
  </si>
  <si>
    <t xml:space="preserve">Site LedWave (página institucional); Exame</t>
  </si>
  <si>
    <t xml:space="preserve">Projeto-ícone</t>
  </si>
  <si>
    <t xml:space="preserve">Boulevard.Live, em Brasília: 1.125 m², o maior painel de LED da América Latina, inspirado na Times Square.</t>
  </si>
  <si>
    <t xml:space="preserve">Fizemos o maior painel de LED da América Latina. O seu projeto vai receber o mesmo padrão de engenharia.</t>
  </si>
  <si>
    <t xml:space="preserve">Blog LedWave (Boulevard.Live); Inviron</t>
  </si>
  <si>
    <t xml:space="preserve">Internacional</t>
  </si>
  <si>
    <t xml:space="preserve">Única empresa brasileira de LED com estande próprio na NRF 2026 (Nova York), maior feira de varejo do mundo.</t>
  </si>
  <si>
    <t xml:space="preserve">Na maior feira de varejo do mundo, só uma empresa brasileira de LED tinha estande próprio: a LedWave.</t>
  </si>
  <si>
    <t xml:space="preserve">Agência Logística; Portal Sala da Notícia</t>
  </si>
  <si>
    <t xml:space="preserve">Ecossistema</t>
  </si>
  <si>
    <t xml:space="preserve">Parceira oficial da ABF Expo; presença em APAS, Abrasel, ExpoPostos, SuperAgos, Fóruns SA+, Expo Cristã.</t>
  </si>
  <si>
    <t xml:space="preserve">Estamos onde os maiores varejistas e franqueadores do país se encontram.</t>
  </si>
  <si>
    <t xml:space="preserve">ABC da Comunicação (ABF Expo); plano de eventos 2026/2 (Drive)</t>
  </si>
  <si>
    <t xml:space="preserve">Mercado</t>
  </si>
  <si>
    <t xml:space="preserve">Circuito LedWave da Copa elevou a demanda por painéis de LED em 50%.</t>
  </si>
  <si>
    <t xml:space="preserve">Quando o Brasil inteiro olha para uma tela, muitas vezes é uma tela LedWave.</t>
  </si>
  <si>
    <t xml:space="preserve">Jornal do Brás</t>
  </si>
  <si>
    <t xml:space="preserve">Investimento</t>
  </si>
  <si>
    <t xml:space="preserve">Plano de investimento de R$ 40 milhões e expansão para os EUA.</t>
  </si>
  <si>
    <t xml:space="preserve">Estamos investindo pesado em capacidade e tecnologia. Você compra hoje de quem vai estar aqui amanhã para dar suporte.</t>
  </si>
  <si>
    <t xml:space="preserve">Inviron</t>
  </si>
  <si>
    <t xml:space="preserve">Propósito</t>
  </si>
  <si>
    <t xml:space="preserve">Conexão com o Sistema B (sustentabilidade no DNA da mídia digital).</t>
  </si>
  <si>
    <t xml:space="preserve">Crescer com responsabilidade faz parte de quem somos.</t>
  </si>
  <si>
    <t xml:space="preserve">AdNews: 'LedWave e o Sistema B'</t>
  </si>
  <si>
    <t xml:space="preserve">Solução completa</t>
  </si>
  <si>
    <t xml:space="preserve">Fabricação, venda, locação, instalação, conteúdo, gestão e retail media. Parceria WeOOH ('Duas potências. Uma nova força').</t>
  </si>
  <si>
    <t xml:space="preserve">Não vendemos painel. Entregamos o resultado que o painel gera, do projeto ao conteúdo.</t>
  </si>
  <si>
    <t xml:space="preserve">Apresentação Retail Media (Drive); Convenção de Vendas 2026</t>
  </si>
  <si>
    <t xml:space="preserve">Conteúdo e autoridade</t>
  </si>
  <si>
    <t xml:space="preserve">LedCast (podcast com líderes do varejo, ex.: Shop! Brasil, Farmelhor, Buddha Spa) e quadro RADAR LEDWAVE.</t>
  </si>
  <si>
    <t xml:space="preserve">A gente conversa com quem decide o varejo no Brasil e traz esse conhecimento para o seu projeto.</t>
  </si>
  <si>
    <t xml:space="preserve">Calendário editorial (Drive); imprensa</t>
  </si>
  <si>
    <t xml:space="preserve">Clientes</t>
  </si>
  <si>
    <t xml:space="preserve">Marcas atendidas listadas no site incluem Volkswagen, Globo e Riachuelo (automotivo, TV e varejo). Equipe de mais de 70 colaboradores (página Quem somos).</t>
  </si>
  <si>
    <t xml:space="preserve">Marcas como Volkswagen, Globo e Riachuelo já confiam a imagem delas às telas LedWave.</t>
  </si>
  <si>
    <t xml:space="preserve">ledwave.com.br/clientes e /quem-somos</t>
  </si>
  <si>
    <t xml:space="preserve">Números da apresentação executiva</t>
  </si>
  <si>
    <t xml:space="preserve">[Preencher: m² instalados, nº de projetos, nº de clientes, garantia, prazo de assistência, principais logos]</t>
  </si>
  <si>
    <t xml:space="preserve">[Preencher]</t>
  </si>
  <si>
    <t xml:space="preserve">Apresentação executiva LedWave</t>
  </si>
  <si>
    <t xml:space="preserve">Propósitos de compra: por que o cliente compra</t>
  </si>
  <si>
    <t xml:space="preserve">Insight do time comercial. Descubra na conversa qual propósito pesa mais e conduza a apresentação por ele.</t>
  </si>
  <si>
    <t xml:space="preserve">O que o cliente quer de verdade</t>
  </si>
  <si>
    <t xml:space="preserve">Pergunta para identificar</t>
  </si>
  <si>
    <t xml:space="preserve">Resultados esperados ligados</t>
  </si>
  <si>
    <t xml:space="preserve">Nichos onde mais aparece</t>
  </si>
  <si>
    <t xml:space="preserve">Mídia</t>
  </si>
  <si>
    <t xml:space="preserve">Vender espaço na tela para anunciantes e transformar o painel em fonte de receita.</t>
  </si>
  <si>
    <t xml:space="preserve">Você pensa em vender espaço na tela para outras marcas?</t>
  </si>
  <si>
    <t xml:space="preserve">Monetização; aumento de receita; impacto</t>
  </si>
  <si>
    <t xml:space="preserve">Postos de Combustível e Conveniência; DOOH e Investidores de Mídia; Shopping Centers; Arenas, Estádios, Academias e Esportes; Poder Público e Mobiliário Urbano</t>
  </si>
  <si>
    <t xml:space="preserve">Eficiência operacional</t>
  </si>
  <si>
    <t xml:space="preserve">Trocar impressos, reduzir retrabalho e atualizar a comunicação de várias unidades de um só lugar.</t>
  </si>
  <si>
    <t xml:space="preserve">Quanto tempo e dinheiro a sua equipe gasta hoje para trocar a comunicação?</t>
  </si>
  <si>
    <t xml:space="preserve">Eficiência ops; economia; dinamismo; facilidade técnica</t>
  </si>
  <si>
    <t xml:space="preserve">Supermercados, Atacarejos e Home Centers; Postos de Combustível e Conveniência; Franquias e Redes; Bares, Restaurantes e Food Service; Saúde (Hospitais, Clínicas e Laboratórios)</t>
  </si>
  <si>
    <t xml:space="preserve">Branding</t>
  </si>
  <si>
    <t xml:space="preserve">Fortalecer a marca e ser lembrado: a tela como assinatura visual da empresa.</t>
  </si>
  <si>
    <t xml:space="preserve">O que você quer que as pessoas lembrem da sua marca quando passam por aqui?</t>
  </si>
  <si>
    <t xml:space="preserve">Empoderamento da mensagem; modernidade; diferencial competitivo</t>
  </si>
  <si>
    <t xml:space="preserve">Varejo de Moda e Vitrines; Farmácias e Drogarias; Postos de Combustível e Conveniência; Concessionárias de Veículos; Franquias e Redes; Corporativo (Comunicação Interna e Recepções); Saúde (Hospitais, Clínicas e Laboratórios)</t>
  </si>
  <si>
    <t xml:space="preserve">Retrofit / arquitetura</t>
  </si>
  <si>
    <t xml:space="preserve">Modernizar fachadas, halls e prédios, integrando o LED ao projeto arquitetônico.</t>
  </si>
  <si>
    <t xml:space="preserve">Existe uma reforma ou um projeto de arquitetura em andamento?</t>
  </si>
  <si>
    <t xml:space="preserve">Beleza; modernidade; longevidade; qualidade</t>
  </si>
  <si>
    <t xml:space="preserve">DOOH e Investidores de Mídia; Construtoras e Stands de Vendas; Corporativo (Comunicação Interna e Recepções); Poder Público e Mobiliário Urbano</t>
  </si>
  <si>
    <t xml:space="preserve">Retail media</t>
  </si>
  <si>
    <t xml:space="preserve">Fazer do ponto de venda um canal de mídia vendido para a indústria.</t>
  </si>
  <si>
    <t xml:space="preserve">A indústria já paga por exposição nas suas lojas? Ela pede comprovação?</t>
  </si>
  <si>
    <t xml:space="preserve">Monetização; aumento do fluxo no PDV; aumento de receita</t>
  </si>
  <si>
    <t xml:space="preserve">Supermercados, Atacarejos e Home Centers; Farmácias e Drogarias</t>
  </si>
  <si>
    <t xml:space="preserve">Trade</t>
  </si>
  <si>
    <t xml:space="preserve">Executar e comprovar as ações de trade marketing no PDV, no tempo certo.</t>
  </si>
  <si>
    <t xml:space="preserve">Como as campanhas de trade chegam às lojas hoje, e como você comprova a execução?</t>
  </si>
  <si>
    <t xml:space="preserve">Aumento do fluxo no PDV; dinamismo; eficiência ops</t>
  </si>
  <si>
    <t xml:space="preserve">Varejo de Moda e Vitrines; Supermercados, Atacarejos e Home Centers; Farmácias e Drogarias; Franquias e Redes</t>
  </si>
  <si>
    <t xml:space="preserve">Insumo de trabalho</t>
  </si>
  <si>
    <t xml:space="preserve">Usar o painel como ferramenta do dia a dia: palco, culto, aula, transmissão, evento.</t>
  </si>
  <si>
    <t xml:space="preserve">Com que frequência você precisa de tela para trabalhar (eventos, cultos, aulas, transmissões)?</t>
  </si>
  <si>
    <t xml:space="preserve">Disponibilidade física; equipe técnica; garantia; facilidade técnica</t>
  </si>
  <si>
    <t xml:space="preserve">Igrejas e Centros Religiosos; Eventos, Agências e Produtoras; Educação (Escolas, Faculdades e Universidades)</t>
  </si>
  <si>
    <t xml:space="preserve">Experiência</t>
  </si>
  <si>
    <t xml:space="preserve">Encantar o cliente, o visitante ou o colaborador e fazer o espaço ser lembrado.</t>
  </si>
  <si>
    <t xml:space="preserve">O que você quer que as pessoas sintam quando entram aqui?</t>
  </si>
  <si>
    <t xml:space="preserve">Impacto; fidelização; realização; inovação</t>
  </si>
  <si>
    <t xml:space="preserve">Varejo de Moda e Vitrines; Shopping Centers; Concessionárias de Veículos; Construtoras e Stands de Vendas; Bares, Restaurantes e Food Service; Igrejas e Centros Religiosos; Hotéis, Parques, Clubes e Piscinas; Eventos, Agências e Produtoras; Educação (Escolas, Faculdades e Universidades); Saúde (Hospitais, Clínicas e Laboratórios); Arenas, Estádios, Academias e Esportes; Poder Público e Mobiliário Urbano</t>
  </si>
  <si>
    <t xml:space="preserve">Entretenimento</t>
  </si>
  <si>
    <t xml:space="preserve">Atrair e reter público com conteúdo, shows, jogos e atrações.</t>
  </si>
  <si>
    <t xml:space="preserve">Que tipo de atração faria o seu público voltar mais vezes?</t>
  </si>
  <si>
    <t xml:space="preserve">Fidelização; impacto; aumento de receita; exclusividade</t>
  </si>
  <si>
    <t xml:space="preserve">Shopping Centers; Bares, Restaurantes e Food Service; Igrejas e Centros Religiosos; Hotéis, Parques, Clubes e Piscinas; Eventos, Agências e Produtoras; Arenas, Estádios, Academias e Esportes</t>
  </si>
  <si>
    <t xml:space="preserve">Ter o painel mais impressionante, a referência da cidade ou do setor.</t>
  </si>
  <si>
    <t xml:space="preserve">Que projeto de LED você viu e pensou: eu quero isso para nós?</t>
  </si>
  <si>
    <t xml:space="preserve">Exclusividade; diferencial competitivo; inovação; realização</t>
  </si>
  <si>
    <t xml:space="preserve">DOOH e Investidores de Mídia; Concessionárias de Veículos; Construtoras e Stands de Vendas; Hotéis, Parques, Clubes e Piscinas; Corporativo (Comunicação Interna e Recepções); Educação (Escolas, Faculdades e Universidades)</t>
  </si>
  <si>
    <t xml:space="preserve">Resultados esperados (lista do comercial)</t>
  </si>
  <si>
    <t xml:space="preserve">Beleza</t>
  </si>
  <si>
    <t xml:space="preserve">Monetização</t>
  </si>
  <si>
    <t xml:space="preserve">Impacto</t>
  </si>
  <si>
    <t xml:space="preserve">Empoderamento da mensagem</t>
  </si>
  <si>
    <t xml:space="preserve">Modernidade</t>
  </si>
  <si>
    <t xml:space="preserve">Eficiência ops</t>
  </si>
  <si>
    <t xml:space="preserve">Disponibilidade física</t>
  </si>
  <si>
    <t xml:space="preserve">Garantia</t>
  </si>
  <si>
    <t xml:space="preserve">Equipe técnica</t>
  </si>
  <si>
    <t xml:space="preserve">Longevidade</t>
  </si>
  <si>
    <t xml:space="preserve">Economia</t>
  </si>
  <si>
    <t xml:space="preserve">Aumento de receita</t>
  </si>
  <si>
    <t xml:space="preserve">Fidelização</t>
  </si>
  <si>
    <t xml:space="preserve">Dinamismo</t>
  </si>
  <si>
    <t xml:space="preserve">Aumento do fluxo no PDV</t>
  </si>
  <si>
    <t xml:space="preserve">Facilidade técnica</t>
  </si>
  <si>
    <t xml:space="preserve">Realização</t>
  </si>
  <si>
    <t xml:space="preserve">Inovação</t>
  </si>
  <si>
    <t xml:space="preserve">Exclusividade</t>
  </si>
  <si>
    <t xml:space="preserve">Qualidade</t>
  </si>
  <si>
    <t xml:space="preserve">Diferencial competitivo</t>
  </si>
  <si>
    <t xml:space="preserve">Diferenciais da LedWave</t>
  </si>
  <si>
    <t xml:space="preserve">Insight do time comercial. Use 3 a 5 por apresentação, escolhidos pelo propósito de compra do cliente. 'Confirmar' = validar o texto com o comercial antes de usar com cliente.</t>
  </si>
  <si>
    <t xml:space="preserve">Diferencial</t>
  </si>
  <si>
    <t xml:space="preserve">Como falar para o cliente</t>
  </si>
  <si>
    <t xml:space="preserve">Prova / o que levar</t>
  </si>
  <si>
    <t xml:space="preserve">Joint venture</t>
  </si>
  <si>
    <t xml:space="preserve">Somamos forças com parceiros de mídia para entregar não só a tela, mas o negócio de mídia por trás dela.</t>
  </si>
  <si>
    <t xml:space="preserve">Nome e escopo da joint venture (ex.: WeOOH?)</t>
  </si>
  <si>
    <t xml:space="preserve">Confirmar</t>
  </si>
  <si>
    <t xml:space="preserve">Modelo comercial</t>
  </si>
  <si>
    <t xml:space="preserve">Montamos o modelo que cabe no seu negócio: compra, locação, mídia compartilhada ou combinações.</t>
  </si>
  <si>
    <t xml:space="preserve">Tabela de modelos comerciais</t>
  </si>
  <si>
    <t xml:space="preserve">Locação / venda</t>
  </si>
  <si>
    <t xml:space="preserve">Você escolhe: comprar, alugar ou começar alugando e depois comprar.</t>
  </si>
  <si>
    <t xml:space="preserve">Comparativo compra x locação</t>
  </si>
  <si>
    <t xml:space="preserve">OK</t>
  </si>
  <si>
    <t xml:space="preserve">Capilaridade de atendimento</t>
  </si>
  <si>
    <t xml:space="preserve">Atendemos o Brasil inteiro a partir de Goiânia, São Paulo e Brasília, e os EUA por Orlando.</t>
  </si>
  <si>
    <t xml:space="preserve">Mapa de atendimento e equipes</t>
  </si>
  <si>
    <t xml:space="preserve">Estoque</t>
  </si>
  <si>
    <t xml:space="preserve">Temos estoque próprio: menos espera entre a assinatura e a tela acesa.</t>
  </si>
  <si>
    <t xml:space="preserve">Prazo médio de entrega</t>
  </si>
  <si>
    <t xml:space="preserve">Confirmar prazos</t>
  </si>
  <si>
    <t xml:space="preserve">Acervo</t>
  </si>
  <si>
    <t xml:space="preserve">Um acervo amplo de modelos e formatos para cada aplicação: indoor, outdoor, curvo, transparente, piso.</t>
  </si>
  <si>
    <t xml:space="preserve">Catálogo de produtos / acervo de locação</t>
  </si>
  <si>
    <t xml:space="preserve">Confirmar significado</t>
  </si>
  <si>
    <t xml:space="preserve">Tempo de vida</t>
  </si>
  <si>
    <t xml:space="preserve">Mais de 15 anos de mercado e painéis feitos para durar.</t>
  </si>
  <si>
    <t xml:space="preserve">Ano de fundação + vida útil dos painéis</t>
  </si>
  <si>
    <t xml:space="preserve">Know-how</t>
  </si>
  <si>
    <t xml:space="preserve">Mais de 15 anos fabricando, instalando e operando painéis de LED: sabemos o que funciona em cada tipo de espaço, do PDV ao maior painel da América Latina.</t>
  </si>
  <si>
    <t xml:space="preserve">Histórico de projetos + Boulevard.Live</t>
  </si>
  <si>
    <t xml:space="preserve">Prova social</t>
  </si>
  <si>
    <t xml:space="preserve">Marcas como Nordestão, Rosewood, Beto Carrero World e Museu do Amanhã escolheram a LedWave.</t>
  </si>
  <si>
    <t xml:space="preserve">Cases e depoimentos</t>
  </si>
  <si>
    <t xml:space="preserve">Única fábrica</t>
  </si>
  <si>
    <t xml:space="preserve">Fabricamos no Brasil, com linha de produção própria em Goiânia.</t>
  </si>
  <si>
    <t xml:space="preserve">Confirmar se é a única fábrica do Brasil antes de dizer 'única'</t>
  </si>
  <si>
    <t xml:space="preserve">Certificações</t>
  </si>
  <si>
    <t xml:space="preserve">Produtos certificados e processos dentro das normas.</t>
  </si>
  <si>
    <t xml:space="preserve">Lista de certificações</t>
  </si>
  <si>
    <t xml:space="preserve">Confirmar lista</t>
  </si>
  <si>
    <t xml:space="preserve">Pioneira</t>
  </si>
  <si>
    <t xml:space="preserve">Fomos pioneiros em trazer a fabricação de painéis de LED para o Brasil.</t>
  </si>
  <si>
    <t xml:space="preserve">Histórico 2010/2011</t>
  </si>
  <si>
    <t xml:space="preserve">Solução 360</t>
  </si>
  <si>
    <t xml:space="preserve">Do projeto ao conteúdo: diagnóstico, fabricação, estrutura, instalação, software, conteúdo e suporte.</t>
  </si>
  <si>
    <t xml:space="preserve">Fluxo da solução</t>
  </si>
  <si>
    <t xml:space="preserve">Garantias</t>
  </si>
  <si>
    <t xml:space="preserve">Garantia de fábrica e suporte técnico próprio.</t>
  </si>
  <si>
    <t xml:space="preserve">Termos de garantia</t>
  </si>
  <si>
    <t xml:space="preserve">Customização</t>
  </si>
  <si>
    <t xml:space="preserve">Cada projeto é feito sob medida: formato, tamanho, resolução e acabamento.</t>
  </si>
  <si>
    <t xml:space="preserve">Projetos especiais (curvos, 3D, transparentes)</t>
  </si>
  <si>
    <t xml:space="preserve">Veículo de mídia</t>
  </si>
  <si>
    <t xml:space="preserve">A LedWave também opera mídia, como o Boulevard.Live, o maior painel de LED da América Latina.</t>
  </si>
  <si>
    <t xml:space="preserve">Boulevard.Live (1.125 m²)</t>
  </si>
  <si>
    <t xml:space="preserve">Software e programática</t>
  </si>
  <si>
    <t xml:space="preserve">Software de gestão de conteúdo e venda programática de mídia.</t>
  </si>
  <si>
    <t xml:space="preserve">Demonstração do software</t>
  </si>
  <si>
    <t xml:space="preserve">Confirmar nome do software</t>
  </si>
  <si>
    <t xml:space="preserve">Liderança</t>
  </si>
  <si>
    <t xml:space="preserve">Nº 1 do segmento de painéis de LED no ranking Exame Negócios em Expansão 2025.</t>
  </si>
  <si>
    <t xml:space="preserve">Ranking Exame</t>
  </si>
  <si>
    <t xml:space="preserve">Premiações</t>
  </si>
  <si>
    <t xml:space="preserve">Quatro anos seguidos no ranking Exame das empresas que mais crescem.</t>
  </si>
  <si>
    <t xml:space="preserve">Ranking Exame + outros prêmios</t>
  </si>
  <si>
    <t xml:space="preserve">Confirmar outros prêmios</t>
  </si>
  <si>
    <t xml:space="preserve">Cases de referência</t>
  </si>
  <si>
    <t xml:space="preserve">Cases citados pelo time comercial. Preencha desafio, entrega e resultado: é isso que entra nas apresentações.</t>
  </si>
  <si>
    <t xml:space="preserve">Case</t>
  </si>
  <si>
    <t xml:space="preserve">Segmento (nicho)</t>
  </si>
  <si>
    <t xml:space="preserve">Propósitos de compra</t>
  </si>
  <si>
    <t xml:space="preserve">Desafio do cliente</t>
  </si>
  <si>
    <t xml:space="preserve">O que a LedWave entregou</t>
  </si>
  <si>
    <t xml:space="preserve">Resultado (número, se houver)</t>
  </si>
  <si>
    <t xml:space="preserve">Fotos/vídeo (link)</t>
  </si>
  <si>
    <t xml:space="preserve">Autorizado para uso com clientes?</t>
  </si>
  <si>
    <t xml:space="preserve">Nordestão</t>
  </si>
  <si>
    <t xml:space="preserve">Supermercados, Atacarejos e Home Centers</t>
  </si>
  <si>
    <t xml:space="preserve">Retail media; Trade; Eficiência operacional</t>
  </si>
  <si>
    <t xml:space="preserve">Detalhar</t>
  </si>
  <si>
    <t xml:space="preserve">Animalia</t>
  </si>
  <si>
    <t xml:space="preserve">Hotéis, Parques, Clubes e Piscinas</t>
  </si>
  <si>
    <t xml:space="preserve">Entretenimento; Experiência</t>
  </si>
  <si>
    <t xml:space="preserve">Confirmar segmento e detalhar</t>
  </si>
  <si>
    <t xml:space="preserve">Rosewood</t>
  </si>
  <si>
    <t xml:space="preserve">Status; Experiência; Retrofit / arquitetura</t>
  </si>
  <si>
    <t xml:space="preserve">Beto Carrero World</t>
  </si>
  <si>
    <t xml:space="preserve">Cestto</t>
  </si>
  <si>
    <t xml:space="preserve">[Confirmar segmento]</t>
  </si>
  <si>
    <t xml:space="preserve">Museu do Amanhã</t>
  </si>
  <si>
    <t xml:space="preserve">Poder Público e Mobiliário Urbano</t>
  </si>
  <si>
    <t xml:space="preserve">Experiência; Retrofit / arquitetura</t>
  </si>
  <si>
    <t xml:space="preserve">Matriz de Nichos: o porquê de cada cliente</t>
  </si>
  <si>
    <t xml:space="preserve">Uma linha por nicho. É a fonte do Gerador de Roteiro. Melhore à vontade; registre a mudança na coluna 'Última contribuição'.</t>
  </si>
  <si>
    <t xml:space="preserve">Decisor típico</t>
  </si>
  <si>
    <t xml:space="preserve">Dor principal (o mundo dele hoje)</t>
  </si>
  <si>
    <t xml:space="preserve">Custo da inação</t>
  </si>
  <si>
    <t xml:space="preserve">Propósito (o porquê)</t>
  </si>
  <si>
    <t xml:space="preserve">Gancho de abertura</t>
  </si>
  <si>
    <t xml:space="preserve">História / analogia</t>
  </si>
  <si>
    <t xml:space="preserve">Argumento 1: Receita</t>
  </si>
  <si>
    <t xml:space="preserve">Argumento 2: Experiência e marca</t>
  </si>
  <si>
    <t xml:space="preserve">Argumento 3: Operação e custo</t>
  </si>
  <si>
    <t xml:space="preserve">Frase de efeito</t>
  </si>
  <si>
    <t xml:space="preserve">Frase de fechamento</t>
  </si>
  <si>
    <t xml:space="preserve">Solução recomendada</t>
  </si>
  <si>
    <t xml:space="preserve">Prova / case (a completar)</t>
  </si>
  <si>
    <t xml:space="preserve">Perguntas de descoberta</t>
  </si>
  <si>
    <t xml:space="preserve">Objeção nº 1</t>
  </si>
  <si>
    <t xml:space="preserve">Resposta à objeção</t>
  </si>
  <si>
    <t xml:space="preserve">KPIs que o cliente vai medir</t>
  </si>
  <si>
    <t xml:space="preserve">Próximo passo (CTA)</t>
  </si>
  <si>
    <t xml:space="preserve">Propósitos de compra (comercial)</t>
  </si>
  <si>
    <t xml:space="preserve">Objeções mais prováveis (comercial)</t>
  </si>
  <si>
    <t xml:space="preserve">Ideias no Banco</t>
  </si>
  <si>
    <t xml:space="preserve">Última contribuição (gestor/data)</t>
  </si>
  <si>
    <t xml:space="preserve">Notas</t>
  </si>
  <si>
    <t xml:space="preserve">Varejo de Moda e Vitrines</t>
  </si>
  <si>
    <t xml:space="preserve">Dono da rede, Diretor de Marketing, Gerente de Visual Merchandising</t>
  </si>
  <si>
    <t xml:space="preserve">A vitrine é estática: a coleção muda, a promoção muda, mas a fachada fala a mesma coisa por semanas. Cada troca exige gráfica, instalação e prazo.</t>
  </si>
  <si>
    <t xml:space="preserve">Cada dia com vitrine parada é fluxo de calçada que passa reto. Quem não para na vitrine não entra na loja.</t>
  </si>
  <si>
    <t xml:space="preserve">Transformar a vitrine em um vendedor que trabalha 24h, chama o cliente pelo movimento e conta a história da coleção antes de ele entrar.</t>
  </si>
  <si>
    <t xml:space="preserve">Quantas pessoas passam na frente da sua loja por dia? Agora, quantas param? A diferença entre esses dois números é o tamanho da oportunidade que estamos aqui para discutir.</t>
  </si>
  <si>
    <t xml:space="preserve">Antes x depois: a mesma vitrine com um banner de liquidação desbotado e, ao lado, a coleção nova em movimento, com troca de conteúdo do celular em minutos. O olho humano é programado para seguir movimento.</t>
  </si>
  <si>
    <t xml:space="preserve">Mais paradas na vitrine geram mais entradas na loja; promoções relâmpago (horário de almoço, fim de tarde) entram no ar na hora, sem gráfica.</t>
  </si>
  <si>
    <t xml:space="preserve">A marca passa a ter cara de flagship: a loja de rua ou de shopping conversa com o padrão das grandes marcas internacionais.</t>
  </si>
  <si>
    <t xml:space="preserve">Fim do custo recorrente de impressão e instalação a cada coleção; gestão centralizada do conteúdo para todas as lojas da rede.</t>
  </si>
  <si>
    <t xml:space="preserve">Vitrine parada é vendedor dormindo.</t>
  </si>
  <si>
    <t xml:space="preserve">A coleção nova merece uma vitrine à altura. Vamos colocar a sua loja para falar com quem passa?</t>
  </si>
  <si>
    <t xml:space="preserve">Painel de vitrine de alto brilho, LED transparente para fachadas de vidro, totens digitais internos, gestão de conteúdo em rede.</t>
  </si>
  <si>
    <t xml:space="preserve">Cases de varejo da LedWave (ver aba LedWave – Prova; inserir case de moda específico). Briefing Torra (Drive) como referência de proposta.</t>
  </si>
  <si>
    <t xml:space="preserve">Quanto você gasta por coleção com impressos? Quanto tempo leva entre decidir uma promoção e ela estar na vitrine? Como você mede o fluxo que para na frente da loja hoje?</t>
  </si>
  <si>
    <t xml:space="preserve">Painel de LED é caro para uma loja só.</t>
  </si>
  <si>
    <t xml:space="preserve">Compare com o custo de 12 meses de impressos, instalação e mídia local. O painel substitui esses custos e ainda fica com você. Podemos montar a conta juntos agora.</t>
  </si>
  <si>
    <t xml:space="preserve">Taxa de parada na vitrine, entrada em loja, vendas da peça anunciada, economia com impressos.</t>
  </si>
  <si>
    <t xml:space="preserve">Agendar visita técnica para medir a vitrine e simular o conteúdo da próxima coleção no painel.</t>
  </si>
  <si>
    <t xml:space="preserve">Branding; Experiência; Trade</t>
  </si>
  <si>
    <t xml:space="preserve">Preço; Gestão de conteúdo; Percepção de valor</t>
  </si>
  <si>
    <t xml:space="preserve">Diretor Comercial, Diretor de Trade Marketing, Gerente de Marketing, Operações</t>
  </si>
  <si>
    <t xml:space="preserve">Oferta muda todo dia, cartaz de papel não acompanha. O trade da indústria paga por espaço, mas o impresso não mede nada e envelhece rápido.</t>
  </si>
  <si>
    <t xml:space="preserve">O varejista deixa de vender mídia dentro da própria loja, enquanto o retail media cresce no Brasil (R$ 4,8 bi em 2025, +37%, IAB Brasil/Kantar).</t>
  </si>
  <si>
    <t xml:space="preserve">Transformar a loja em canal de mídia: a tela deixa de ser custo e passa a gerar receita com as marcas que já estão nas gôndolas.</t>
  </si>
  <si>
    <t xml:space="preserve">Se 80% a 90% das vendas do varejo ainda acontecem na loja física, por que quase toda a verba de mídia está fora dela?</t>
  </si>
  <si>
    <t xml:space="preserve">Referência Walmart Connect: a loja virou canal de mídia e a publicidade virou uma linha de receita bilionária. A lição é simples: a loja física também é mídia, e mídia gera receita.</t>
  </si>
  <si>
    <t xml:space="preserve">Retail media: venda de espaço nas telas para a indústria, com margem potencial de 70% a 90% (McKinsey). A tela se paga com a verba de trade.</t>
  </si>
  <si>
    <t xml:space="preserve">Ofertas e receitas em movimento no momento da decisão; comunicação mais moderna que a da concorrência no mesmo bairro.</t>
  </si>
  <si>
    <t xml:space="preserve">Troca de preços e ofertas em tempo real por loja, sem impressão, sem retrabalho, com prova de veiculação para o fornecedor.</t>
  </si>
  <si>
    <t xml:space="preserve">Sua loja já tem audiência. Falta transformar audiência em receita.</t>
  </si>
  <si>
    <t xml:space="preserve">A pergunta não é se o seu PDV vai virar mídia. É quem vai fazer isso primeiro na sua praça.</t>
  </si>
  <si>
    <t xml:space="preserve">Telas de checkout, ponta de gôndola, painéis de entrada e fachada, retail media com gestão de conteúdo e relatório de veiculação (parceria WeOOH a validar).</t>
  </si>
  <si>
    <t xml:space="preserve">Big numbers de retail media (doc Retail Media no PDV). Participação em eventos APAS, Rede Brasil, SuperAgos. Inserir case de supermercado.</t>
  </si>
  <si>
    <t xml:space="preserve">Quanto da sua verba de trade hoje vira impresso? Seus fornecedores pedem prova de exposição? Você já pensou em vender mídia dentro da loja?</t>
  </si>
  <si>
    <t xml:space="preserve">Não tenho equipe para gerenciar conteúdo e vender mídia.</t>
  </si>
  <si>
    <t xml:space="preserve">Por isso a LedWave entrega a solução completa: tela, gestão de conteúdo e modelo de negócio. Você cuida da loja, nós ajudamos a operar a mídia.</t>
  </si>
  <si>
    <t xml:space="preserve">Receita de mídia por loja, sell-out do produto anunciado, economia com impressos, tempo de troca de oferta.</t>
  </si>
  <si>
    <t xml:space="preserve">Workshop de 1h para desenhar o piloto de retail media em 1 a 3 lojas.</t>
  </si>
  <si>
    <t xml:space="preserve">Gestão de conteúdo; Aprovação por financeiro; Momento financeiro</t>
  </si>
  <si>
    <t xml:space="preserve">Diretor de Marketing, Diretor de Expansão, Dono da rede, Trade</t>
  </si>
  <si>
    <t xml:space="preserve">Fachadas parecidas, guerra de preço e um corredor cheio de marcas disputando atenção. A indústria farmacêutica e de dermocosméticos quer visibilidade, mas o espaço é pequeno.</t>
  </si>
  <si>
    <t xml:space="preserve">A farmácia da esquina igual a todas as outras perde a decisão de entrada para a que se destaca, e deixa de monetizar o espaço com a indústria.</t>
  </si>
  <si>
    <t xml:space="preserve">Fazer da farmácia um ponto de saúde e bem-estar que se vê de longe e informa de perto, com mídia paga pela indústria.</t>
  </si>
  <si>
    <t xml:space="preserve">Na sua rua existem quantas farmácias? O que faz o cliente escolher a sua antes de ver o preço?</t>
  </si>
  <si>
    <t xml:space="preserve">Cruz verde iluminada foi a primeira tela da farmácia. O painel de LED é a evolução natural dessa cruz: além de dizer 'estou aqui', diz 'tenho o que você precisa hoje'.</t>
  </si>
  <si>
    <t xml:space="preserve">Monetização com a indústria (dermocosméticos, OTC, higiene) em telas internas; campanhas sazonais (gripe, verão, Dia das Mães) entram no ar na hora.</t>
  </si>
  <si>
    <t xml:space="preserve">Fachada que se destaca na rua, conteúdo de saúde e prevenção que gera confiança, fila mais leve com conteúdo útil.</t>
  </si>
  <si>
    <t xml:space="preserve">Padronização da comunicação em todas as lojas da rede a partir de um único painel de controle.</t>
  </si>
  <si>
    <t xml:space="preserve">Farmácia que se vê de longe vende antes do preço.</t>
  </si>
  <si>
    <t xml:space="preserve">A cruz verde chamou o cliente por décadas. Agora é hora de ela conversar com ele.</t>
  </si>
  <si>
    <t xml:space="preserve">Painel de fachada, LED de vitrine, telas atrás do balcão e na área de dermocosméticos, rede de retail media.</t>
  </si>
  <si>
    <t xml:space="preserve">LedCast com Farmelhor (pílula pós-ABF). Participação na Abrafarma. Validar case de rede.</t>
  </si>
  <si>
    <t xml:space="preserve">A indústria já paga por exposição nas suas lojas? Como você comunica campanhas sazonais hoje? Quanto tempo leva para padronizar uma campanha em todas as lojas?</t>
  </si>
  <si>
    <t xml:space="preserve">A fachada da farmácia tem regras de padronização da rede/franquia.</t>
  </si>
  <si>
    <t xml:space="preserve">Trabalhamos com o manual da marca: o painel vira parte da identidade, não uma exceção a ela. Levamos a proposta pronta para aprovação do franqueador.</t>
  </si>
  <si>
    <t xml:space="preserve">Receita de mídia com a indústria, vendas de categorias anunciadas, fluxo de entrada, tempo de rollout de campanha.</t>
  </si>
  <si>
    <t xml:space="preserve">Simulação de fachada digital com a identidade da rede + proposta de piloto em uma loja âncora.</t>
  </si>
  <si>
    <t xml:space="preserve">Retail media; Trade; Branding</t>
  </si>
  <si>
    <t xml:space="preserve">Política comercial; Gestão de conteúdo; Percepção de valor</t>
  </si>
  <si>
    <t xml:space="preserve">Postos de Combustível e Conveniência</t>
  </si>
  <si>
    <t xml:space="preserve">Proprietário do posto/rede, Diretor Comercial de distribuidora, Gerente de conveniência</t>
  </si>
  <si>
    <t xml:space="preserve">O preço na placa é a única comunicação, e o cliente decide em segundos, a 60 km/h. A loja de conveniência é invisível da pista.</t>
  </si>
  <si>
    <t xml:space="preserve">O motorista que passa reto não volta. A margem do combustível é apertada e a conveniência, que tem margem, não é vista.</t>
  </si>
  <si>
    <t xml:space="preserve">Fazer o posto ser visto, escolhido e lembrado, e transformar a rodovia em audiência paga.</t>
  </si>
  <si>
    <t xml:space="preserve">Seu cliente decide se entra no seu posto em menos de cinco segundos. O que ele vê nesses cinco segundos?</t>
  </si>
  <si>
    <t xml:space="preserve">Duas placas na estrada à noite: uma de preço fixo, apagada; outra com preço, promoção de café + pão de queijo e a marca em movimento. Qual delas faz o motorista dar seta?</t>
  </si>
  <si>
    <t xml:space="preserve">Mídia DOOH para anunciantes locais e regionais na pista; promoções da conveniência e serviços (lavagem, troca de óleo) que aumentam ticket.</t>
  </si>
  <si>
    <t xml:space="preserve">Posto moderno, iluminado e seguro à noite, percepção de marca forte na rodovia.</t>
  </si>
  <si>
    <t xml:space="preserve">Atualização de preço remota e instantânea, sem subir em escada, com conteúdo programado por horário.</t>
  </si>
  <si>
    <t xml:space="preserve">Na estrada, quem não é visto não é abastecido.</t>
  </si>
  <si>
    <t xml:space="preserve">Seu posto já tem o fluxo. Vamos fazer esse fluxo parar?</t>
  </si>
  <si>
    <t xml:space="preserve">Totem de preços em LED outdoor (alto brilho, IP65), painel de testeira, telas na bomba e na conveniência, mídia DOOH.</t>
  </si>
  <si>
    <t xml:space="preserve">Participação na ExpoPostos. ICP 1 (Investidor de Mídia / Postos). Inserir case de posto.</t>
  </si>
  <si>
    <t xml:space="preserve">Quantos veículos passam na sua frente por dia? Qual a participação da conveniência no seu lucro? Anunciantes locais já te procuraram?</t>
  </si>
  <si>
    <t xml:space="preserve">Meu cliente só olha preço.</t>
  </si>
  <si>
    <t xml:space="preserve">Exatamente: e o painel mostra o preço melhor, mais longe e mais rápido. O que vem depois do preço (café, lavagem, mídia) é margem extra que hoje você não captura.</t>
  </si>
  <si>
    <t xml:space="preserve">Veículos que entram x fluxo da pista, ticket da conveniência, receita de mídia DOOH.</t>
  </si>
  <si>
    <t xml:space="preserve">Estudo de visibilidade da pista (distância, ângulo, fluxo) e proposta de totem + testeira.</t>
  </si>
  <si>
    <t xml:space="preserve">Mídia; Eficiência operacional; Branding</t>
  </si>
  <si>
    <t xml:space="preserve">Política local / licenças; Fabricação de estrutura metálica; Consumo de energia</t>
  </si>
  <si>
    <t xml:space="preserve">DOOH e Investidores de Mídia</t>
  </si>
  <si>
    <t xml:space="preserve">Investidor, CEO/Proprietário de exibidora, Diretor Comercial de mídia</t>
  </si>
  <si>
    <t xml:space="preserve">Quer entrar ou crescer em mídia exterior digital, mas precisa de ativo confiável, ponto bem escolhido e retorno previsível.</t>
  </si>
  <si>
    <t xml:space="preserve">Os melhores pontos da cidade estão sendo ocupados agora. Ponto bom não espera.</t>
  </si>
  <si>
    <t xml:space="preserve">Construir um ativo de mídia que gera receita recorrente por anos, com um fabricante que sabe operar mídia porque também opera.</t>
  </si>
  <si>
    <t xml:space="preserve">Um painel de LED não é um custo, é um imóvel que paga aluguel em inserções. A pergunta é: quanto rende o seu metro quadrado?</t>
  </si>
  <si>
    <t xml:space="preserve">Boulevard.Live, em Brasília: 1.125 m², o maior painel de LED da América Latina, pensado no ponto de maior fluxo de pessoas e veículos da cidade. A LedWave não só vende painel; ela sabe o que faz um painel faturar.</t>
  </si>
  <si>
    <t xml:space="preserve">Receita recorrente por inserção, programática e anunciante local; o DOOH já soma R$ 4,4 bi no Brasil (IAB Brasil/Kantar, 2025).</t>
  </si>
  <si>
    <t xml:space="preserve">Ponto icônico vira referência da cidade e atrai anunciantes premium.</t>
  </si>
  <si>
    <t xml:space="preserve">Fabricação própria, assistência técnica, alto brilho e durabilidade outdoor reduzem tempo de tela apagada (que é receita perdida).</t>
  </si>
  <si>
    <t xml:space="preserve">Painel apagado é aluguel perdido. Escolha quem mantém sua tela no ar.</t>
  </si>
  <si>
    <t xml:space="preserve">Vamos escolher juntos o seu próximo ponto e colocar a conta no papel?</t>
  </si>
  <si>
    <t xml:space="preserve">Painéis outdoor de grande formato, empenas, frontlights digitais, mobiliário urbano, gestão de conteúdo e programação.</t>
  </si>
  <si>
    <t xml:space="preserve">Boulevard.Live (1.125 m²); HighLine – Edifício Baracat (Brasília); WE SUPER OOH; parceria WeOOH (validar).</t>
  </si>
  <si>
    <t xml:space="preserve">Quantos pontos você opera hoje? Qual ocupação média? Quanto tempo de tela apagada você teve no último ano? Já tem anunciantes âncora?</t>
  </si>
  <si>
    <t xml:space="preserve">O payback é longo e o risco é alto.</t>
  </si>
  <si>
    <t xml:space="preserve">Por isso o projeto começa pelo ponto, não pelo painel: fluxo, visibilidade, licenciamento e plano comercial. Com fabricante que também opera mídia, o risco técnico cai.</t>
  </si>
  <si>
    <t xml:space="preserve">Ocupação, receita por m², uptime da tela, payback do ponto.</t>
  </si>
  <si>
    <t xml:space="preserve">Estudo de ponto + simulação de payback com cenário conservador, base e otimista.</t>
  </si>
  <si>
    <t xml:space="preserve">Mídia; Status; Retrofit / arquitetura</t>
  </si>
  <si>
    <t xml:space="preserve">Política local / licenças; SLA; Crédito</t>
  </si>
  <si>
    <t xml:space="preserve">Shopping Centers</t>
  </si>
  <si>
    <t xml:space="preserve">Superintendente, Gerente de Marketing, Gerente Comercial / Mall &amp; Media</t>
  </si>
  <si>
    <t xml:space="preserve">O shopping disputa visita com o e-commerce e precisa ser destino. O mall media tradicional é estático e difícil de vender.</t>
  </si>
  <si>
    <t xml:space="preserve">Sem experiência, o shopping vira corredor de passagem; e o espaço de mídia que poderia faturar fica vazio.</t>
  </si>
  <si>
    <t xml:space="preserve">Transformar o shopping em palco: experiências que geram visita, fotos, redes sociais e receita de mídia.</t>
  </si>
  <si>
    <t xml:space="preserve">Qual foi a última coisa no seu shopping que fez alguém parar, tirar o celular do bolso e filmar?</t>
  </si>
  <si>
    <t xml:space="preserve">As grandes capitais têm seus pontos de LED que viram cartão-postal. Uma tela anamórfica 3D na praça de eventos faz o shopping aparecer nas redes de milhares de pessoas, de graça.</t>
  </si>
  <si>
    <t xml:space="preserve">Mall media digital vendido para lojistas e marcas nacionais; ativações e eventos com patrocínio.</t>
  </si>
  <si>
    <t xml:space="preserve">Experiências instagramáveis, datas comemorativas e eventos que aumentam fluxo e permanência.</t>
  </si>
  <si>
    <t xml:space="preserve">Sinalização e wayfinding digitais, comunicação com lojistas e campanhas atualizadas em minutos.</t>
  </si>
  <si>
    <t xml:space="preserve">Shopping sem experiência é só um estacionamento com lojas.</t>
  </si>
  <si>
    <t xml:space="preserve">Vamos criar o ponto do seu shopping que todo mundo quer filmar?</t>
  </si>
  <si>
    <t xml:space="preserve">Painéis de praça de eventos, LED anamórfico/3D, empenas e fachadas, totens, mall media em rede.</t>
  </si>
  <si>
    <t xml:space="preserve">Relacionamento com Ancar / FFX (NRF 2027). Inserir case de shopping.</t>
  </si>
  <si>
    <t xml:space="preserve">Como está a receita de mall media hoje? Quais datas trazem mais fluxo? Os lojistas pedem mais visibilidade?</t>
  </si>
  <si>
    <t xml:space="preserve">Já temos TVs espalhadas pelo mall.</t>
  </si>
  <si>
    <t xml:space="preserve">TV comunica; LED de grande formato encanta. Escala, brilho e formato livre criam momentos que uma TV não cria, e é isso que vende mídia premium.</t>
  </si>
  <si>
    <t xml:space="preserve">Fluxo de visitantes, permanência, receita de mall media, menções nas redes.</t>
  </si>
  <si>
    <t xml:space="preserve">Proposta de experiência-âncora para a próxima data forte (Natal, Dia das Mães) + plano de mall media.</t>
  </si>
  <si>
    <t xml:space="preserve">Experiência; Entretenimento; Mídia</t>
  </si>
  <si>
    <t xml:space="preserve">Aprovação por financeiro; Concorrência; Percepção de valor</t>
  </si>
  <si>
    <t xml:space="preserve">Concessionárias de Veículos</t>
  </si>
  <si>
    <t xml:space="preserve">Dono do grupo, Gerente Geral, Gerente de Marketing da concessionária</t>
  </si>
  <si>
    <t xml:space="preserve">Showroom com carros parados e banners genéricos da montadora. O cliente chega já pesquisado na internet e o showroom não acrescenta emoção.</t>
  </si>
  <si>
    <t xml:space="preserve">Venda de alto ticket é emoção. Showroom frio perde o cliente para a loja que faz ele imaginar o carro na estrada.</t>
  </si>
  <si>
    <t xml:space="preserve">Levar a estrada para dentro do showroom: fazer o cliente sentir o carro antes do test-drive.</t>
  </si>
  <si>
    <t xml:space="preserve">Seu cliente já viu o carro no site. O que o seu showroom mostra que o site não mostra?</t>
  </si>
  <si>
    <t xml:space="preserve">Lançamento: luzes apagam, o painel atrás do carro mostra a serra, a chuva, a família viajando, e o carro real está ali na frente. Isso é cenografia que vende.</t>
  </si>
  <si>
    <t xml:space="preserve">Mais conversão no showroom, eventos de lançamento que geram leads e cofinanciamento de ações com a montadora.</t>
  </si>
  <si>
    <t xml:space="preserve">Showroom premium alinhado ao padrão global das marcas; experiência que justifica o preço.</t>
  </si>
  <si>
    <t xml:space="preserve">Conteúdo da montadora, condições e estoque atualizados em tempo real; fachada que comunica ofertas para a avenida.</t>
  </si>
  <si>
    <t xml:space="preserve">Carro se compra com o coração e se justifica com a razão. O painel fala com os dois.</t>
  </si>
  <si>
    <t xml:space="preserve">Vamos fazer o seu próximo lançamento ser lembrado?</t>
  </si>
  <si>
    <t xml:space="preserve">Painel de fundo de showroom, LED de fachada, totens de ofertas, painel para eventos e lançamentos (venda ou locação).</t>
  </si>
  <si>
    <t xml:space="preserve">ICP 3 (Branding &amp; Experiência). Inserir case de concessionária.</t>
  </si>
  <si>
    <t xml:space="preserve">Quantos lançamentos vocês têm por ano? A montadora co-investe em ações de PDV? Quanto vocês gastam em eventos de lançamento?</t>
  </si>
  <si>
    <t xml:space="preserve">A montadora define o padrão do showroom.</t>
  </si>
  <si>
    <t xml:space="preserve">O painel recebe o conteúdo oficial da montadora e respeita o padrão visual. Podemos apresentar a proposta junto à regional da marca.</t>
  </si>
  <si>
    <t xml:space="preserve">Conversão de visita em venda, leads de eventos, tempo de permanência no showroom.</t>
  </si>
  <si>
    <t xml:space="preserve">Demonstração no showroom LedWave com conteúdo da marca do cliente.</t>
  </si>
  <si>
    <t xml:space="preserve">Status; Experiência; Branding</t>
  </si>
  <si>
    <t xml:space="preserve">Preço; Momento financeiro; Gestão de conteúdo</t>
  </si>
  <si>
    <t xml:space="preserve">Construtoras e Stands de Vendas</t>
  </si>
  <si>
    <t xml:space="preserve">Diretor de Incorporação, Diretor de Marketing, Gerente de Vendas imobiliárias</t>
  </si>
  <si>
    <t xml:space="preserve">Vender na planta é vender algo que não existe. Maquete e perspectivas impressas não fazem o cliente se imaginar morando lá.</t>
  </si>
  <si>
    <t xml:space="preserve">Cada visita ao stand que sai sem emoção é uma unidade que vai para o concorrente. Ciclo de venda mais longo é custo financeiro.</t>
  </si>
  <si>
    <t xml:space="preserve">Fazer o cliente viver o empreendimento antes de ele existir.</t>
  </si>
  <si>
    <t xml:space="preserve">Seu cliente está comprando um sonho que ainda é um terreno. Como ele enxerga esse sonho hoje no seu stand?</t>
  </si>
  <si>
    <t xml:space="preserve">Visitante entra no stand, o painel abre a vista do 20º andar ao pôr do sol, depois a área de lazer com as crianças na piscina. Ele não vê uma planta; ele vê a vida dele.</t>
  </si>
  <si>
    <t xml:space="preserve">Vendas mais rápidas no lançamento; o painel acompanha os próximos empreendimentos (reaproveitamento entre stands).</t>
  </si>
  <si>
    <t xml:space="preserve">Stand com padrão de alto luxo, coerente com o ticket do imóvel; tapume digital que vira mídia na obra.</t>
  </si>
  <si>
    <t xml:space="preserve">Atualização de tabela, unidades disponíveis e condições em tempo real; locação para stands temporários.</t>
  </si>
  <si>
    <t xml:space="preserve">Ninguém compra metro quadrado. Compra o futuro que cabe nele.</t>
  </si>
  <si>
    <t xml:space="preserve">Vamos fazer o seu próximo lançamento ser visto antes de ser construído?</t>
  </si>
  <si>
    <t xml:space="preserve">Painel imersivo no stand, LED em tapume de obra, fachada do stand, locação para lançamentos.</t>
  </si>
  <si>
    <t xml:space="preserve">Artigo 'Painel de LED em estandes de construtoras' (calendário editorial). Inserir case.</t>
  </si>
  <si>
    <t xml:space="preserve">Quantos lançamentos estão previstos? Qual o VGV do próximo? Quanto tempo dura um stand? Vocês reaproveitam estrutura?</t>
  </si>
  <si>
    <t xml:space="preserve">O stand é temporário, não compensa comprar.</t>
  </si>
  <si>
    <t xml:space="preserve">Temos locação e também compra com reaproveitamento: o mesmo painel vai do stand para o próximo lançamento ou para o hall do prédio entregue.</t>
  </si>
  <si>
    <t xml:space="preserve">Velocidade de vendas (unidades/mês), conversão de visita em proposta, custo de stand por unidade vendida.</t>
  </si>
  <si>
    <t xml:space="preserve">Apresentar conceito imersivo para o próximo lançamento + comparativo compra x locação.</t>
  </si>
  <si>
    <t xml:space="preserve">Status; Retrofit / arquitetura; Experiência</t>
  </si>
  <si>
    <t xml:space="preserve">Forma de pagamento; Fabricação de estrutura metálica; Preço</t>
  </si>
  <si>
    <t xml:space="preserve">Franquias e Redes</t>
  </si>
  <si>
    <t xml:space="preserve">Franqueador (CEO, Diretor de Expansão, Marketing), franqueados master</t>
  </si>
  <si>
    <t xml:space="preserve">Garantir que a marca seja a mesma em 50, 200, 1.000 lojas. Campanhas chegam atrasadas, impressos são aplicados errado, cada franqueado faz de um jeito.</t>
  </si>
  <si>
    <t xml:space="preserve">Marca inconsistente perde valor e o franqueado perde venda; cada campanha impressa é custo multiplicado pelo número de lojas.</t>
  </si>
  <si>
    <t xml:space="preserve">Dar ao franqueador o controle da marca em todas as lojas e ao franqueado uma loja que vende mais.</t>
  </si>
  <si>
    <t xml:space="preserve">Se hoje você lança uma campanha nacional às 9h, a que horas ela está na última loja da rede?</t>
  </si>
  <si>
    <t xml:space="preserve">Rede com campanha de Dia dos Pais: com impresso, chega em semanas e cada loja aplica de um jeito; com LED em rede, um clique na central e todas as lojas do Brasil estão iguais no mesmo minuto.</t>
  </si>
  <si>
    <t xml:space="preserve">Campanhas no tempo certo vendem mais; padronização aumenta o ticket e a percepção de valor da marca.</t>
  </si>
  <si>
    <t xml:space="preserve">Experiência idêntica em qualquer cidade, fator de atração para novos franqueados.</t>
  </si>
  <si>
    <t xml:space="preserve">Gestão centralizada de conteúdo, kit padrão de tela para novas unidades, fim da logística de impressos.</t>
  </si>
  <si>
    <t xml:space="preserve">Uma marca, mil lojas, um clique.</t>
  </si>
  <si>
    <t xml:space="preserve">Vamos colocar o padrão LedWave no seu kit de abertura de loja?</t>
  </si>
  <si>
    <t xml:space="preserve">Kit de LED padrão por formato de loja, menu boards, vitrine digital, gestão de conteúdo em rede.</t>
  </si>
  <si>
    <t xml:space="preserve">Parceira da ABF Expo; LedCast com Buddha Spa e Farmelhor; Convenção ABF do Franchising.</t>
  </si>
  <si>
    <t xml:space="preserve">Quantas lojas e quantas aberturas previstas no ano? Quanto custa uma campanha impressa para toda a rede? Quem paga, franqueador ou franqueado?</t>
  </si>
  <si>
    <t xml:space="preserve">O franqueado não vai querer pagar.</t>
  </si>
  <si>
    <t xml:space="preserve">Mostramos ao franqueado a conta: economia de impressos + venda adicional. E temos modelos de financiamento e de kit de abertura que diluem o investimento.</t>
  </si>
  <si>
    <t xml:space="preserve">Tempo de rollout de campanha, aderência ao padrão, vendas por loja, custo de comunicação por unidade.</t>
  </si>
  <si>
    <t xml:space="preserve">Projeto de kit padrão para o modelo de loja do cliente + piloto em lojas próprias.</t>
  </si>
  <si>
    <t xml:space="preserve">Branding; Eficiência operacional; Trade</t>
  </si>
  <si>
    <t xml:space="preserve">Forma de pagamento; Crédito; Gestão de conteúdo</t>
  </si>
  <si>
    <t xml:space="preserve">Bares, Restaurantes e Food Service</t>
  </si>
  <si>
    <t xml:space="preserve">Proprietário, sócio-operador, Diretor de Marketing de rede de alimentação</t>
  </si>
  <si>
    <t xml:space="preserve">Cardápio impresso desatualizado, preços que mudam com o custo dos insumos e pouca visibilidade dos pratos de maior margem.</t>
  </si>
  <si>
    <t xml:space="preserve">Cada reimpressão de cardápio é custo; cada cliente que pede o prato de menor margem por falta de destaque é lucro perdido.</t>
  </si>
  <si>
    <t xml:space="preserve">Fazer o cardápio vender: mostrar o prato certo, na hora certa, com a cara de dar água na boca.</t>
  </si>
  <si>
    <t xml:space="preserve">Qual é o prato com a melhor margem da sua casa? E ele é o que mais aparece para o cliente?</t>
  </si>
  <si>
    <t xml:space="preserve">Happy hour: às 17h o menu board muda sozinho para chopp e petiscos; no almoço, o executivo; à noite, o prato assinatura em vídeo. O cardápio trabalha por turno.</t>
  </si>
  <si>
    <t xml:space="preserve">Destaque dos itens de maior margem, combos e upsell; transmissão de jogos e eventos que enchem a casa.</t>
  </si>
  <si>
    <t xml:space="preserve">Ambiente moderno e instagramável; fachada que chama de longe.</t>
  </si>
  <si>
    <t xml:space="preserve">Preço atualizado em minutos, sem reimpressão; programação automática por horário.</t>
  </si>
  <si>
    <t xml:space="preserve">Prato que não é visto não é pedido.</t>
  </si>
  <si>
    <t xml:space="preserve">Vamos colocar o seu cardápio para vender sozinho?</t>
  </si>
  <si>
    <t xml:space="preserve">Menu boards em LED, painel de fachada, telão para jogos e eventos, painéis decorativos.</t>
  </si>
  <si>
    <t xml:space="preserve">Participação na Abrasel. Inserir case de restaurante/rede.</t>
  </si>
  <si>
    <t xml:space="preserve">Quantas vezes por ano vocês reimprimem o cardápio? Transmitem jogos? Qual a diferença de margem entre o prato mais pedido e o mais lucrativo?</t>
  </si>
  <si>
    <t xml:space="preserve">Meu restaurante é pequeno para isso.</t>
  </si>
  <si>
    <t xml:space="preserve">O painel é dimensionado para o seu espaço. Começamos pelo menu board ou pela fachada, onde o retorno é mais rápido.</t>
  </si>
  <si>
    <t xml:space="preserve">Ticket médio, vendas dos itens destacados, economia com impressão, ocupação em dias de evento.</t>
  </si>
  <si>
    <t xml:space="preserve">Simulação do menu board com o cardápio real do cliente.</t>
  </si>
  <si>
    <t xml:space="preserve">Entretenimento; Experiência; Eficiência operacional</t>
  </si>
  <si>
    <t xml:space="preserve">Preço; Fobia digital; Momento financeiro</t>
  </si>
  <si>
    <t xml:space="preserve">Igrejas e Centros Religiosos</t>
  </si>
  <si>
    <t xml:space="preserve">Pastor/Padre responsável, Conselho/Diretoria, Ministério de Mídia e Louvor</t>
  </si>
  <si>
    <t xml:space="preserve">A mensagem precisa alcançar todos, do primeiro ao último banco e também quem assiste online. Projetores perdem brilho, letra de louvor não se lê, e a transmissão fica pobre.</t>
  </si>
  <si>
    <t xml:space="preserve">Quem não enxerga e não escuta se desconecta. A nova geração está acostumada com telas de alta qualidade e compara.</t>
  </si>
  <si>
    <t xml:space="preserve">Levar a mensagem com clareza a cada pessoa, presente ou online, e criar um ambiente de acolhimento e celebração.</t>
  </si>
  <si>
    <t xml:space="preserve">Quem está no último banco da sua igreja vê o culto com a mesma clareza de quem está na primeira fila?</t>
  </si>
  <si>
    <t xml:space="preserve">O mesmo culto com projetor (imagem lavada, luz acesa atrapalhando) e com painel de LED (letra nítida, imagem do pregador ampliada, transmissão bonita). A mensagem é a mesma; o alcance muda.</t>
  </si>
  <si>
    <t xml:space="preserve">Mais engajamento e permanência dos membros, eventos e conferências que atraem visitantes, transmissão de melhor qualidade que amplia o alcance.</t>
  </si>
  <si>
    <t xml:space="preserve">Louvor com letras legíveis, imagem ampliada do pregador, cenografia para datas especiais (Páscoa, Natal, conferências).</t>
  </si>
  <si>
    <t xml:space="preserve">Não depende de escurecer o templo, sem troca de lâmpadas de projetor, vida útil longa, suporte técnico.</t>
  </si>
  <si>
    <t xml:space="preserve">A mensagem merece ser vista por todos, do altar ao último banco.</t>
  </si>
  <si>
    <t xml:space="preserve">Vamos levar a sua mensagem com a clareza que ela merece?</t>
  </si>
  <si>
    <t xml:space="preserve">Painel de LED de palco (indoor, pixel pitch conforme distância), painéis laterais, telão para eventos (locação), fachada para comunicação com a comunidade.</t>
  </si>
  <si>
    <t xml:space="preserve">Expo Cristã SP; artigo 'Painel de LED para Igrejas'. Inserir case de igreja.</t>
  </si>
  <si>
    <t xml:space="preserve">Qual a distância do palco até o último banco? Vocês transmitem online? Quantos eventos especiais por ano? Como decidem investimentos (conselho, campanha)?</t>
  </si>
  <si>
    <t xml:space="preserve">Precisamos aprovar com a comunidade / fazer campanha de arrecadação.</t>
  </si>
  <si>
    <t xml:space="preserve">Preparamos material para a apresentação ao conselho e à comunidade, com simulação do templo, e opções de parcelamento compatíveis com campanhas.</t>
  </si>
  <si>
    <t xml:space="preserve">Legibilidade/visibilidade em todos os assentos, audiência online, participação em eventos.</t>
  </si>
  <si>
    <t xml:space="preserve">Visita técnica ao templo para medir distâncias e simular o painel ideal.</t>
  </si>
  <si>
    <t xml:space="preserve">Insumo de trabalho; Experiência; Entretenimento</t>
  </si>
  <si>
    <t xml:space="preserve">Forma de pagamento; Insegurança técnica; Aprovação por financeiro</t>
  </si>
  <si>
    <t xml:space="preserve">Gerente Geral, Diretor Comercial/Eventos, Presidente de clube, Diretor de Lazer</t>
  </si>
  <si>
    <t xml:space="preserve">Disputa por eventos corporativos e sociais, áreas de lazer sem experiência diferenciada e comunicação com hóspedes/associados dispersa.</t>
  </si>
  <si>
    <t xml:space="preserve">O evento corporativo vai para o concorrente que tem estrutura pronta; o associado/hóspede não percebe o valor do que paga.</t>
  </si>
  <si>
    <t xml:space="preserve">Transformar espaços em experiências: eventos mais fortes, lazer memorável e comunicação que encanta.</t>
  </si>
  <si>
    <t xml:space="preserve">Quando uma empresa escolhe onde fazer a convenção anual, o que faz ela escolher o seu espaço e não o do concorrente?</t>
  </si>
  <si>
    <t xml:space="preserve">Piscina com painel à noite: cinema ao ar livre, jogo da Seleção, festa temática. O mesmo espaço vira três produtos diferentes na mesma semana.</t>
  </si>
  <si>
    <t xml:space="preserve">Locação de salões com estrutura de LED inclusa (valor agregado ao pacote), eventos temáticos que geram receita extra, patrocínio.</t>
  </si>
  <si>
    <t xml:space="preserve">Experiências únicas na área de lazer, wayfinding e boas-vindas personalizadas.</t>
  </si>
  <si>
    <t xml:space="preserve">Estrutura fixa elimina locação a cada evento; painéis outdoor resistentes para áreas abertas.</t>
  </si>
  <si>
    <t xml:space="preserve">Espaço sem experiência é só metro quadrado.</t>
  </si>
  <si>
    <t xml:space="preserve">Vamos transformar o seu espaço no lugar que todo mundo quer reservar?</t>
  </si>
  <si>
    <t xml:space="preserve">Painéis fixos para salões de eventos, LED outdoor para piscinas e áreas abertas, totens de comunicação, telões para jogos.</t>
  </si>
  <si>
    <t xml:space="preserve">Campanha Google Ads 'Parques, Clubes e Hotéis' (segmento com alta qualificação). Artigo 'Painel de LED para Piscinas'. Inserir case.</t>
  </si>
  <si>
    <t xml:space="preserve">Quantos eventos por mês? Quanto vocês gastam ou repassam em locação de telão? Que experiências oferecem hoje na área de lazer?</t>
  </si>
  <si>
    <t xml:space="preserve">Já alugamos telão quando há evento.</t>
  </si>
  <si>
    <t xml:space="preserve">Somando as locações de um ano, o painel próprio costuma se pagar rápido, e ainda vira diferencial de venda do seu espaço. Vamos fazer essa conta com os seus números?</t>
  </si>
  <si>
    <t xml:space="preserve">Taxa de ocupação de salões, receita por evento, satisfação de hóspedes/associados, economia com locação.</t>
  </si>
  <si>
    <t xml:space="preserve">Levantamento de eventos dos últimos 12 meses para cálculo de compra x locação.</t>
  </si>
  <si>
    <t xml:space="preserve">Entretenimento; Experiência; Status</t>
  </si>
  <si>
    <t xml:space="preserve">Beto Carrero World; Rosewood; Animalia</t>
  </si>
  <si>
    <t xml:space="preserve">Consumo de energia; Manutenção; Momento financeiro</t>
  </si>
  <si>
    <t xml:space="preserve">Eventos, Agências e Produtoras</t>
  </si>
  <si>
    <t xml:space="preserve">Sócio da produtora/agência, Diretor de Produção, Diretor de Criação</t>
  </si>
  <si>
    <t xml:space="preserve">Prazo curto, cliente exigente e fornecedor que falha na montagem. Um painel com falha ao vivo queima a reputação da agência.</t>
  </si>
  <si>
    <t xml:space="preserve">Um evento que dá errado custa o cliente inteiro, não só aquele job.</t>
  </si>
  <si>
    <t xml:space="preserve">Ser o parceiro que garante que a ideia da agência apareça ao vivo exatamente como foi criada.</t>
  </si>
  <si>
    <t xml:space="preserve">Qual foi o pior momento técnico que você já viveu ao vivo num evento? Nosso trabalho é que ele nunca se repita.</t>
  </si>
  <si>
    <t xml:space="preserve">Circuito LedWave da Copa: ativações que movimentaram o mercado e elevaram a demanda por painéis de LED em 50%. Escala, prazo e operação ao vivo são o nosso dia a dia.</t>
  </si>
  <si>
    <t xml:space="preserve">Estoque, logística e equipe técnica próprios permitem atender jobs grandes e simultâneos, com margem previsível para a agência.</t>
  </si>
  <si>
    <t xml:space="preserve">Formatos criativos (curvos, 3D, piso, transparente) que fazem a ativação ser lembrada.</t>
  </si>
  <si>
    <t xml:space="preserve">Montagem, operação e backup técnico com equipe LedWave; presença em várias praças (Goiânia, SP, Brasília, EUA).</t>
  </si>
  <si>
    <t xml:space="preserve">Ao vivo não tem segunda chance. Tem LedWave.</t>
  </si>
  <si>
    <t xml:space="preserve">Qual é o próximo grande job? Vamos montar juntos?</t>
  </si>
  <si>
    <t xml:space="preserve">Locação de painéis indoor/outdoor, formatos especiais, operação técnica e conteúdo.</t>
  </si>
  <si>
    <t xml:space="preserve">Circuito LedWave da Copa (+50% demanda, imprensa). Eventos SA+ (fóruns regionais), NRF 2026.</t>
  </si>
  <si>
    <t xml:space="preserve">Quantos eventos por mês? Quais formatos o cliente mais pede? Quem é seu fornecedor hoje e o que falta nele?</t>
  </si>
  <si>
    <t xml:space="preserve">Tenho fornecedor mais barato.</t>
  </si>
  <si>
    <t xml:space="preserve">Mais barato até o momento em que a tela apaga ao vivo. Compare estoque, equipe técnica, backup e histórico de entregas. Segurança também tem preço, e ela é mais barata que perder um cliente.</t>
  </si>
  <si>
    <t xml:space="preserve">Uptime ao vivo, prazo de montagem cumprido, recompra de clientes da agência.</t>
  </si>
  <si>
    <t xml:space="preserve">Cadastro como parceiro preferencial + tabela de locação para o próximo trimestre.</t>
  </si>
  <si>
    <t xml:space="preserve">Insumo de trabalho; Entretenimento; Experiência</t>
  </si>
  <si>
    <t xml:space="preserve">Preço; SLA; Concorrência</t>
  </si>
  <si>
    <t xml:space="preserve">Corporativo (Comunicação Interna e Recepções)</t>
  </si>
  <si>
    <t xml:space="preserve">Diretor de RH/Comunicação Interna, Facilities, CEO, Marketing institucional</t>
  </si>
  <si>
    <t xml:space="preserve">Comunicação interna que ninguém lê (e-mail, mural, intranet). Recepção e auditório que não refletem o tamanho e a inovação da empresa.</t>
  </si>
  <si>
    <t xml:space="preserve">Colaborador desinformado é colaborador desengajado; visitante que entra numa recepção comum não sente a grandeza da empresa.</t>
  </si>
  <si>
    <t xml:space="preserve">Fazer a cultura da empresa ser vista e vivida todos os dias, por quem trabalha e por quem visita.</t>
  </si>
  <si>
    <t xml:space="preserve">Se um investidor entrasse hoje na sua recepção, em quantos segundos ele entenderia quem vocês são?</t>
  </si>
  <si>
    <t xml:space="preserve">Fábrica com 2.000 colaboradores: metas de segurança, aniversariantes e resultados no painel do refeitório. A informação chega a quem não tem e-mail corporativo.</t>
  </si>
  <si>
    <t xml:space="preserve">Engajamento e produtividade, redução de acidentes com comunicação de segurança, impacto em visitantes e clientes.</t>
  </si>
  <si>
    <t xml:space="preserve">Recepção e auditório com padrão de empresa global; eventos internos e convenções com estrutura própria.</t>
  </si>
  <si>
    <t xml:space="preserve">Gestão centralizada de mensagens para várias unidades; substitui murais e impressos.</t>
  </si>
  <si>
    <t xml:space="preserve">Cultura que não se vê não se vive.</t>
  </si>
  <si>
    <t xml:space="preserve">Vamos fazer a sua empresa contar a própria história todos os dias?</t>
  </si>
  <si>
    <t xml:space="preserve">Painel de recepção, auditório e sala de convenção, painéis em refeitórios/fábricas, videowall de comando.</t>
  </si>
  <si>
    <t xml:space="preserve">Artigo LedWave 'A comunicação interna como pilar estratégico'. Inserir case corporativo.</t>
  </si>
  <si>
    <t xml:space="preserve">Como a comunicação chega hoje a quem não tem e-mail? Quantas unidades? Quantos eventos internos por ano?</t>
  </si>
  <si>
    <t xml:space="preserve">Não é prioridade no orçamento deste ano.</t>
  </si>
  <si>
    <t xml:space="preserve">Podemos começar pelo ponto de maior impacto (recepção ou fábrica) e planejar as próximas fases para o orçamento seguinte.</t>
  </si>
  <si>
    <t xml:space="preserve">Alcance da comunicação interna, engajamento em pesquisas de clima, indicadores de segurança.</t>
  </si>
  <si>
    <t xml:space="preserve">Diagnóstico de pontos de comunicação da empresa + proposta em fases.</t>
  </si>
  <si>
    <t xml:space="preserve">Branding; Status; Retrofit / arquitetura</t>
  </si>
  <si>
    <t xml:space="preserve">Aprovação por financeiro; Gestão de conteúdo; Percepção de valor</t>
  </si>
  <si>
    <t xml:space="preserve">Educação (Escolas, Faculdades e Universidades)</t>
  </si>
  <si>
    <t xml:space="preserve">Mantenedor, Diretor Geral, Diretor de Marketing/Captação, Coordenador de TI</t>
  </si>
  <si>
    <t xml:space="preserve">Concorrência forte na captação de alunos, pais que comparam infraestrutura e comunicação com alunos que não chega.</t>
  </si>
  <si>
    <t xml:space="preserve">A família escolhe a escola em uma visita. Infraestrutura que parece antiga perde matrícula.</t>
  </si>
  <si>
    <t xml:space="preserve">Mostrar na prática que a instituição prepara para o futuro e informa a comunidade escolar com eficiência.</t>
  </si>
  <si>
    <t xml:space="preserve">Na visita de um pai à sua escola, o que mostra a ele que o filho vai estudar no futuro e não no passado?</t>
  </si>
  <si>
    <t xml:space="preserve">Auditório com painel de LED: formatura, feira de ciências, palestra e transmissão para a família que mora em outra cidade. Um investimento, dezenas de momentos que a família não esquece.</t>
  </si>
  <si>
    <t xml:space="preserve">Captação e retenção de alunos, eventos e formaturas com estrutura própria, locação do auditório para terceiros.</t>
  </si>
  <si>
    <t xml:space="preserve">Ambiente moderno, ensino com conteúdo visual de impacto, eventos memoráveis.</t>
  </si>
  <si>
    <t xml:space="preserve">Comunicação de avisos, horários e campanhas em todo o campus; substitui murais.</t>
  </si>
  <si>
    <t xml:space="preserve">Escola que mostra o futuro forma para o futuro.</t>
  </si>
  <si>
    <t xml:space="preserve">Vamos fazer a próxima visita de pais terminar em matrícula?</t>
  </si>
  <si>
    <t xml:space="preserve">Painel de auditório, LED de fachada e pátio, totens informativos, painéis para ginásio.</t>
  </si>
  <si>
    <t xml:space="preserve">Inserir case educacional.</t>
  </si>
  <si>
    <t xml:space="preserve">Quantas visitas de captação por ano e qual a conversão? Vocês têm auditório? Quantos eventos por ano?</t>
  </si>
  <si>
    <t xml:space="preserve">Orçamento de escola é apertado.</t>
  </si>
  <si>
    <t xml:space="preserve">Por isso olhamos para o retorno: uma matrícula a mais por turma já paga parte do investimento, e o auditório pode gerar receita com locação.</t>
  </si>
  <si>
    <t xml:space="preserve">Conversão de visitas em matrícula, uso do auditório, alcance de comunicados.</t>
  </si>
  <si>
    <t xml:space="preserve">Visita técnica ao auditório/pátio + simulação de payback por matrícula.</t>
  </si>
  <si>
    <t xml:space="preserve">Insumo de trabalho; Experiência; Status</t>
  </si>
  <si>
    <t xml:space="preserve">Momento financeiro; Forma de pagamento; Fobia digital</t>
  </si>
  <si>
    <t xml:space="preserve">Saúde (Hospitais, Clínicas e Laboratórios)</t>
  </si>
  <si>
    <t xml:space="preserve">Diretor Administrativo, Diretor de Marketing, Gerente de Hotelaria Hospitalar</t>
  </si>
  <si>
    <t xml:space="preserve">Sala de espera ansiosa, informação desencontrada e marca que precisa transmitir confiança e tecnologia.</t>
  </si>
  <si>
    <t xml:space="preserve">Paciente ansioso tem percepção pior do atendimento; percepção ruim vira avaliação negativa e perda de convênio/particular.</t>
  </si>
  <si>
    <t xml:space="preserve">Acolher o paciente com informação clara, reduzir a ansiedade da espera e mostrar a tecnologia que existe por trás do cuidado.</t>
  </si>
  <si>
    <t xml:space="preserve">Quanto tempo o seu paciente espera, e o que ele sente nesse tempo?</t>
  </si>
  <si>
    <t xml:space="preserve">Recepção de laboratório: chamada por senha clara, tempo estimado, conteúdo de prevenção e a apresentação dos novos exames. A mesma espera, outra experiência.</t>
  </si>
  <si>
    <t xml:space="preserve">Divulgação de serviços e check-ups (cross-sell), patrocínio de indústria farmacêutica/saúde quando permitido.</t>
  </si>
  <si>
    <t xml:space="preserve">Ambiente acolhedor e moderno, comunicação de prevenção, sinalização clara.</t>
  </si>
  <si>
    <t xml:space="preserve">Chamada de pacientes e wayfinding integrados, atualização remota em todas as unidades.</t>
  </si>
  <si>
    <t xml:space="preserve">Tecnologia que cuida começa na recepção.</t>
  </si>
  <si>
    <t xml:space="preserve">Vamos transformar a espera do seu paciente em cuidado?</t>
  </si>
  <si>
    <t xml:space="preserve">Painéis de recepção e chamada, totens de wayfinding, fachada, painéis em auditório para congressos.</t>
  </si>
  <si>
    <t xml:space="preserve">Inserir case de saúde.</t>
  </si>
  <si>
    <t xml:space="preserve">Qual o tempo médio de espera? Quantas unidades? Como os pacientes avaliam a recepção hoje?</t>
  </si>
  <si>
    <t xml:space="preserve">Ambiente de saúde tem restrições técnicas e normativas.</t>
  </si>
  <si>
    <t xml:space="preserve">Dimensionamos brilho, instalação e conteúdo para o ambiente, seguindo as normas e as orientações da equipe de engenharia clínica.</t>
  </si>
  <si>
    <t xml:space="preserve">NPS da recepção, percepção de tempo de espera, vendas de check-ups divulgados.</t>
  </si>
  <si>
    <t xml:space="preserve">Diagnóstico de jornada do paciente na unidade principal.</t>
  </si>
  <si>
    <t xml:space="preserve">Eficiência operacional; Experiência; Branding</t>
  </si>
  <si>
    <t xml:space="preserve">Insegurança técnica; Aprovação por financeiro; Consumo de energia</t>
  </si>
  <si>
    <t xml:space="preserve">Arenas, Estádios, Academias e Esportes</t>
  </si>
  <si>
    <t xml:space="preserve">Presidente/Diretor de clube, Gestor de arena, Dono de rede de academias, Marketing esportivo</t>
  </si>
  <si>
    <t xml:space="preserve">Patrocinador quer exposição medida, torcedor quer espetáculo e academia precisa reter aluno num mercado de preço.</t>
  </si>
  <si>
    <t xml:space="preserve">Placa estática vende uma marca por vez; painel digital vende várias. Quem não digitaliza deixa receita de patrocínio na mesa.</t>
  </si>
  <si>
    <t xml:space="preserve">Transformar cada jogo, aula e treino em espetáculo e cada metro de placa em receita de patrocínio.</t>
  </si>
  <si>
    <t xml:space="preserve">Quantos patrocinadores cabem em uma placa estática? E em um painel de LED?</t>
  </si>
  <si>
    <t xml:space="preserve">Placa de campo digital: no mesmo jogo, 20 patrocinadores em rotação, replay, gol em animação e a torcida filmando. O espaço é o mesmo; a receita multiplica.</t>
  </si>
  <si>
    <t xml:space="preserve">Mais cotas de patrocínio no mesmo espaço, ativações e naming de momentos (gol, intervalo).</t>
  </si>
  <si>
    <t xml:space="preserve">Espetáculo para torcedor e aluno; aulas coletivas imersivas; telão em arena.</t>
  </si>
  <si>
    <t xml:space="preserve">Gestão de inserções e comprovação para patrocinadores; painéis resistentes para uso intenso.</t>
  </si>
  <si>
    <t xml:space="preserve">Placa estática vende uma marca. LED vende o jogo inteiro.</t>
  </si>
  <si>
    <t xml:space="preserve">Vamos multiplicar a receita do seu espaço sem aumentar um metro?</t>
  </si>
  <si>
    <t xml:space="preserve">Placas de campo (perimetrais), telões de arena, painéis para academias e salas de aulas coletivas.</t>
  </si>
  <si>
    <t xml:space="preserve">Circuito LedWave da Copa. Inserir case esportivo.</t>
  </si>
  <si>
    <t xml:space="preserve">Quantos patrocinadores vocês têm e quantos querem ter? Quantos jogos/eventos por ano? Como comprovam exposição?</t>
  </si>
  <si>
    <t xml:space="preserve">O investimento inicial é alto para o clube.</t>
  </si>
  <si>
    <t xml:space="preserve">Desenhamos o projeto com os patrocinadores: as novas cotas digitais ajudam a pagar o painel. Podemos estruturar a conta com o seu comercial.</t>
  </si>
  <si>
    <t xml:space="preserve">Número de cotas vendidas, receita de patrocínio, retenção de alunos, público.</t>
  </si>
  <si>
    <t xml:space="preserve">Simulação de inventário de patrocínio digital com os números do clube/arena.</t>
  </si>
  <si>
    <t xml:space="preserve">Entretenimento; Mídia; Experiência</t>
  </si>
  <si>
    <t xml:space="preserve">Crédito; Manutenção; Fabricação de estrutura metálica</t>
  </si>
  <si>
    <t xml:space="preserve">Secretário (Comunicação, Turismo, Mobilidade), Prefeito, Concessionárias de mobiliário urbano</t>
  </si>
  <si>
    <t xml:space="preserve">Comunicar com o cidadão de forma rápida (alertas, serviços, eventos) e modernizar a cidade com orçamento limitado.</t>
  </si>
  <si>
    <t xml:space="preserve">Comunicação lenta em emergências e cidade que não se valoriza turisticamente.</t>
  </si>
  <si>
    <t xml:space="preserve">Uma cidade que informa, acolhe e se orgulha: tecnologia a serviço do cidadão.</t>
  </si>
  <si>
    <t xml:space="preserve">Em uma emergência na sua cidade, quanto tempo leva para o cidadão na rua receber a informação?</t>
  </si>
  <si>
    <t xml:space="preserve">Brasília ganhou um ícone: o Boulevard.Live, o maior painel de LED da América Latina. Um painel bem posicionado vira ponto turístico, canal de utilidade pública e mídia.</t>
  </si>
  <si>
    <t xml:space="preserve">Modelos de concessão/PPP em que a mídia comercial custeia o equipamento e o espaço público.</t>
  </si>
  <si>
    <t xml:space="preserve">Valorização turística, eventos públicos, orgulho da cidade.</t>
  </si>
  <si>
    <t xml:space="preserve">Comunicação de utilidade pública em tempo real (trânsito, defesa civil, saúde).</t>
  </si>
  <si>
    <t xml:space="preserve">Cidade que informa é cidade que cuida.</t>
  </si>
  <si>
    <t xml:space="preserve">Vamos desenhar juntos o modelo que moderniza a cidade sem pesar no orçamento?</t>
  </si>
  <si>
    <t xml:space="preserve">Mobiliário urbano digital, painéis de utilidade pública, telões para eventos públicos, painéis de turismo.</t>
  </si>
  <si>
    <t xml:space="preserve">Boulevard.Live (1.125 m²); artigo 'Inovação no mobiliário urbano com painéis de LED'; equipe de licitações.</t>
  </si>
  <si>
    <t xml:space="preserve">Quais canais vocês usam para alertas hoje? Existem concessões de mobiliário urbano em andamento? Há eventos públicos recorrentes?</t>
  </si>
  <si>
    <t xml:space="preserve">Precisa passar por licitação.</t>
  </si>
  <si>
    <t xml:space="preserve">Temos equipe dedicada a licitações e apoiamos na especificação técnica correta, para que a cidade compre qualidade e não apenas o menor preço.</t>
  </si>
  <si>
    <t xml:space="preserve">Alcance da comunicação pública, receita de concessão, eventos realizados.</t>
  </si>
  <si>
    <t xml:space="preserve">Reunião técnica para apoiar termo de referência ou estudo de concessão.</t>
  </si>
  <si>
    <t xml:space="preserve">Mídia; Experiência; Retrofit / arquitetura</t>
  </si>
  <si>
    <t xml:space="preserve">Política local / licenças; Consumo de energia; SLA</t>
  </si>
  <si>
    <t xml:space="preserve">SPIN Selling por Nicho: perguntas inteligentes</t>
  </si>
  <si>
    <t xml:space="preserve">Situação → Problema → Implicação → Necessidade de solução. Faça poucas de Situação (pesquise antes) e mais de Implicação.</t>
  </si>
  <si>
    <t xml:space="preserve">S · Situação (contexto, pesquise antes)</t>
  </si>
  <si>
    <t xml:space="preserve">P · Problema (onde dói)</t>
  </si>
  <si>
    <t xml:space="preserve">I · Implicação (quanto custa a dor)</t>
  </si>
  <si>
    <t xml:space="preserve">N · Necessidade (o cliente diz o valor)</t>
  </si>
  <si>
    <t xml:space="preserve">Pergunta nova do gestor</t>
  </si>
  <si>
    <t xml:space="preserve">Quantas lojas vocês têm e quantas trocas de coleção/campanha fazem por ano? Como a vitrine é produzida hoje?</t>
  </si>
  <si>
    <t xml:space="preserve">O que mais atrasa ou encarece uma troca de vitrine? Já perderam uma promoção por não dar tempo de imprimir?</t>
  </si>
  <si>
    <t xml:space="preserve">Se a vitrine fica a mesma por semanas, o que acontece com o fluxo de quem passa todo dia na frente? Quanto isso pesa na venda da coleção nova?</t>
  </si>
  <si>
    <t xml:space="preserve">Se você pudesse trocar a vitrine de todas as lojas pelo celular, em minutos, o que faria diferente na próxima campanha?</t>
  </si>
  <si>
    <t xml:space="preserve">Quantas lojas e checkouts? Como as ofertas são comunicadas hoje? A indústria investe em trade nas suas lojas?</t>
  </si>
  <si>
    <t xml:space="preserve">Quanto tempo leva para uma oferta sair do comercial e chegar à gôndola? O fornecedor pede comprovação de exposição?</t>
  </si>
  <si>
    <t xml:space="preserve">Quanto de verba de trade vira papel que ninguém mede? Quanto você deixa de faturar por não vender mídia dentro da loja?</t>
  </si>
  <si>
    <t xml:space="preserve">Se as telas fossem pagas pela indústria e ainda gerassem receita, quantas lojas você colocaria no piloto?</t>
  </si>
  <si>
    <t xml:space="preserve">Quantas lojas, e quantas abrem por ano? Como funciona a parceria com a indústria hoje?</t>
  </si>
  <si>
    <t xml:space="preserve">Como vocês se diferenciam das farmácias concorrentes na mesma rua? Campanhas sazonais chegam a tempo em todas as lojas?</t>
  </si>
  <si>
    <t xml:space="preserve">Se o cliente escolhe a farmácia mais visível, quanto fluxo vocês perdem por ter fachada igual às outras? E quanto a indústria investiria se tivesse onde?</t>
  </si>
  <si>
    <t xml:space="preserve">Uma rede de telas que se paga com a indústria e destaca a sua fachada ajudaria na meta deste ano?</t>
  </si>
  <si>
    <t xml:space="preserve">Quantos postos, qual o fluxo diário da via, qual o peso da conveniência no resultado?</t>
  </si>
  <si>
    <t xml:space="preserve">Como o preço é atualizado hoje? A conveniência é vista da pista? Algum anunciante local já procurou vocês?</t>
  </si>
  <si>
    <t xml:space="preserve">Quantos motoristas passam reto por não verem o preço ou a oferta a tempo? Quanto vale um ponto a mais de conversão da pista?</t>
  </si>
  <si>
    <t xml:space="preserve">Se o mesmo totem mostrasse preço, promoção da conveniência e ainda vendesse mídia, como isso mudaria a margem do posto?</t>
  </si>
  <si>
    <t xml:space="preserve">Quantos pontos opera, em quais praças, com que ocupação média? Quem é seu fornecedor atual?</t>
  </si>
  <si>
    <t xml:space="preserve">Quanto tempo de tela apagada teve no último ano? Qual a maior dificuldade: ponto, licenciamento, venda ou manutenção?</t>
  </si>
  <si>
    <t xml:space="preserve">Quanto custou em receita cada dia de tela apagada? Quantos pontos bons a concorrência ocupou enquanto você decidia?</t>
  </si>
  <si>
    <t xml:space="preserve">Um parceiro que fabrica, mantém e entende de operação de mídia aceleraria o seu plano de expansão?</t>
  </si>
  <si>
    <t xml:space="preserve">Qual o fluxo mensal, quais as datas mais fortes e como está a receita de mall media?</t>
  </si>
  <si>
    <t xml:space="preserve">O mall media atual é fácil de vender? O shopping tem um ponto de experiência que gera visita espontânea?</t>
  </si>
  <si>
    <t xml:space="preserve">Se o shopping não é destino, quanto da visita migra para o online ou para o concorrente? Quanto inventário de mídia fica sem venda?</t>
  </si>
  <si>
    <t xml:space="preserve">Uma experiência-âncora que gera fluxo e mídia premium ajudaria no próximo Natal?</t>
  </si>
  <si>
    <t xml:space="preserve">Quantas lojas e marcas? Quantos lançamentos por ano? Como é o showroom hoje?</t>
  </si>
  <si>
    <t xml:space="preserve">O cliente chega já decidido pela internet? O que o showroom oferece que o site não oferece?</t>
  </si>
  <si>
    <t xml:space="preserve">Quantas vendas se perdem quando o cliente sai do showroom sem emoção? Quanto custa cada evento de lançamento sem estrutura própria?</t>
  </si>
  <si>
    <t xml:space="preserve">Se o showroom pudesse colocar o cliente na estrada antes do test-drive, como isso afetaria a conversão?</t>
  </si>
  <si>
    <t xml:space="preserve">Quantos lançamentos e qual o VGV do próximo? Quanto tempo dura um stand?</t>
  </si>
  <si>
    <t xml:space="preserve">O visitante entende o empreendimento só com maquete e perspectivas? Qual a conversão de visita em proposta?</t>
  </si>
  <si>
    <t xml:space="preserve">Cada mês a mais de ciclo de vendas custa quanto em custo financeiro da obra? Quantas visitas saem sem se imaginar no imóvel?</t>
  </si>
  <si>
    <t xml:space="preserve">Se o stand fizesse o cliente viver o apartamento e o painel fosse reaproveitado nos próximos lançamentos, faria sentido avaliar?</t>
  </si>
  <si>
    <t xml:space="preserve">Quantas unidades, quantas aberturas previstas, qual o kit de abertura hoje?</t>
  </si>
  <si>
    <t xml:space="preserve">Quanto tempo leva para uma campanha nacional chegar a todas as lojas? Os franqueados aplicam o material corretamente?</t>
  </si>
  <si>
    <t xml:space="preserve">Qual o custo de uma campanha impressa multiplicado pelo número de lojas? O que a inconsistência faz com o valor da marca?</t>
  </si>
  <si>
    <t xml:space="preserve">Se uma campanha chegasse a todas as lojas em um clique, padronizada, quanto isso valeria para a rede e para o franqueado?</t>
  </si>
  <si>
    <t xml:space="preserve">Quantas casas, quais turnos, transmitem jogos/eventos? Como é o cardápio hoje?</t>
  </si>
  <si>
    <t xml:space="preserve">Quantas vezes por ano reimprimem o cardápio? Os pratos de maior margem estão em destaque?</t>
  </si>
  <si>
    <t xml:space="preserve">Quanto deixam de ganhar quando o cliente pede o item de menor margem por falta de destaque? Quanto custam as reimpressões?</t>
  </si>
  <si>
    <t xml:space="preserve">Se o cardápio mudasse sozinho por turno e destacasse o que dá mais lucro, quanto isso mudaria no ticket médio?</t>
  </si>
  <si>
    <t xml:space="preserve">Qual a capacidade do templo e a distância do palco ao último banco? Vocês transmitem online? Usam projetor?</t>
  </si>
  <si>
    <t xml:space="preserve">Quem está no fundo consegue ler as letras e ver o pregador? A transmissão tem a qualidade que vocês gostariam?</t>
  </si>
  <si>
    <t xml:space="preserve">Quando as pessoas não enxergam bem, o que acontece com a participação no louvor e na mensagem? E com a audiência online?</t>
  </si>
  <si>
    <t xml:space="preserve">Se toda a comunidade, presente e online, visse a mensagem com clareza, como isso fortaleceria o ministério?</t>
  </si>
  <si>
    <t xml:space="preserve">Quantos eventos por mês, quais espaços, quanto gastam ou repassam em locação de telão?</t>
  </si>
  <si>
    <t xml:space="preserve">Já perderam eventos para concorrentes com melhor estrutura? A área de lazer tem programação noturna?</t>
  </si>
  <si>
    <t xml:space="preserve">Quanto somam as locações no ano? Quanto vale um evento corporativo perdido?</t>
  </si>
  <si>
    <t xml:space="preserve">Uma estrutura fixa que vira diferencial de venda e gera novos produtos de lazer faria sentido no plano do ano?</t>
  </si>
  <si>
    <t xml:space="preserve">Quantos eventos por mês, que formatos, quem fornece hoje?</t>
  </si>
  <si>
    <t xml:space="preserve">Já tiveram falha técnica ao vivo? O fornecedor atual dá conta de jobs simultâneos e de outras praças?</t>
  </si>
  <si>
    <t xml:space="preserve">O que uma falha ao vivo custou em relação com o cliente final? Quantos jobs deixaram de pegar por falta de estrutura?</t>
  </si>
  <si>
    <t xml:space="preserve">Um parceiro com estoque, equipe e backup próprios permitiria aceitar jobs maiores com tranquilidade?</t>
  </si>
  <si>
    <t xml:space="preserve">Quantas unidades e colaboradores? Quantos não têm e-mail corporativo? Como é a recepção e o auditório?</t>
  </si>
  <si>
    <t xml:space="preserve">A comunicação interna chega a todos? A recepção mostra quem vocês são?</t>
  </si>
  <si>
    <t xml:space="preserve">O que a falta de informação causa em engajamento, segurança e produtividade? Que impressão o visitante leva?</t>
  </si>
  <si>
    <t xml:space="preserve">Se a cultura e os resultados estivessem visíveis em todas as unidades, o que mudaria no clima e na percepção de clientes?</t>
  </si>
  <si>
    <t xml:space="preserve">Quantos alunos e unidades, quantas visitas de captação por ano, existe auditório?</t>
  </si>
  <si>
    <t xml:space="preserve">Qual a conversão de visita em matrícula? A infraestrutura é citada pelos pais como critério?</t>
  </si>
  <si>
    <t xml:space="preserve">Quanto vale cada matrícula perdida ao longo dos anos de curso? Quanto gastam em locação para formaturas e eventos?</t>
  </si>
  <si>
    <t xml:space="preserve">Se o auditório e o pátio mostrassem inovação na visita dos pais, como ficaria a captação?</t>
  </si>
  <si>
    <t xml:space="preserve">Quantas unidades, fluxo diário de pacientes e tempo médio de espera?</t>
  </si>
  <si>
    <t xml:space="preserve">Como os pacientes avaliam a recepção? A sinalização e a chamada são claras?</t>
  </si>
  <si>
    <t xml:space="preserve">O que a ansiedade na espera faz com o NPS e as avaliações online? Quantos serviços o paciente desconhece?</t>
  </si>
  <si>
    <t xml:space="preserve">Uma recepção que informa, acalma e divulga serviços ajudaria nas metas de satisfação e de receita?</t>
  </si>
  <si>
    <t xml:space="preserve">Quantos jogos/eventos/alunos? Quantos patrocinadores hoje e como entregam exposição?</t>
  </si>
  <si>
    <t xml:space="preserve">Há fila de patrocinadores sem espaço? O patrocinador pede comprovação?</t>
  </si>
  <si>
    <t xml:space="preserve">Quanto de receita de patrocínio fica na mesa por limitação de placas estáticas?</t>
  </si>
  <si>
    <t xml:space="preserve">Se o mesmo espaço comportasse 10x mais cotas com comprovação, quanto isso pagaria do investimento?</t>
  </si>
  <si>
    <t xml:space="preserve">Quais canais de comunicação com o cidadão existem? Há concessões ou projetos de cidade inteligente?</t>
  </si>
  <si>
    <t xml:space="preserve">A informação de emergência chega rápido a quem está na rua? A cidade tem pontos turísticos digitais?</t>
  </si>
  <si>
    <t xml:space="preserve">Quanto custa uma comunicação lenta em emergências? Quanto a cidade perde em turismo e eventos?</t>
  </si>
  <si>
    <t xml:space="preserve">Um modelo em que a mídia custeia o equipamento e a cidade ganha comunicação pública faria sentido?</t>
  </si>
  <si>
    <t xml:space="preserve">Orçar certo por nicho: o que levantar antes da proposta</t>
  </si>
  <si>
    <t xml:space="preserve">Proposta boa nasce de briefing bom. Use na visita técnica e na reunião de descoberta.</t>
  </si>
  <si>
    <t xml:space="preserve">Dados técnicos essenciais</t>
  </si>
  <si>
    <t xml:space="preserve">Qualificação (decisor, orçamento, prazo)</t>
  </si>
  <si>
    <t xml:space="preserve">Armadilhas de orçamento</t>
  </si>
  <si>
    <t xml:space="preserve">Medidas da vitrine; vidro (painel atrás do vidro = alto brilho ou LED transparente); incidência de sol; horário de funcionamento; distância da calçada; nº de lojas.</t>
  </si>
  <si>
    <t xml:space="preserve">Quem aprova (marketing ou dono)? Orçamento por loja ou para a rede? Data da próxima coleção?</t>
  </si>
  <si>
    <t xml:space="preserve">Orçar brilho de indoor para vitrine com sol direto; esquecer o calendário de coleções como prazo.</t>
  </si>
  <si>
    <t xml:space="preserve">Nº de lojas e checkouts; pontos (entrada, gôndola, checkout, fachada); infraestrutura de rede/energia; integração com preços.</t>
  </si>
  <si>
    <t xml:space="preserve">Trade/marketing ou operações decide? Indústria vai cofinanciar? Piloto em quantas lojas?</t>
  </si>
  <si>
    <t xml:space="preserve">Orçar só hardware sem modelo de retail media e gestão de conteúdo.</t>
  </si>
  <si>
    <t xml:space="preserve">Fachada (medidas, manual da marca); áreas internas; nº de lojas e aberturas; regras do franqueador.</t>
  </si>
  <si>
    <t xml:space="preserve">Franqueador aprova? Indústria cofinancia? Meta de rollout?</t>
  </si>
  <si>
    <t xml:space="preserve">Ignorar manual de marca e aprovação do franqueador.</t>
  </si>
  <si>
    <t xml:space="preserve">Totem existente (medidas, estrutura); distância e velocidade da via; exposição a sol/chuva (IP65); bandeira e regras da distribuidora.</t>
  </si>
  <si>
    <t xml:space="preserve">Proprietário decide sozinho? Bandeira exige padrão? Prazo da reforma?</t>
  </si>
  <si>
    <t xml:space="preserve">Pixel pitch fino demais (caro e desnecessário para leitura a distância); esquecer aprovação da bandeira.</t>
  </si>
  <si>
    <t xml:space="preserve">Ponto (endereço, fluxo, ângulo, distância); estrutura e laudo; licenciamento municipal; energia; horas de operação/dia.</t>
  </si>
  <si>
    <t xml:space="preserve">Capital próprio ou financiado? Expectativa de payback? Já tem anunciantes?</t>
  </si>
  <si>
    <t xml:space="preserve">Orçar o painel sem validar licença e estrutura; subestimar manutenção e uptime.</t>
  </si>
  <si>
    <t xml:space="preserve">Local (praça, empena, fachada); medidas; formato (curvo, 3D anamórfico); distância do público; integração com mall media.</t>
  </si>
  <si>
    <t xml:space="preserve">Superintendência ou administradora aprova? Orçamento CAPEX do ano? Data-alvo (Natal)?</t>
  </si>
  <si>
    <t xml:space="preserve">Perder a janela de aprovação do orçamento anual do shopping.</t>
  </si>
  <si>
    <t xml:space="preserve">Parede do showroom (medidas); distância de visualização; fachada; necessidade de painel móvel para eventos.</t>
  </si>
  <si>
    <t xml:space="preserve">Grupo ou loja decide? Montadora cofinancia? Próximo lançamento?</t>
  </si>
  <si>
    <t xml:space="preserve">Não envolver a regional da montadora.</t>
  </si>
  <si>
    <t xml:space="preserve">Medidas do stand e do tapume; tempo de permanência; reaproveitamento previsto; outdoor x indoor.</t>
  </si>
  <si>
    <t xml:space="preserve">Incorporação ou marketing decide? Compra ou locação? Data do lançamento?</t>
  </si>
  <si>
    <t xml:space="preserve">Orçar compra quando o caso é locação (ou vice-versa) sem mostrar o comparativo.</t>
  </si>
  <si>
    <t xml:space="preserve">Formatos de loja; nº de unidades e aberturas; padrão visual; quem paga (franqueador/franqueado).</t>
  </si>
  <si>
    <t xml:space="preserve">Diretor de expansão aprova kit? Fornecedor homologado? Financiamento ao franqueado?</t>
  </si>
  <si>
    <t xml:space="preserve">Orçar loja a loja em vez de um kit padrão homologado.</t>
  </si>
  <si>
    <t xml:space="preserve">Pontos (menu board, fachada, salão); medidas; distância do balcão; horas de operação.</t>
  </si>
  <si>
    <t xml:space="preserve">Dono decide? Orçamento por casa? Abertura/reforma prevista?</t>
  </si>
  <si>
    <t xml:space="preserve">Superdimensionar; menu board precisa de leitura de perto (pitch mais fino).</t>
  </si>
  <si>
    <t xml:space="preserve">Largura e altura do palco; distância ao primeiro e ao último banco; iluminação; transmissão; estrutura (piso ou suspenso).</t>
  </si>
  <si>
    <t xml:space="preserve">Pastor, conselho ou assembleia aprova? Campanha de arrecadação? Data (Páscoa, Natal, conferência)?</t>
  </si>
  <si>
    <t xml:space="preserve">Ignorar a distância do primeiro banco (define o pitch); não preparar material para o conselho.</t>
  </si>
  <si>
    <t xml:space="preserve">Espaços (salões, piscina, área aberta); outdoor (IP65); medidas; histórico de locações.</t>
  </si>
  <si>
    <t xml:space="preserve">Gerente geral ou conselho? CAPEX ou OPEX? Alta temporada?</t>
  </si>
  <si>
    <t xml:space="preserve">Orçar indoor para área aberta/molhada.</t>
  </si>
  <si>
    <t xml:space="preserve">Datas, local, montagem/desmontagem; medidas; formato; conteúdo; operação técnica; backup.</t>
  </si>
  <si>
    <t xml:space="preserve">Quem é o cliente final? Orçamento fechado do job? Prazo de aprovação?</t>
  </si>
  <si>
    <t xml:space="preserve">Esquecer frete, montagem, técnico e processador no orçamento de locação.</t>
  </si>
  <si>
    <t xml:space="preserve">Pontos (recepção, auditório, fábrica, refeitório); nº de unidades; integração com TI; segurança da informação.</t>
  </si>
  <si>
    <t xml:space="preserve">RH, comunicação ou facilities? Ciclo de orçamento anual? TI precisa homologar?</t>
  </si>
  <si>
    <t xml:space="preserve">Não envolver TI cedo (integração e segurança).</t>
  </si>
  <si>
    <t xml:space="preserve">Auditório (medidas, distância); pátio/fachada; ginásio; uso em eventos.</t>
  </si>
  <si>
    <t xml:space="preserve">Mantenedor decide? Orçamento antes do período de matrículas?</t>
  </si>
  <si>
    <t xml:space="preserve">Perder o timing da campanha de matrículas.</t>
  </si>
  <si>
    <t xml:space="preserve">Recepções e corredores; distância de leitura; integração com sistema de senhas; normas da engenharia clínica.</t>
  </si>
  <si>
    <t xml:space="preserve">Diretoria administrativa ou marketing? Processo de compras/cotação formal?</t>
  </si>
  <si>
    <t xml:space="preserve">Ignorar integração com sistema de chamada e normas internas.</t>
  </si>
  <si>
    <t xml:space="preserve">Perímetro de campo (metros lineares); telão; distância da arquibancada; resistência a impacto; outdoor.</t>
  </si>
  <si>
    <t xml:space="preserve">Diretoria do clube/arena? Patrocinadores envolvidos? Calendário de jogos?</t>
  </si>
  <si>
    <t xml:space="preserve">Não estruturar o modelo de patrocínio junto com o orçamento.</t>
  </si>
  <si>
    <t xml:space="preserve">Locais; especificação técnica; normas; modelo (compra, concessão, PPP).</t>
  </si>
  <si>
    <t xml:space="preserve">Há dotação orçamentária? Modalidade de licitação? Prazo do edital?</t>
  </si>
  <si>
    <t xml:space="preserve">Especificação técnica genérica que abre espaço para menor preço sem qualidade.</t>
  </si>
  <si>
    <t xml:space="preserve">Referência técnica rápida</t>
  </si>
  <si>
    <t xml:space="preserve">Regra prática</t>
  </si>
  <si>
    <t xml:space="preserve">Fonte / validação</t>
  </si>
  <si>
    <t xml:space="preserve">Pixel pitch x distância</t>
  </si>
  <si>
    <t xml:space="preserve">Regra prática: distância mínima de visualização (m) ≈ pixel pitch (mm). Distância confortável ≈ 2 a 3 vezes isso. Ex.: P3,9 → a partir de ~4 m, ideal 8 a 12 m.</t>
  </si>
  <si>
    <t xml:space="preserve">Referência de mercado; validar com a engenharia LedWave.</t>
  </si>
  <si>
    <t xml:space="preserve">Brilho indoor x outdoor</t>
  </si>
  <si>
    <t xml:space="preserve">Indoor: tipicamente 800 a 1.500 nits. Outdoor/vitrine com sol: 4.500 nits ou mais.</t>
  </si>
  <si>
    <t xml:space="preserve">Referência de mercado; validar com a ficha técnica.</t>
  </si>
  <si>
    <t xml:space="preserve">Proteção</t>
  </si>
  <si>
    <t xml:space="preserve">Outdoor e áreas molhadas exigem grau de proteção IP65 ou superior na frente.</t>
  </si>
  <si>
    <t xml:space="preserve">Referência de mercado.</t>
  </si>
  <si>
    <t xml:space="preserve">Compra x locação</t>
  </si>
  <si>
    <t xml:space="preserve">Uso recorrente (≥ alguns eventos por mês ou uso diário) tende a favorecer compra; uso pontual favorece locação. Sempre mostrar o comparativo.</t>
  </si>
  <si>
    <t xml:space="preserve">Montar com os números do cliente.</t>
  </si>
  <si>
    <t xml:space="preserve">Custo total</t>
  </si>
  <si>
    <t xml:space="preserve">Orçamento completo = painel + estrutura + processador/player + instalação + conteúdo/gestão + garantia/manutenção (+ frete, montagem e técnico em locação).</t>
  </si>
  <si>
    <t xml:space="preserve">Planilha MC_EVENTOS (Drive) como base de locação.</t>
  </si>
  <si>
    <t xml:space="preserve">Checklist universal da proposta</t>
  </si>
  <si>
    <t xml:space="preserve">☐</t>
  </si>
  <si>
    <t xml:space="preserve">Dor do cliente nas palavras dele (da descoberta)</t>
  </si>
  <si>
    <t xml:space="preserve">Decisor e critério de decisão mapeados</t>
  </si>
  <si>
    <t xml:space="preserve">Medidas, distância de visualização e ambiente (indoor/outdoor)</t>
  </si>
  <si>
    <t xml:space="preserve">Compra x locação comparadas</t>
  </si>
  <si>
    <t xml:space="preserve">Custo total (painel, estrutura, instalação, conteúdo, manutenção)</t>
  </si>
  <si>
    <t xml:space="preserve">Prova social do mesmo nicho</t>
  </si>
  <si>
    <t xml:space="preserve">Próximo passo com data</t>
  </si>
  <si>
    <t xml:space="preserve">Objeções e respostas</t>
  </si>
  <si>
    <t xml:space="preserve">Método: Ouvir → Acolher → Explorar → Responder com prova → Confirmar (detalhes na aba Escuta Ativa). Adicione as respostas que funcionaram em campo.</t>
  </si>
  <si>
    <t xml:space="preserve">Objeção</t>
  </si>
  <si>
    <t xml:space="preserve">Resposta</t>
  </si>
  <si>
    <t xml:space="preserve">Funcionou em campo? (gestor)</t>
  </si>
  <si>
    <t xml:space="preserve">Variação testada</t>
  </si>
  <si>
    <t xml:space="preserve">Todos (insight do comercial)</t>
  </si>
  <si>
    <t xml:space="preserve">Fobia digital</t>
  </si>
  <si>
    <t xml:space="preserve">Atualizar a tela é tão simples quanto postar no Instagram. Treinamos a sua equipe, e a LedWave pode cuidar do conteúdo para você.</t>
  </si>
  <si>
    <t xml:space="preserve">Percepção · Leve: Demonstração do software no celular</t>
  </si>
  <si>
    <t xml:space="preserve">Preço</t>
  </si>
  <si>
    <t xml:space="preserve">Vamos comparar o custo total: impressos, locações e vendas perdidas de um ano contra o investimento no painel, que fica com você por muitos anos.</t>
  </si>
  <si>
    <t xml:space="preserve">Financeira · Leve: Planilha de custo total / payback</t>
  </si>
  <si>
    <t xml:space="preserve">Venha ver de perto: fabricamos no Brasil, com garantia e suporte próprio. E marcas como Rosewood e Museu do Amanhã aprovaram essa qualidade.</t>
  </si>
  <si>
    <t xml:space="preserve">Técnica · Leve: Visita ao showroom + cases</t>
  </si>
  <si>
    <t xml:space="preserve">Gestão de conteúdo</t>
  </si>
  <si>
    <t xml:space="preserve">Você não fica sozinho: entregamos o software, o treinamento e, se quiser, a produção e a programação do conteúdo.</t>
  </si>
  <si>
    <t xml:space="preserve">Operacional · Leve: Pacote de conteúdo</t>
  </si>
  <si>
    <t xml:space="preserve">Fabricação de estrutura metálica</t>
  </si>
  <si>
    <t xml:space="preserve">A estrutura faz parte do projeto: dimensionamos, fabricamos e instalamos com responsabilidade técnica, sem você precisar de outro fornecedor.</t>
  </si>
  <si>
    <t xml:space="preserve">Técnica · Leve: Projeto estrutural + ART</t>
  </si>
  <si>
    <t xml:space="preserve">Manutenção</t>
  </si>
  <si>
    <t xml:space="preserve">Temos equipe técnica e estoque de peças próprios, e oferecemos contrato de manutenção preventiva.</t>
  </si>
  <si>
    <t xml:space="preserve">Operacional · Leve: Contrato de manutenção</t>
  </si>
  <si>
    <t xml:space="preserve">SLA</t>
  </si>
  <si>
    <t xml:space="preserve">O prazo de atendimento fica escrito no contrato. [Preencher prazos oficiais de SLA]</t>
  </si>
  <si>
    <t xml:space="preserve">Operacional · Leve: Contrato com SLA</t>
  </si>
  <si>
    <t xml:space="preserve">Política comercial</t>
  </si>
  <si>
    <t xml:space="preserve">Explique as condições com transparência e leve a proposta já dentro da alçada aprovada, com alternativas.</t>
  </si>
  <si>
    <t xml:space="preserve">Financeira · Leve: Tabela de condições</t>
  </si>
  <si>
    <t xml:space="preserve">Política local / licenças</t>
  </si>
  <si>
    <t xml:space="preserve">Apoiamos o licenciamento: projeto técnico, documentação e orientação sobre as regras da sua cidade.</t>
  </si>
  <si>
    <t xml:space="preserve">Regulatória · Leve: Checklist de licenciamento</t>
  </si>
  <si>
    <t xml:space="preserve">Forma de pagamento</t>
  </si>
  <si>
    <t xml:space="preserve">Temos opções: à vista, parcelado, financiamento e locação. Montamos a que cabe no seu fluxo de caixa.</t>
  </si>
  <si>
    <t xml:space="preserve">Financeira · Leve: Simulação de pagamento</t>
  </si>
  <si>
    <t xml:space="preserve">Política de pagamento / locação / WDC</t>
  </si>
  <si>
    <t xml:space="preserve">[Confirmar o que é WDC] Apresente as regras de pagamento e locação de forma simples, com um exemplo numérico.</t>
  </si>
  <si>
    <t xml:space="preserve">Momento financeiro</t>
  </si>
  <si>
    <t xml:space="preserve">Podemos começar por um piloto ou pela locação, que vira despesa mensal em vez de investimento, e crescer por fases.</t>
  </si>
  <si>
    <t xml:space="preserve">Financeira · Leve: Proposta em fases</t>
  </si>
  <si>
    <t xml:space="preserve">Cenário mercadológico</t>
  </si>
  <si>
    <t xml:space="preserve">Em mercado difícil, quem se destaca no ponto de venda ganha participação. E a mídia digital fora de casa segue crescendo no Brasil.</t>
  </si>
  <si>
    <t xml:space="preserve">Percepção · Leve: Dados de mercado (DOOH, retail media)</t>
  </si>
  <si>
    <t xml:space="preserve">Crédito</t>
  </si>
  <si>
    <t xml:space="preserve">Trabalhamos com parceiros de financiamento e com locação, que exige menos crédito do que a compra.</t>
  </si>
  <si>
    <t xml:space="preserve">Financeira · Leve: Parceiros de financiamento</t>
  </si>
  <si>
    <t xml:space="preserve">Insegurança técnica</t>
  </si>
  <si>
    <t xml:space="preserve">Fazemos a visita técnica, mostramos a especificação certa para o seu espaço e você vê uma demonstração antes de decidir.</t>
  </si>
  <si>
    <t xml:space="preserve">Técnica · Leve: Visita técnica + demonstração</t>
  </si>
  <si>
    <t xml:space="preserve">Aprovação por financeiro</t>
  </si>
  <si>
    <t xml:space="preserve">Preparo um resumo de uma página com investimento, retorno e prazo, e apresento junto com você para o financeiro.</t>
  </si>
  <si>
    <t xml:space="preserve">Decisão · Leve: Business case de 1 página</t>
  </si>
  <si>
    <t xml:space="preserve">Concorrência</t>
  </si>
  <si>
    <t xml:space="preserve">Compare fábrica, estoque, equipe técnica, garantia e cases. O mais barato que apaga custa mais caro.</t>
  </si>
  <si>
    <t xml:space="preserve">Percepção · Leve: Comparativo técnico</t>
  </si>
  <si>
    <t xml:space="preserve">Percepção de valor</t>
  </si>
  <si>
    <t xml:space="preserve">O valor não está na tela, está no que ela gera: receita de mídia, economia de impressos, fluxo e marca. Vamos colocar esses números lado a lado.</t>
  </si>
  <si>
    <t xml:space="preserve">Percepção · Leve: Cases com resultado</t>
  </si>
  <si>
    <t xml:space="preserve">Consumo de energia</t>
  </si>
  <si>
    <t xml:space="preserve">O LED é eficiente, e o projeto inclui ajuste automático de brilho e programação de horário. Calculamos o consumo real do seu painel na proposta.</t>
  </si>
  <si>
    <t xml:space="preserve">Técnica · Leve: Cálculo de consumo no projeto</t>
  </si>
  <si>
    <t xml:space="preserve">Todos</t>
  </si>
  <si>
    <t xml:space="preserve">Está caro.</t>
  </si>
  <si>
    <t xml:space="preserve">Caro comparado a quê? Vamos colocar lado a lado o custo de não ter: impressos, locações, vendas perdidas. O painel é investimento com retorno, não despesa.</t>
  </si>
  <si>
    <t xml:space="preserve">Ancoragem / custo da inação</t>
  </si>
  <si>
    <t xml:space="preserve">Vou pensar.</t>
  </si>
  <si>
    <t xml:space="preserve">Claro. Para te ajudar a pensar: o que falta para você ter certeza? É o investimento, o retorno ou o projeto técnico?</t>
  </si>
  <si>
    <t xml:space="preserve">Pergunta de isolamento</t>
  </si>
  <si>
    <t xml:space="preserve">Já tenho TV / monitor.</t>
  </si>
  <si>
    <t xml:space="preserve">TV comunica de perto; LED encanta de longe. Brilho, escala, durabilidade e formato livre são outra categoria de resultado.</t>
  </si>
  <si>
    <t xml:space="preserve">Contraste</t>
  </si>
  <si>
    <t xml:space="preserve">O concorrente oferece mais barato.</t>
  </si>
  <si>
    <t xml:space="preserve">Compare fábrica própria, assistência técnica, garantia e histórico. O barato que apaga custa caro, porque tela apagada é resultado zero.</t>
  </si>
  <si>
    <t xml:space="preserve">Valor total de propriedade</t>
  </si>
  <si>
    <t xml:space="preserve">Não é o momento / sem orçamento agora.</t>
  </si>
  <si>
    <t xml:space="preserve">Podemos começar pelo ponto de maior retorno e planejar as fases. E temos opções de financiamento e locação.</t>
  </si>
  <si>
    <t xml:space="preserve">Fatiamento</t>
  </si>
  <si>
    <t xml:space="preserve">Não sei quem vai cuidar do conteúdo.</t>
  </si>
  <si>
    <t xml:space="preserve">A LedWave entrega gestão de conteúdo e treinamento. A operação cabe no celular.</t>
  </si>
  <si>
    <t xml:space="preserve">Remoção de risco</t>
  </si>
  <si>
    <t xml:space="preserve">E se der problema técnico?</t>
  </si>
  <si>
    <t xml:space="preserve">Temos fábrica, estoque e equipe técnica próprios, em várias praças. Suporte não é terceirizado.</t>
  </si>
  <si>
    <t xml:space="preserve">Prova de estrutura</t>
  </si>
  <si>
    <t xml:space="preserve">Preciso falar com meu sócio/diretoria.</t>
  </si>
  <si>
    <t xml:space="preserve">Ótimo. Posso preparar um resumo executivo de uma página e, se fizer sentido, apresento junto com você.</t>
  </si>
  <si>
    <t xml:space="preserve">Coaching do campeão interno</t>
  </si>
  <si>
    <t xml:space="preserve">Específica do nicho</t>
  </si>
  <si>
    <t xml:space="preserve">Banco de frases de efeito</t>
  </si>
  <si>
    <t xml:space="preserve">Frases curtas, ritmadas e repetíveis. Diga, pause 3 segundos, deixe o silêncio trabalhar.</t>
  </si>
  <si>
    <t xml:space="preserve">Momento / Nicho</t>
  </si>
  <si>
    <t xml:space="preserve">Frase</t>
  </si>
  <si>
    <t xml:space="preserve">Autor</t>
  </si>
  <si>
    <t xml:space="preserve">Nota do time (1 a 5)</t>
  </si>
  <si>
    <t xml:space="preserve">Institucional</t>
  </si>
  <si>
    <t xml:space="preserve">Não vendemos painel. Entregamos o resultado que o painel gera.</t>
  </si>
  <si>
    <t xml:space="preserve">Playbook v1</t>
  </si>
  <si>
    <t xml:space="preserve">Começamos com R$ 12 mil e uma ideia. Hoje iluminamos o Brasil.</t>
  </si>
  <si>
    <t xml:space="preserve">Fizemos o maior painel de LED da América Latina. O seu vai ter o mesmo padrão.</t>
  </si>
  <si>
    <t xml:space="preserve">Quatro anos seguidos entre as empresas que mais crescem no Brasil. Número 1 do nosso segmento.</t>
  </si>
  <si>
    <t xml:space="preserve">Fabricamos no Brasil, operamos nos EUA, buscamos tecnologia na China.</t>
  </si>
  <si>
    <t xml:space="preserve">Abertura</t>
  </si>
  <si>
    <t xml:space="preserve">Seu espaço já tem audiência. A pergunta é o que ela está vendo.</t>
  </si>
  <si>
    <t xml:space="preserve">Toda empresa comunica. Poucas encantam.</t>
  </si>
  <si>
    <t xml:space="preserve">Transição</t>
  </si>
  <si>
    <t xml:space="preserve">E é por isso que estamos aqui.</t>
  </si>
  <si>
    <t xml:space="preserve">Agora imagine o seu espaço assim.</t>
  </si>
  <si>
    <t xml:space="preserve">Valor</t>
  </si>
  <si>
    <t xml:space="preserve">Tela apagada é resultado zero.</t>
  </si>
  <si>
    <t xml:space="preserve">A tela deixa de ser custo e passa a gerar receita.</t>
  </si>
  <si>
    <t xml:space="preserve">O olho humano segue movimento. Quem se move é visto.</t>
  </si>
  <si>
    <t xml:space="preserve">Fechamento</t>
  </si>
  <si>
    <t xml:space="preserve">Quem chega primeiro na praça define o padrão.</t>
  </si>
  <si>
    <t xml:space="preserve">Vamos acender esse projeto?</t>
  </si>
  <si>
    <t xml:space="preserve">Varejo de Moda e Vitrines (fechamento)</t>
  </si>
  <si>
    <t xml:space="preserve">Supermercados, Atacarejos e Home Centers (fechamento)</t>
  </si>
  <si>
    <t xml:space="preserve">Farmácias e Drogarias (fechamento)</t>
  </si>
  <si>
    <t xml:space="preserve">Postos de Combustível e Conveniência (fechamento)</t>
  </si>
  <si>
    <t xml:space="preserve">DOOH e Investidores de Mídia (fechamento)</t>
  </si>
  <si>
    <t xml:space="preserve">Shopping Centers (fechamento)</t>
  </si>
  <si>
    <t xml:space="preserve">Concessionárias de Veículos (fechamento)</t>
  </si>
  <si>
    <t xml:space="preserve">Construtoras e Stands de Vendas (fechamento)</t>
  </si>
  <si>
    <t xml:space="preserve">Franquias e Redes (fechamento)</t>
  </si>
  <si>
    <t xml:space="preserve">Bares, Restaurantes e Food Service (fechamento)</t>
  </si>
  <si>
    <t xml:space="preserve">Igrejas e Centros Religiosos (fechamento)</t>
  </si>
  <si>
    <t xml:space="preserve">Hotéis, Parques, Clubes e Piscinas (fechamento)</t>
  </si>
  <si>
    <t xml:space="preserve">Eventos, Agências e Produtoras (fechamento)</t>
  </si>
  <si>
    <t xml:space="preserve">Corporativo (Comunicação Interna e Recepções) (fechamento)</t>
  </si>
  <si>
    <t xml:space="preserve">Educação (Escolas, Faculdades e Universidades) (fechamento)</t>
  </si>
  <si>
    <t xml:space="preserve">Saúde (Hospitais, Clínicas e Laboratórios) (fechamento)</t>
  </si>
  <si>
    <t xml:space="preserve">Arenas, Estádios, Academias e Esportes (fechamento)</t>
  </si>
  <si>
    <t xml:space="preserve">Poder Público e Mobiliário Urbano (fechamento)</t>
  </si>
  <si>
    <t xml:space="preserve">Prospecção outbound: cadência e script de ligação</t>
  </si>
  <si>
    <t xml:space="preserve">Objetivo do outbound é AGENDAR uma conversa de descoberta, não vender o painel. Personalize com o gatilho e a dor do nicho.</t>
  </si>
  <si>
    <t xml:space="preserve">Dia</t>
  </si>
  <si>
    <t xml:space="preserve">Canal</t>
  </si>
  <si>
    <t xml:space="preserve">Ação</t>
  </si>
  <si>
    <t xml:space="preserve">Modelo de mensagem</t>
  </si>
  <si>
    <t xml:space="preserve">D0</t>
  </si>
  <si>
    <t xml:space="preserve">Pesquisa</t>
  </si>
  <si>
    <t xml:space="preserve">Estudar a conta: site, Instagram, Google Maps/Street View da fachada, notícias, LinkedIn do decisor. Anotar 1 gatilho (inauguração, reforma, lançamento, expansão, evento).</t>
  </si>
  <si>
    <t xml:space="preserve">Ter um motivo real e específico para o contato.</t>
  </si>
  <si>
    <t xml:space="preserve">—</t>
  </si>
  <si>
    <t xml:space="preserve">D1</t>
  </si>
  <si>
    <t xml:space="preserve">LinkedIn</t>
  </si>
  <si>
    <t xml:space="preserve">Pedido de conexão sem pitch, com nota personalizada.</t>
  </si>
  <si>
    <t xml:space="preserve">Ser reconhecido antes da ligação.</t>
  </si>
  <si>
    <t xml:space="preserve">{Nome}, acompanho a {Empresa} e vi {gatilho}. Trabalho com comunicação digital para {nicho}. Seria bom ter você na rede.</t>
  </si>
  <si>
    <t xml:space="preserve">D2</t>
  </si>
  <si>
    <t xml:space="preserve">Ligação</t>
  </si>
  <si>
    <t xml:space="preserve">Cold call de 2 a 3 minutos. Objetivo: agendar 20 minutos, não vender.</t>
  </si>
  <si>
    <t xml:space="preserve">Agendar diagnóstico.</t>
  </si>
  <si>
    <t xml:space="preserve">Ver aba Script Cold Call.</t>
  </si>
  <si>
    <t xml:space="preserve">WhatsApp</t>
  </si>
  <si>
    <t xml:space="preserve">Mensagem curta pós-ligação (atendeu ou não).</t>
  </si>
  <si>
    <t xml:space="preserve">Deixar registro e um gancho.</t>
  </si>
  <si>
    <t xml:space="preserve">{Nome}, aqui é {Vendedor}, da LedWave. Tentei falar com você sobre {gatilho}. Tenho uma ideia de como {dor do nicho em 1 linha}. Faz sentido 20 min na {dia}?</t>
  </si>
  <si>
    <t xml:space="preserve">D4</t>
  </si>
  <si>
    <t xml:space="preserve">E-mail</t>
  </si>
  <si>
    <t xml:space="preserve">E-mail com insight do nicho (Challenger) + 1 imagem antes/depois.</t>
  </si>
  <si>
    <t xml:space="preserve">Ensinar algo novo.</t>
  </si>
  <si>
    <t xml:space="preserve">Assunto: {Empresa} + uma ideia para {dor}. Corpo: 1 insight + 1 prova + 1 pergunta. Máx. 90 palavras.</t>
  </si>
  <si>
    <t xml:space="preserve">D6</t>
  </si>
  <si>
    <t xml:space="preserve">Segunda tentativa em outro horário (início da manhã ou fim da tarde).</t>
  </si>
  <si>
    <t xml:space="preserve">Agendar.</t>
  </si>
  <si>
    <t xml:space="preserve">Abrir citando o e-mail: 'Te mandei uma imagem de como ficaria a fachada de vocês...'</t>
  </si>
  <si>
    <t xml:space="preserve">D8</t>
  </si>
  <si>
    <t xml:space="preserve">LinkedIn/Instagram</t>
  </si>
  <si>
    <t xml:space="preserve">Interagir com conteúdo do decisor ou da empresa; enviar case do mesmo nicho.</t>
  </si>
  <si>
    <t xml:space="preserve">Prova social.</t>
  </si>
  <si>
    <t xml:space="preserve">{Nome}, fizemos isso para uma {empresa do nicho}. Lembrei de vocês por causa de {gatilho}.</t>
  </si>
  <si>
    <t xml:space="preserve">D11</t>
  </si>
  <si>
    <t xml:space="preserve">Vídeo/áudio</t>
  </si>
  <si>
    <t xml:space="preserve">Vídeo de 45 s (ou áudio) personalizado com mockup da fachada/espaço do cliente.</t>
  </si>
  <si>
    <t xml:space="preserve">Quebrar o padrão.</t>
  </si>
  <si>
    <t xml:space="preserve">Mostrar o espaço dele com o painel e fazer 1 pergunta.</t>
  </si>
  <si>
    <t xml:space="preserve">D14</t>
  </si>
  <si>
    <t xml:space="preserve">E-mail de término</t>
  </si>
  <si>
    <t xml:space="preserve">E-mail 'break-up' educado.</t>
  </si>
  <si>
    <t xml:space="preserve">Gerar resposta.</t>
  </si>
  <si>
    <t xml:space="preserve">{Nome}, imagino que não seja prioridade agora. Posso encerrar por aqui ou volto a falar em {mês}? Uma palavra já me ajuda.</t>
  </si>
  <si>
    <t xml:space="preserve">Script de cold call (2 a 3 minutos)</t>
  </si>
  <si>
    <t xml:space="preserve">Etapa</t>
  </si>
  <si>
    <t xml:space="preserve">O que dizer</t>
  </si>
  <si>
    <t xml:space="preserve">Por que funciona</t>
  </si>
  <si>
    <t xml:space="preserve">1. Permissão (10 s)</t>
  </si>
  <si>
    <t xml:space="preserve">Oi, {Nome}? Aqui é {Vendedor}, da LedWave. Eu te liguei sem avisar. Posso te tomar 30 segundos e você decide se continuamos?</t>
  </si>
  <si>
    <t xml:space="preserve">Reduz a defesa. Quem dá permissão escuta.</t>
  </si>
  <si>
    <t xml:space="preserve">2. Motivo (20 s)</t>
  </si>
  <si>
    <t xml:space="preserve">Vi que {gatilho: vocês estão abrindo a loja X / lançando o empreendimento Y}. Nós trabalhamos com {nicho} e normalmente as empresas nos chamam quando {dor do nicho}.</t>
  </si>
  <si>
    <t xml:space="preserve">Mostra que você estudou. Fala da dor, não do produto.</t>
  </si>
  <si>
    <t xml:space="preserve">3. Pergunta de dor (30 s)</t>
  </si>
  <si>
    <t xml:space="preserve">Isso acontece por aí também, ou vocês já resolveram? (Escolha 1 pergunta de Problema da aba SPIN por Nicho)</t>
  </si>
  <si>
    <t xml:space="preserve">Pergunta aberta. Cale-se e escute.</t>
  </si>
  <si>
    <t xml:space="preserve">4. Escuta + aprofundamento</t>
  </si>
  <si>
    <t xml:space="preserve">Entendi. Quando você diz '{palavra do cliente}', o que isso significa na prática? E quanto isso custa hoje?</t>
  </si>
  <si>
    <t xml:space="preserve">Espelhamento + implicação.</t>
  </si>
  <si>
    <t xml:space="preserve">5. Mini-prova (15 s)</t>
  </si>
  <si>
    <t xml:space="preserve">Fizemos algo parecido para {empresa do nicho}, e {resultado/qualitativo}. Somos a LedWave, número 1 do segmento no ranking da Exame.</t>
  </si>
  <si>
    <t xml:space="preserve">Uma prova só, do mesmo nicho.</t>
  </si>
  <si>
    <t xml:space="preserve">6. Pedido de reunião</t>
  </si>
  <si>
    <t xml:space="preserve">Faz sentido conversarmos 20 minutos para eu entender o seu cenário e te mostrar como ficaria no seu espaço? Terça às 10h ou quinta às 15h?</t>
  </si>
  <si>
    <t xml:space="preserve">Fechamento por escolha. Objetivo é a agenda, não a venda.</t>
  </si>
  <si>
    <t xml:space="preserve">Objeção: 'Me manda por e-mail'</t>
  </si>
  <si>
    <t xml:space="preserve">Mando sim. Para não te mandar algo genérico: qual é hoje o seu maior desafio com {dor}? Assim o material já vai certo, e eu te ligo na quinta para ver se fez sentido.</t>
  </si>
  <si>
    <t xml:space="preserve">Transformar a fuga em qualificação.</t>
  </si>
  <si>
    <t xml:space="preserve">Objeção: 'Não tenho interesse'</t>
  </si>
  <si>
    <t xml:space="preserve">Justo. Só por curiosidade: é porque já resolveram {dor} ou porque não é prioridade agora?</t>
  </si>
  <si>
    <t xml:space="preserve">Descobrir o motivo real.</t>
  </si>
  <si>
    <t xml:space="preserve">Objeção: 'Já tenho fornecedor'</t>
  </si>
  <si>
    <t xml:space="preserve">Ótimo, é sinal de que vocês valorizam isso. Se tivesse uma coisa que você melhoraria no seu fornecedor atual, qual seria?</t>
  </si>
  <si>
    <t xml:space="preserve">Encontrar a brecha.</t>
  </si>
  <si>
    <t xml:space="preserve">Gatilhos de prospecção por nicho (onde procurar o motivo do contato)</t>
  </si>
  <si>
    <t xml:space="preserve">•</t>
  </si>
  <si>
    <t xml:space="preserve">Inauguração ou reforma de loja (Instagram, Google Maps, imprensa local)</t>
  </si>
  <si>
    <t xml:space="preserve">Lançamento imobiliário ou de veículo (sites de construtoras, montadoras)</t>
  </si>
  <si>
    <t xml:space="preserve">Expansão de rede ou franquia (ABF, notícias, vagas abertas)</t>
  </si>
  <si>
    <t xml:space="preserve">Participação em feiras do setor (APAS, Abrasel, ExpoPostos, Abrafarma, Expo Cristã)</t>
  </si>
  <si>
    <t xml:space="preserve">Troca de liderança de marketing/trade (LinkedIn)</t>
  </si>
  <si>
    <t xml:space="preserve">Edital, licitação ou concessão de mobiliário urbano (portais de compras)</t>
  </si>
  <si>
    <t xml:space="preserve">Fachada antiga ou impressos desbotados (Street View)</t>
  </si>
  <si>
    <t xml:space="preserve">Escuta ativa e tratamento de objeções</t>
  </si>
  <si>
    <t xml:space="preserve">Quem pergunta conduz. Quem escuta entende o que orçar e como fechar.</t>
  </si>
  <si>
    <t xml:space="preserve">Como aplicar</t>
  </si>
  <si>
    <t xml:space="preserve">Exemplo</t>
  </si>
  <si>
    <t xml:space="preserve">Regra 70/30</t>
  </si>
  <si>
    <t xml:space="preserve">O cliente fala 70% do tempo na descoberta. Se você está falando mais, está vendendo cedo demais.</t>
  </si>
  <si>
    <t xml:space="preserve">Cronometre um roleplay: quem falou mais?</t>
  </si>
  <si>
    <t xml:space="preserve">Silêncio de 3 segundos</t>
  </si>
  <si>
    <t xml:space="preserve">Depois de uma resposta, conte até 3 antes de falar. O cliente costuma completar com a informação mais valiosa.</t>
  </si>
  <si>
    <t xml:space="preserve">Espelhamento</t>
  </si>
  <si>
    <t xml:space="preserve">Repita as últimas 2 ou 3 palavras do cliente em tom de pergunta. Ele aprofunda sozinho.</t>
  </si>
  <si>
    <t xml:space="preserve">Cliente: '...a troca de campanha é um caos.' Você: 'Um caos?'</t>
  </si>
  <si>
    <t xml:space="preserve">Rotulagem (labeling)</t>
  </si>
  <si>
    <t xml:space="preserve">Nomeie a emoção ou a situação: 'Parece que…', 'Dá a impressão de que…'.</t>
  </si>
  <si>
    <t xml:space="preserve">'Parece que a operação de impressos tira tempo do seu time.'</t>
  </si>
  <si>
    <t xml:space="preserve">Paráfrase + confirmação</t>
  </si>
  <si>
    <t xml:space="preserve">Resuma com as palavras dele e peça confirmação. Evita proposta errada.</t>
  </si>
  <si>
    <t xml:space="preserve">'Se eu entendi bem, o principal é X, depois Y. Correto?'</t>
  </si>
  <si>
    <t xml:space="preserve">Anotar as palavras do cliente</t>
  </si>
  <si>
    <t xml:space="preserve">Use no fechamento exatamente as palavras que ele usou na descoberta.</t>
  </si>
  <si>
    <t xml:space="preserve">Ele disse 'caos'? Na proposta: 'fim do caos na troca de campanha'.</t>
  </si>
  <si>
    <t xml:space="preserve">Pergunta 'o que mais?'</t>
  </si>
  <si>
    <t xml:space="preserve">Antes de seguir, pergunte 'o que mais?'. A segunda dor costuma ser a mais importante.</t>
  </si>
  <si>
    <t xml:space="preserve">Não interromper nem completar frases</t>
  </si>
  <si>
    <t xml:space="preserve">Interromper sinaliza que você já sabe a resposta, e o cliente para de contar.</t>
  </si>
  <si>
    <t xml:space="preserve">Escutar o não dito</t>
  </si>
  <si>
    <t xml:space="preserve">Observe hesitação, mudança de tom, quem olha para quem numa reunião com mais de uma pessoa.</t>
  </si>
  <si>
    <t xml:space="preserve">'Notei que você hesitou quando falamos de prazo. O que te preocupa?'</t>
  </si>
  <si>
    <t xml:space="preserve">Método para converter objeções em avanço</t>
  </si>
  <si>
    <t xml:space="preserve">Passo</t>
  </si>
  <si>
    <t xml:space="preserve">Como fazer</t>
  </si>
  <si>
    <t xml:space="preserve">1. Ouvir até o fim</t>
  </si>
  <si>
    <t xml:space="preserve">Não interrompa. A objeção dita pela metade esconde a real.</t>
  </si>
  <si>
    <t xml:space="preserve">2. Acolher</t>
  </si>
  <si>
    <t xml:space="preserve">'Faz sentido você pensar nisso.' Nunca 'mas'; use 'e'.</t>
  </si>
  <si>
    <t xml:space="preserve">3. Explorar (isolar)</t>
  </si>
  <si>
    <t xml:space="preserve">'Além disso, tem mais alguma coisa que te impede de seguir?' e 'O que te faz pensar assim?'</t>
  </si>
  <si>
    <t xml:space="preserve">4. Responder com prova</t>
  </si>
  <si>
    <t xml:space="preserve">Resposta da aba Objeções + 1 prova (case, número, garantia).</t>
  </si>
  <si>
    <t xml:space="preserve">5. Confirmar</t>
  </si>
  <si>
    <t xml:space="preserve">'Isso responde a sua dúvida?' Se sim, avance para o próximo passo na hora.</t>
  </si>
  <si>
    <t xml:space="preserve">Indicador</t>
  </si>
  <si>
    <t xml:space="preserve">Taxa de conversão de objeções = objeções superadas que avançaram de etapa ÷ objeções registradas. Registre no Banco de Ideias as respostas que funcionaram.</t>
  </si>
  <si>
    <t xml:space="preserve">Roleplay 1: Rede de farmácias</t>
  </si>
  <si>
    <t xml:space="preserve">Um faz o vendedor, outro faz a cliente, um terceiro avalia. Depois troquem os papéis e o nicho.</t>
  </si>
  <si>
    <t xml:space="preserve">Cenário</t>
  </si>
  <si>
    <t xml:space="preserve">Cliente (persona)</t>
  </si>
  <si>
    <t xml:space="preserve">Marta, Diretora de Marketing de uma rede regional com 38 lojas, 4 aberturas previstas no ano. Pragmática, ocupada, já foi abordada por fornecedores de TV/digital signage.</t>
  </si>
  <si>
    <t xml:space="preserve">Contexto</t>
  </si>
  <si>
    <t xml:space="preserve">Primeira reunião por vídeo, 20 minutos, agendada após cold call. Gatilho: a rede anunciou novas lojas no Instagram.</t>
  </si>
  <si>
    <t xml:space="preserve">Objetivo do vendedor</t>
  </si>
  <si>
    <t xml:space="preserve">Descobrir dor, implicação e decisores, e sair com visita técnica agendada na loja âncora.</t>
  </si>
  <si>
    <t xml:space="preserve">Instruções para quem faz a Marta</t>
  </si>
  <si>
    <t xml:space="preserve">Responda de forma curta no início. Só abra informações se o vendedor fizer boas perguntas. Use 2 objeções: 'Já tentamos TVs e ninguém olhava' e 'Preciso ver com o diretor financeiro'. Revele, só se perguntarem, que a indústria pediu mais exposição nas lojas.</t>
  </si>
  <si>
    <t xml:space="preserve">Tempo</t>
  </si>
  <si>
    <t xml:space="preserve">15 minutos de roleplay + 10 minutos de feedback.</t>
  </si>
  <si>
    <t xml:space="preserve">Script de referência (não é para decorar; é para entender a lógica)</t>
  </si>
  <si>
    <t xml:space="preserve">Quem fala</t>
  </si>
  <si>
    <t xml:space="preserve">Fala</t>
  </si>
  <si>
    <t xml:space="preserve">Técnica usada</t>
  </si>
  <si>
    <t xml:space="preserve">Vendedor</t>
  </si>
  <si>
    <t xml:space="preserve">Marta, obrigado pelo tempo. Para aproveitar bem os 20 minutos: queria entender o momento da rede, te mostrar uma ou duas ideias e, se fizer sentido, combinar um próximo passo. Pode ser?</t>
  </si>
  <si>
    <t xml:space="preserve">Agenda clara + permissão</t>
  </si>
  <si>
    <t xml:space="preserve">Cliente</t>
  </si>
  <si>
    <t xml:space="preserve">Pode. Mas já adianto que temos pouco tempo.</t>
  </si>
  <si>
    <t xml:space="preserve">Situação</t>
  </si>
  <si>
    <t xml:space="preserve">Vi que vocês vão abrir 4 lojas este ano. Parabéns. Como a comunicação nas lojas funciona hoje, das campanhas à fachada?</t>
  </si>
  <si>
    <t xml:space="preserve">Pergunta de Situação com gatilho</t>
  </si>
  <si>
    <t xml:space="preserve">Basicamente impressos. A agência cria, a gráfica imprime e a gente distribui.</t>
  </si>
  <si>
    <t xml:space="preserve">Problema</t>
  </si>
  <si>
    <t xml:space="preserve">E quanto tempo leva entre a campanha ficar pronta e estar aplicada nas 38 lojas?</t>
  </si>
  <si>
    <t xml:space="preserve">Uns 10, 15 dias. Às vezes a campanha acaba e tem loja que ainda não aplicou.</t>
  </si>
  <si>
    <t xml:space="preserve">Escuta ativa</t>
  </si>
  <si>
    <t xml:space="preserve">Ainda não aplicou?</t>
  </si>
  <si>
    <t xml:space="preserve">Espelhamento (e silêncio)</t>
  </si>
  <si>
    <t xml:space="preserve">É. E a indústria vive pedindo mais exposição, mas não temos espaço nem como provar o que foi exposto.</t>
  </si>
  <si>
    <t xml:space="preserve">Informação de ouro revelada</t>
  </si>
  <si>
    <t xml:space="preserve">Implicação</t>
  </si>
  <si>
    <t xml:space="preserve">Deixa eu ver se entendi: a campanha chega atrasada em parte das lojas, e a indústria quer investir mas vocês não têm onde nem como provar. Quanto você acha que isso representa em verba de trade que vocês deixam de capturar por ano?</t>
  </si>
  <si>
    <t xml:space="preserve">Paráfrase + Implicação</t>
  </si>
  <si>
    <t xml:space="preserve">Nunca calculei. Mas não é pouco.</t>
  </si>
  <si>
    <t xml:space="preserve">Objeção 1</t>
  </si>
  <si>
    <t xml:space="preserve">Só que já testamos TV em duas lojas e ninguém olhava.</t>
  </si>
  <si>
    <t xml:space="preserve">Tratamento</t>
  </si>
  <si>
    <t xml:space="preserve">Faz todo sentido você ficar com o pé atrás. Posso perguntar: onde ficavam as TVs e que conteúdo passava? (Ouve.) O que a gente costuma ver é que TV pequena, com conteúdo institucional longo, vira paisagem. Painel de LED na fachada e no corredor de dermo, com conteúdo curto da indústria, é outra coisa: brilho e escala chamam o olhar. Uma rede como a Farmelhor, que esteve no nosso LedCast, é um bom exemplo de como pensar isso.</t>
  </si>
  <si>
    <t xml:space="preserve">Acolher → Explorar → Responder com prova</t>
  </si>
  <si>
    <t xml:space="preserve">Necessidade</t>
  </si>
  <si>
    <t xml:space="preserve">Se as telas fossem em boa parte pagas pela indústria, com relatório de exibição, e a campanha chegasse às 38 lojas no mesmo minuto, isso ajudaria nas metas deste ano?</t>
  </si>
  <si>
    <t xml:space="preserve">Need-payoff: o cliente diz o valor</t>
  </si>
  <si>
    <t xml:space="preserve">Ajudaria bastante, principalmente nas lojas novas.</t>
  </si>
  <si>
    <t xml:space="preserve">Objeção 2</t>
  </si>
  <si>
    <t xml:space="preserve">Mas isso vai ter que passar pelo diretor financeiro.</t>
  </si>
  <si>
    <t xml:space="preserve">Objeção de autoridade</t>
  </si>
  <si>
    <t xml:space="preserve">Ótimo, é importante ele estar junto. O que ele costuma olhar primeiro num investimento assim: payback, fluxo de caixa ou risco? (Ouve.) Proponho o seguinte: faço a visita técnica na loja âncora, monto a conta com a receita da indústria e a economia de impressos, e apresentamos juntos para ele. Você prefere terça ou quinta para a visita?</t>
  </si>
  <si>
    <t xml:space="preserve">Coaching do campeão + fechamento por escolha</t>
  </si>
  <si>
    <t xml:space="preserve">Quinta de manhã.</t>
  </si>
  <si>
    <t xml:space="preserve">Compromisso com data</t>
  </si>
  <si>
    <t xml:space="preserve">Fechado: quinta, 9h, na loja do centro. Te mando o convite agora e levo uma simulação da fachada com a identidade de vocês. Obrigado, Marta.</t>
  </si>
  <si>
    <t xml:space="preserve">Confirmação + próximo passo concreto</t>
  </si>
  <si>
    <t xml:space="preserve">Ficha de avaliação (nota de 1 a 5 nas células amarelas)</t>
  </si>
  <si>
    <t xml:space="preserve">Critério</t>
  </si>
  <si>
    <t xml:space="preserve">O que observar</t>
  </si>
  <si>
    <t xml:space="preserve">Comentário do avaliador</t>
  </si>
  <si>
    <t xml:space="preserve">Nota (1-5)</t>
  </si>
  <si>
    <t xml:space="preserve">Abertura com agenda e permissão</t>
  </si>
  <si>
    <t xml:space="preserve">Combinou objetivo e tempo da reunião?</t>
  </si>
  <si>
    <t xml:space="preserve">Uso do gatilho</t>
  </si>
  <si>
    <t xml:space="preserve">Citou algo específico da empresa do cliente?</t>
  </si>
  <si>
    <t xml:space="preserve">Perguntas SPIN</t>
  </si>
  <si>
    <t xml:space="preserve">Fez ao menos 1 pergunta de cada tipo (S, P, I, N)?</t>
  </si>
  <si>
    <t xml:space="preserve">Escuta ativa (70/30)</t>
  </si>
  <si>
    <t xml:space="preserve">O cliente falou mais que o vendedor? Usou espelhamento/silêncio?</t>
  </si>
  <si>
    <t xml:space="preserve">Paráfrase</t>
  </si>
  <si>
    <t xml:space="preserve">Resumiu a dor com as palavras do cliente?</t>
  </si>
  <si>
    <t xml:space="preserve">Tratamento de objeções</t>
  </si>
  <si>
    <t xml:space="preserve">Acolheu, explorou e respondeu com prova, sem discutir?</t>
  </si>
  <si>
    <t xml:space="preserve">Mapeamento de decisores</t>
  </si>
  <si>
    <t xml:space="preserve">Descobriu quem decide e quais critérios usa?</t>
  </si>
  <si>
    <t xml:space="preserve">Prova social do nicho</t>
  </si>
  <si>
    <t xml:space="preserve">Usou uma prova do mesmo nicho?</t>
  </si>
  <si>
    <t xml:space="preserve">Fechamento por escolha</t>
  </si>
  <si>
    <t xml:space="preserve">Saiu com próximo passo, data e hora?</t>
  </si>
  <si>
    <t xml:space="preserve">Tom e confiança</t>
  </si>
  <si>
    <t xml:space="preserve">Falou com calma, sem pressa e sem jargão técnico?</t>
  </si>
  <si>
    <t xml:space="preserve">Pontuação total (máx. 50)</t>
  </si>
  <si>
    <t xml:space="preserve">Aproveitamento</t>
  </si>
  <si>
    <t xml:space="preserve">Leitura</t>
  </si>
  <si>
    <t xml:space="preserve">Próximos roleplays sugeridos</t>
  </si>
  <si>
    <t xml:space="preserve">Roleplay 2</t>
  </si>
  <si>
    <t xml:space="preserve">Posto de combustível: proprietário que 'só olha preço' (cold call de 3 minutos)</t>
  </si>
  <si>
    <t xml:space="preserve">Roleplay 3</t>
  </si>
  <si>
    <t xml:space="preserve">Igreja: pastor + tesoureiro, objeção de aprovação em conselho</t>
  </si>
  <si>
    <t xml:space="preserve">Roleplay 4</t>
  </si>
  <si>
    <t xml:space="preserve">Supermercado: diretor de trade cético com retail media</t>
  </si>
  <si>
    <t xml:space="preserve">Roleplay 5</t>
  </si>
  <si>
    <t xml:space="preserve">Construtora: compra x locação para stand temporário</t>
  </si>
  <si>
    <t xml:space="preserve">Roleplay 6</t>
  </si>
  <si>
    <t xml:space="preserve">Agência de eventos: 'tenho fornecedor mais barato'</t>
  </si>
  <si>
    <t xml:space="preserve">Técnicas de storytelling e speech comercial</t>
  </si>
  <si>
    <t xml:space="preserve">Referência rápida. Cada técnica indica em que bloco do Roteiro Mestre ela entra.</t>
  </si>
  <si>
    <t xml:space="preserve">Onde usar</t>
  </si>
  <si>
    <t xml:space="preserve">Exemplo LedWave</t>
  </si>
  <si>
    <t xml:space="preserve">Golden Circle (Simon Sinek)</t>
  </si>
  <si>
    <t xml:space="preserve">Bloco 5 (propósito)</t>
  </si>
  <si>
    <t xml:space="preserve">Comece pelo PORQUÊ (o propósito do cliente), depois o COMO (a solução) e só então O QUÊ (o painel).</t>
  </si>
  <si>
    <t xml:space="preserve">'Sua vitrine pode ser um vendedor 24h' antes de 'temos painel de alto brilho P3.9'.</t>
  </si>
  <si>
    <t xml:space="preserve">StoryBrand: o cliente é o herói</t>
  </si>
  <si>
    <t xml:space="preserve">Bloco 4 (LedWave)</t>
  </si>
  <si>
    <t xml:space="preserve">O cliente é o herói da história; a LedWave é o guia que tem empatia e autoridade. O guia nunca rouba a cena.</t>
  </si>
  <si>
    <t xml:space="preserve">'Você quer que sua loja seja a escolhida da rua. Nós já ajudamos centenas de lojas a chegar lá.'</t>
  </si>
  <si>
    <t xml:space="preserve">Challenger Sale: ensinar algo novo</t>
  </si>
  <si>
    <t xml:space="preserve">Bloco 1 e 3</t>
  </si>
  <si>
    <t xml:space="preserve">Traga um insight que o cliente não tinha sobre o próprio negócio e que muda a forma de ele ver o problema.</t>
  </si>
  <si>
    <t xml:space="preserve">'80% a 90% das vendas ainda acontecem na loja física. Sua loja é a sua maior mídia, e está desligada.'</t>
  </si>
  <si>
    <t xml:space="preserve">SPIN Selling</t>
  </si>
  <si>
    <t xml:space="preserve">Bloco 2</t>
  </si>
  <si>
    <t xml:space="preserve">Perguntas de Situação, Problema, Implicação e Necessidade de solução. Quem pergunta conduz.</t>
  </si>
  <si>
    <t xml:space="preserve">'Quanto custa cada troca de campanha?' (P) → 'E quantas campanhas você deixa de fazer por isso?' (I).</t>
  </si>
  <si>
    <t xml:space="preserve">Aversão à perda / custo da inação</t>
  </si>
  <si>
    <t xml:space="preserve">Bloco 3</t>
  </si>
  <si>
    <t xml:space="preserve">As pessoas se mexem mais para não perder do que para ganhar. Mostre o que ele perde por ficar parado.</t>
  </si>
  <si>
    <t xml:space="preserve">'Cada dia com vitrine parada é fluxo de calçada que passa reto.'</t>
  </si>
  <si>
    <t xml:space="preserve">Regra de 3</t>
  </si>
  <si>
    <t xml:space="preserve">Blocos 4 e 6</t>
  </si>
  <si>
    <t xml:space="preserve">O cérebro memoriza listas de três. Três provas, três argumentos, três números.</t>
  </si>
  <si>
    <t xml:space="preserve">Receita, experiência, operação.</t>
  </si>
  <si>
    <t xml:space="preserve">Antes x Depois (contraste)</t>
  </si>
  <si>
    <t xml:space="preserve">Blocos 2 e 5</t>
  </si>
  <si>
    <t xml:space="preserve">Mostre o espaço do cliente como é hoje e como será. Imagem vale mais que argumento.</t>
  </si>
  <si>
    <t xml:space="preserve">Mockup da fachada do cliente com o painel.</t>
  </si>
  <si>
    <t xml:space="preserve">Analogia</t>
  </si>
  <si>
    <t xml:space="preserve">Bloco 5</t>
  </si>
  <si>
    <t xml:space="preserve">Explique o novo com algo que o cliente já conhece.</t>
  </si>
  <si>
    <t xml:space="preserve">'O painel é um imóvel que paga aluguel em inserções.'</t>
  </si>
  <si>
    <t xml:space="preserve">Frase de efeito + pausa</t>
  </si>
  <si>
    <t xml:space="preserve">Blocos 5 e 8</t>
  </si>
  <si>
    <t xml:space="preserve">Uma frase curta, ritmada e repetível. Diga, pare 3 segundos, e deixe o silêncio trabalhar.</t>
  </si>
  <si>
    <t xml:space="preserve">'Vitrine parada é vendedor dormindo.'</t>
  </si>
  <si>
    <t xml:space="preserve">Prova social específica</t>
  </si>
  <si>
    <t xml:space="preserve">Bloco 4 e 6</t>
  </si>
  <si>
    <t xml:space="preserve">Case do mesmo nicho e porte vale mais que dez logos genéricos.</t>
  </si>
  <si>
    <t xml:space="preserve">'Uma rede de farmácias como a sua fez X.'</t>
  </si>
  <si>
    <t xml:space="preserve">Inoculação de objeção</t>
  </si>
  <si>
    <t xml:space="preserve">Bloco 7</t>
  </si>
  <si>
    <t xml:space="preserve">Traga a objeção antes do cliente. Quem antecipa demonstra domínio.</t>
  </si>
  <si>
    <t xml:space="preserve">'Talvez você esteja pensando que é caro para uma loja só. Vamos fazer a conta.'</t>
  </si>
  <si>
    <t xml:space="preserve">Feel / Felt / Found</t>
  </si>
  <si>
    <t xml:space="preserve">'Entendo como você se sente. Outros clientes se sentiram assim. O que eles descobriram foi...'</t>
  </si>
  <si>
    <t xml:space="preserve">Objeções de preço e de prioridade.</t>
  </si>
  <si>
    <t xml:space="preserve">Peak-End</t>
  </si>
  <si>
    <t xml:space="preserve">Bloco 8</t>
  </si>
  <si>
    <t xml:space="preserve">As pessoas lembram do ponto alto e do final. Termine no ponto mais forte, nunca em 'dúvidas?'.</t>
  </si>
  <si>
    <t xml:space="preserve">Frase de efeito em tela cheia antes do CTA.</t>
  </si>
  <si>
    <t xml:space="preserve">Ofereça duas opções de próximo passo, ambas positivas.</t>
  </si>
  <si>
    <t xml:space="preserve">'Visita técnica na quinta ou na sexta?'</t>
  </si>
  <si>
    <t xml:space="preserve">Linguagem 'você'</t>
  </si>
  <si>
    <t xml:space="preserve">Toda a apresentação</t>
  </si>
  <si>
    <t xml:space="preserve">Para cada 'nós' da LedWave, diga pelo menos dois 'você'.</t>
  </si>
  <si>
    <t xml:space="preserve">'Sua loja', 'seu cliente', 'sua receita'.</t>
  </si>
  <si>
    <t xml:space="preserve">Um slide, uma ideia</t>
  </si>
  <si>
    <t xml:space="preserve">Máximo de uma ideia e 6 palavras de destaque por slide. O executivo é o protagonista, não o slide.</t>
  </si>
  <si>
    <t xml:space="preserve">Slides de imagem cheia com uma frase.</t>
  </si>
  <si>
    <t xml:space="preserve">Banco de Ideias dos Gestores</t>
  </si>
  <si>
    <t xml:space="preserve">Uma linha por ideia. A linha 5 é um exemplo. Status 'Aprovada' = levar para a matriz Nichos na próxima reunião.</t>
  </si>
  <si>
    <t xml:space="preserve">Data</t>
  </si>
  <si>
    <t xml:space="preserve">Gestor</t>
  </si>
  <si>
    <t xml:space="preserve">Tipo de contribuição</t>
  </si>
  <si>
    <t xml:space="preserve">Ideia (texto pronto para usar)</t>
  </si>
  <si>
    <t xml:space="preserve">Onde usar no roteiro</t>
  </si>
  <si>
    <t xml:space="preserve">Testada com cliente? Resultado</t>
  </si>
  <si>
    <t xml:space="preserve">Votos do time</t>
  </si>
  <si>
    <t xml:space="preserve">Responsável por migrar</t>
  </si>
  <si>
    <t xml:space="preserve">Resumo</t>
  </si>
  <si>
    <t xml:space="preserve">Exemplo (apagar)</t>
  </si>
  <si>
    <t xml:space="preserve">Se o seu cliente estivesse com dor de cabeça na esquina da sua farmácia, ele veria a sua loja antes da concorrente?</t>
  </si>
  <si>
    <t xml:space="preserve">Testado em 2 reuniões: gerou conversa sobre fachada</t>
  </si>
  <si>
    <t xml:space="preserve">Em teste em campo</t>
  </si>
  <si>
    <t xml:space="preserve">Nova</t>
  </si>
  <si>
    <t xml:space="preserve">Aprovada (levar à matriz)</t>
  </si>
  <si>
    <t xml:space="preserve">Descartada</t>
  </si>
  <si>
    <t xml:space="preserve">Total de ideias</t>
  </si>
  <si>
    <t xml:space="preserve">Nichos</t>
  </si>
  <si>
    <t xml:space="preserve">Tipos de contribuição</t>
  </si>
  <si>
    <t xml:space="preserve">Blocos do roteiro</t>
  </si>
  <si>
    <t xml:space="preserve">Argumento</t>
  </si>
  <si>
    <t xml:space="preserve">Objeção + resposta</t>
  </si>
  <si>
    <t xml:space="preserve">Case / prova</t>
  </si>
  <si>
    <t xml:space="preserve">Pergunta de descoberta</t>
  </si>
  <si>
    <t xml:space="preserve">Técnica de apresentação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</si>
</sst>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%"/>
    <numFmt numFmtId="167" formatCode="General"/>
    <numFmt numFmtId="168" formatCode="dd/mm/yy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D9D2F0"/>
      <name val="Arial"/>
      <family val="0"/>
      <charset val="1"/>
    </font>
    <font>
      <b val="true"/>
      <sz val="11"/>
      <color rgb="FF1B134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C2185B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C2185B"/>
      <name val="Arial"/>
      <family val="0"/>
      <charset val="1"/>
    </font>
    <font>
      <i val="true"/>
      <sz val="9"/>
      <color rgb="FFC2185B"/>
      <name val="Arial"/>
      <family val="0"/>
      <charset val="1"/>
    </font>
    <font>
      <b val="true"/>
      <sz val="12"/>
      <color rgb="FF1B134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1340"/>
        <bgColor rgb="FF000000"/>
      </patternFill>
    </fill>
    <fill>
      <patternFill patternType="solid">
        <fgColor rgb="FFFFF8D6"/>
        <bgColor rgb="FFF5F5F7"/>
      </patternFill>
    </fill>
    <fill>
      <patternFill patternType="solid">
        <fgColor rgb="FFC2185B"/>
        <bgColor rgb="FFB00020"/>
      </patternFill>
    </fill>
    <fill>
      <patternFill patternType="solid">
        <fgColor rgb="FFF5F5F7"/>
        <bgColor rgb="FFFFFFFF"/>
      </patternFill>
    </fill>
    <fill>
      <patternFill patternType="solid">
        <fgColor rgb="FFEDE7F6"/>
        <bgColor rgb="FFF5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CCE0"/>
      </left>
      <right style="thin">
        <color rgb="FFD0CCE0"/>
      </right>
      <top style="thin">
        <color rgb="FFD0CCE0"/>
      </top>
      <bottom style="thin">
        <color rgb="FFD0CC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b val="1"/>
        <color rgb="FFB00020"/>
      </font>
    </dxf>
    <dxf>
      <font>
        <b val="1"/>
        <color rgb="FF1B7F3B"/>
      </font>
    </dxf>
    <dxf>
      <fill>
        <patternFill patternType="solid">
          <fgColor rgb="FFC2185B"/>
          <bgColor rgb="FF000000"/>
        </patternFill>
      </fill>
    </dxf>
    <dxf>
      <fill>
        <patternFill patternType="solid">
          <fgColor rgb="FFF5F5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8D6"/>
          <bgColor rgb="FF000000"/>
        </patternFill>
      </fill>
    </dxf>
    <dxf>
      <fill>
        <patternFill>
          <bgColor rgb="FFD7F2DF"/>
        </patternFill>
      </fill>
    </dxf>
    <dxf>
      <font>
        <strike val="1"/>
        <color rgb="FF999999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1B7F3B"/>
      <rgbColor rgb="FF000080"/>
      <rgbColor rgb="FF808000"/>
      <rgbColor rgb="FF800080"/>
      <rgbColor rgb="FF008080"/>
      <rgbColor rgb="FFD0CCE0"/>
      <rgbColor rgb="FF808080"/>
      <rgbColor rgb="FF9999FF"/>
      <rgbColor rgb="FFC2185B"/>
      <rgbColor rgb="FFFFF8D6"/>
      <rgbColor rgb="FFF5F5F7"/>
      <rgbColor rgb="FF660066"/>
      <rgbColor rgb="FFFF8080"/>
      <rgbColor rgb="FF0066CC"/>
      <rgbColor rgb="FFD9D2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7F6"/>
      <rgbColor rgb="FFD7F2D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B13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185B"/>
    <pageSetUpPr fitToPage="false"/>
  </sheetPr>
  <dimension ref="A1:D16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95"/>
  </cols>
  <sheetData>
    <row r="1" customFormat="false" ht="33.75" hidden="false" customHeight="true" outlineLevel="0" collapsed="false">
      <c r="A1" s="1" t="s">
        <v>0</v>
      </c>
      <c r="B1" s="2"/>
      <c r="C1" s="2"/>
      <c r="D1" s="2"/>
    </row>
    <row r="2" customFormat="false" ht="19.5" hidden="false" customHeight="true" outlineLevel="0" collapsed="false">
      <c r="A2" s="3" t="s">
        <v>1</v>
      </c>
      <c r="B2" s="2"/>
      <c r="C2" s="2"/>
      <c r="D2" s="2"/>
    </row>
    <row r="4" customFormat="false" ht="37.5" hidden="false" customHeight="true" outlineLevel="0" collapsed="false">
      <c r="B4" s="4" t="s">
        <v>2</v>
      </c>
      <c r="C4" s="5" t="s">
        <v>3</v>
      </c>
    </row>
    <row r="5" customFormat="false" ht="37.5" hidden="false" customHeight="true" outlineLevel="0" collapsed="false">
      <c r="B5" s="4" t="s">
        <v>4</v>
      </c>
      <c r="C5" s="5" t="s">
        <v>5</v>
      </c>
    </row>
    <row r="6" customFormat="false" ht="37.5" hidden="false" customHeight="true" outlineLevel="0" collapsed="false">
      <c r="B6" s="4" t="s">
        <v>6</v>
      </c>
      <c r="C6" s="5" t="s">
        <v>7</v>
      </c>
    </row>
    <row r="7" customFormat="false" ht="24" hidden="false" customHeight="true" outlineLevel="0" collapsed="false">
      <c r="B7" s="4" t="s">
        <v>8</v>
      </c>
      <c r="C7" s="5" t="s">
        <v>9</v>
      </c>
    </row>
    <row r="8" customFormat="false" ht="37.5" hidden="false" customHeight="true" outlineLevel="0" collapsed="false">
      <c r="B8" s="4" t="s">
        <v>10</v>
      </c>
      <c r="C8" s="5" t="s">
        <v>11</v>
      </c>
    </row>
    <row r="9" customFormat="false" ht="51.75" hidden="false" customHeight="true" outlineLevel="0" collapsed="false">
      <c r="B9" s="4" t="s">
        <v>12</v>
      </c>
      <c r="C9" s="5" t="s">
        <v>13</v>
      </c>
    </row>
    <row r="10" customFormat="false" ht="37.5" hidden="false" customHeight="true" outlineLevel="0" collapsed="false">
      <c r="B10" s="4" t="s">
        <v>14</v>
      </c>
      <c r="C10" s="5" t="s">
        <v>15</v>
      </c>
    </row>
    <row r="11" customFormat="false" ht="37.5" hidden="false" customHeight="true" outlineLevel="0" collapsed="false">
      <c r="B11" s="4" t="s">
        <v>16</v>
      </c>
      <c r="C11" s="5" t="s">
        <v>17</v>
      </c>
    </row>
    <row r="12" customFormat="false" ht="51.75" hidden="false" customHeight="true" outlineLevel="0" collapsed="false">
      <c r="B12" s="4" t="s">
        <v>18</v>
      </c>
      <c r="C12" s="5" t="s">
        <v>19</v>
      </c>
    </row>
    <row r="13" customFormat="false" ht="37.5" hidden="false" customHeight="true" outlineLevel="0" collapsed="false">
      <c r="B13" s="4" t="s">
        <v>20</v>
      </c>
      <c r="C13" s="5" t="s">
        <v>21</v>
      </c>
    </row>
    <row r="15" customFormat="false" ht="15" hidden="false" customHeight="false" outlineLevel="0" collapsed="false">
      <c r="B15" s="6" t="s">
        <v>22</v>
      </c>
      <c r="C15" s="7" t="s">
        <v>23</v>
      </c>
    </row>
    <row r="16" customFormat="false" ht="15" hidden="false" customHeight="false" outlineLevel="0" collapsed="false">
      <c r="C16" s="8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185B"/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1"/>
    <col collapsed="false" customWidth="true" hidden="false" outlineLevel="0" max="4" min="4" style="0" width="30"/>
    <col collapsed="false" customWidth="true" hidden="false" outlineLevel="0" max="5" min="5" style="0" width="48"/>
    <col collapsed="false" customWidth="true" hidden="false" outlineLevel="0" max="6" min="6" style="0" width="80"/>
  </cols>
  <sheetData>
    <row r="1" customFormat="false" ht="33.75" hidden="false" customHeight="true" outlineLevel="0" collapsed="false">
      <c r="A1" s="1" t="s">
        <v>25</v>
      </c>
      <c r="B1" s="2"/>
      <c r="C1" s="2"/>
      <c r="D1" s="2"/>
      <c r="E1" s="2"/>
      <c r="F1" s="2"/>
    </row>
    <row r="2" customFormat="false" ht="19.5" hidden="false" customHeight="true" outlineLevel="0" collapsed="false">
      <c r="A2" s="3" t="s">
        <v>26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6" t="s">
        <v>27</v>
      </c>
      <c r="B4" s="9" t="s">
        <v>28</v>
      </c>
      <c r="C4" s="9"/>
      <c r="D4" s="9"/>
      <c r="E4" s="9"/>
    </row>
    <row r="5" customFormat="false" ht="30" hidden="false" customHeight="true" outlineLevel="0" collapsed="false">
      <c r="A5" s="6" t="s">
        <v>29</v>
      </c>
      <c r="B5" s="9" t="n">
        <v>15</v>
      </c>
      <c r="F5" s="10" t="str">
        <f aca="false">IF(ISNA(MATCH($B$4,Nichos!$A:$A,0)),"Escolha um nicho da lista","Decisor típico: "&amp;INDEX(Nichos!$B:$B,MATCH($B$4,Nichos!$A:$A,0)))</f>
        <v>Decisor típico: Diretor de Marketing, Diretor de Expansão, Dono da rede, Trade</v>
      </c>
    </row>
    <row r="6" customFormat="false" ht="15" hidden="false" customHeight="false" outlineLevel="0" collapsed="false">
      <c r="A6" s="6" t="s">
        <v>30</v>
      </c>
      <c r="B6" s="9" t="s">
        <v>31</v>
      </c>
      <c r="C6" s="9"/>
      <c r="D6" s="9"/>
      <c r="E6" s="9"/>
    </row>
    <row r="8" customFormat="false" ht="31.5" hidden="false" customHeight="true" outlineLevel="0" collapsed="false">
      <c r="A8" s="11" t="s">
        <v>32</v>
      </c>
      <c r="B8" s="11" t="s">
        <v>33</v>
      </c>
      <c r="C8" s="11" t="s">
        <v>34</v>
      </c>
      <c r="D8" s="11" t="s">
        <v>35</v>
      </c>
      <c r="E8" s="11" t="s">
        <v>36</v>
      </c>
      <c r="F8" s="11" t="s">
        <v>37</v>
      </c>
    </row>
    <row r="9" customFormat="false" ht="120" hidden="false" customHeight="true" outlineLevel="0" collapsed="false">
      <c r="A9" s="12" t="str">
        <f aca="false">'Roteiro Mestre'!A4</f>
        <v>1. Abertura / Gancho</v>
      </c>
      <c r="B9" s="13" t="n">
        <f aca="false">'Roteiro Mestre'!B4*$B$5</f>
        <v>1.2</v>
      </c>
      <c r="C9" s="13" t="n">
        <f aca="false">SUM($B$9:B9)</f>
        <v>1.2</v>
      </c>
      <c r="D9" s="14" t="str">
        <f aca="false">'Roteiro Mestre'!D4</f>
        <v>Pergunta provocativa (Challenger) + pausa de 3 segundos</v>
      </c>
      <c r="E9" s="14" t="str">
        <f aca="false">'Roteiro Mestre'!E4</f>
        <v>Use o GANCHO do nicho. Não comece falando da LedWave. Faça a pergunta, olhe nos olhos e espere a resposta.</v>
      </c>
      <c r="F9" s="14" t="str">
        <f aca="false">IFERROR("GANCHO: "&amp;INDEX(Nichos!$F:$F,MATCH($B$4,Nichos!$A:$A,0)),"Escolha um nicho da lista")</f>
        <v>GANCHO: Na sua rua existem quantas farmácias? O que faz o cliente escolher a sua antes de ver o preço?</v>
      </c>
    </row>
    <row r="10" customFormat="false" ht="174.75" hidden="false" customHeight="true" outlineLevel="0" collapsed="false">
      <c r="A10" s="12" t="str">
        <f aca="false">'Roteiro Mestre'!A5</f>
        <v>2. O mundo do cliente (dor)</v>
      </c>
      <c r="B10" s="13" t="n">
        <f aca="false">'Roteiro Mestre'!B5*$B$5</f>
        <v>2.25</v>
      </c>
      <c r="C10" s="13" t="n">
        <f aca="false">SUM($B$9:B10)</f>
        <v>3.45</v>
      </c>
      <c r="D10" s="14" t="str">
        <f aca="false">'Roteiro Mestre'!D5</f>
        <v>SPIN (Situação e Problema) + espelhamento</v>
      </c>
      <c r="E10" s="14" t="str">
        <f aca="false">'Roteiro Mestre'!E5</f>
        <v>Descreva a DOR do nicho com as palavras dele. Faça 2 perguntas de descoberta e anote as respostas: elas vão virar números no fechamento.</v>
      </c>
      <c r="F10" s="14" t="str">
        <f aca="false">IFERROR("DOR: "&amp;INDEX(Nichos!$C:$C,MATCH($B$4,Nichos!$A:$A,0))&amp;CHAR(10)&amp;"PERGUNTE (Situação): "&amp;INDEX('SPIN por Nicho'!$B:$B,MATCH($B$4,'SPIN por Nicho'!$A:$A,0))&amp;CHAR(10)&amp;"PERGUNTE (Problema): "&amp;INDEX('SPIN por Nicho'!$C:$C,MATCH($B$4,'SPIN por Nicho'!$A:$A,0)),"Escolha um nicho da lista")</f>
        <v>DOR: Fachadas parecidas, guerra de preço e um corredor cheio de marcas disputando atenção. A indústria farmacêutica e de dermocosméticos quer visibilidade, mas o espaço é pequeno.
PERGUNTE (Situação): Quantas lojas, e quantas abrem por ano? Como funciona a parceria com a indústria hoje?
PERGUNTE (Problema): Como vocês se diferenciam das farmácias concorrentes na mesma rua? Campanhas sazonais chegam a tempo em todas as lojas?</v>
      </c>
    </row>
    <row r="11" customFormat="false" ht="120" hidden="false" customHeight="true" outlineLevel="0" collapsed="false">
      <c r="A11" s="12" t="str">
        <f aca="false">'Roteiro Mestre'!A6</f>
        <v>3. Custo da inação</v>
      </c>
      <c r="B11" s="13" t="n">
        <f aca="false">'Roteiro Mestre'!B6*$B$5</f>
        <v>1.5</v>
      </c>
      <c r="C11" s="13" t="n">
        <f aca="false">SUM($B$9:B11)</f>
        <v>4.95</v>
      </c>
      <c r="D11" s="14" t="str">
        <f aca="false">'Roteiro Mestre'!D6</f>
        <v>Ancoragem de perda (aversão à perda)</v>
      </c>
      <c r="E11" s="14" t="str">
        <f aca="false">'Roteiro Mestre'!E6</f>
        <v>Use o CUSTO DA INAÇÃO do nicho. Transforme em número com os dados que ele te deu ('se 1 em cada 100 que passam entrasse...').</v>
      </c>
      <c r="F11" s="14" t="str">
        <f aca="false">IFERROR("CUSTO DA INAÇÃO: "&amp;INDEX(Nichos!$D:$D,MATCH($B$4,Nichos!$A:$A,0))&amp;CHAR(10)&amp;"PERGUNTE (Implicação): "&amp;INDEX('SPIN por Nicho'!$D:$D,MATCH($B$4,'SPIN por Nicho'!$A:$A,0)),"Escolha um nicho da lista")</f>
        <v>CUSTO DA INAÇÃO: A farmácia da esquina igual a todas as outras perde a decisão de entrada para a que se destaca, e deixa de monetizar o espaço com a indústria.
PERGUNTE (Implicação): Se o cliente escolhe a farmácia mais visível, quanto fluxo vocês perdem por ter fachada igual às outras? E quanto a indústria investiria se tivesse onde?</v>
      </c>
    </row>
    <row r="12" customFormat="false" ht="174.75" hidden="false" customHeight="true" outlineLevel="0" collapsed="false">
      <c r="A12" s="12" t="str">
        <f aca="false">'Roteiro Mestre'!A7</f>
        <v>4. Quem é a LedWave (o guia)</v>
      </c>
      <c r="B12" s="13" t="n">
        <f aca="false">'Roteiro Mestre'!B7*$B$5</f>
        <v>3</v>
      </c>
      <c r="C12" s="13" t="n">
        <f aca="false">SUM($B$9:B12)</f>
        <v>7.95</v>
      </c>
      <c r="D12" s="14" t="str">
        <f aca="false">'Roteiro Mestre'!D7</f>
        <v>StoryBrand (herói x guia) + prova social + regra de 3</v>
      </c>
      <c r="E12" s="14" t="str">
        <f aca="false">'Roteiro Mestre'!E7</f>
        <v>Conte a origem em 20 segundos (R$ 12 mil e Xangai) e escolha 3 provas da aba LedWave – Prova que mais combinam com o nicho. Termine com 'e é por isso que estamos aqui'.</v>
      </c>
      <c r="F12" s="14" t="str">
        <f aca="false">IFERROR("ORIGEM: "&amp;INDEX('LedWave – Prova'!$C:$C,5)&amp;CHAR(10)&amp;"PROVA 1: "&amp;INDEX('LedWave – Prova'!$C:$C,7)&amp;CHAR(10)&amp;"PROVA 2: "&amp;INDEX('LedWave – Prova'!$C:$C,9)&amp;CHAR(10)&amp;"CASE DE REFERÊNCIA: "&amp;IF(INDEX(Nichos!$U:$U,MATCH($B$4,Nichos!$A:$A,0))="","use o Boulevard.Live (sem case do segmento mapeado)",INDEX(Nichos!$U:$U,MATCH($B$4,Nichos!$A:$A,0)))&amp;CHAR(10)&amp;"Feche com: E é por isso que estamos aqui.","Escolha um nicho da lista")</f>
        <v>ORIGEM: Começamos com R$ 12 mil e uma ideia trazida de Xangai. Hoje somos referência em LED no Brasil. Essa é a prova de que a gente sabe fazer muito com o investimento do cliente.
PROVA 1: Quatro anos seguidos entre as empresas que mais crescem no Brasil, número 1 do nosso segmento. Números auditados, não autodeclarados.
PROVA 2: Fizemos o maior painel de LED da América Latina. O seu projeto vai receber o mesmo padrão de engenharia.
CASE DE REFERÊNCIA: use o Boulevard.Live (sem case do segmento mapeado)
Feche com: E é por isso que estamos aqui.</v>
      </c>
    </row>
    <row r="13" customFormat="false" ht="120" hidden="false" customHeight="true" outlineLevel="0" collapsed="false">
      <c r="A13" s="12" t="str">
        <f aca="false">'Roteiro Mestre'!A8</f>
        <v>5. A virada: o porquê (propósito)</v>
      </c>
      <c r="B13" s="13" t="n">
        <f aca="false">'Roteiro Mestre'!B8*$B$5</f>
        <v>1.5</v>
      </c>
      <c r="C13" s="13" t="n">
        <f aca="false">SUM($B$9:B13)</f>
        <v>9.45</v>
      </c>
      <c r="D13" s="14" t="str">
        <f aca="false">'Roteiro Mestre'!D8</f>
        <v>Golden Circle (Por quê → Como → O quê) + analogia</v>
      </c>
      <c r="E13" s="14" t="str">
        <f aca="false">'Roteiro Mestre'!E8</f>
        <v>Diga o PROPÓSITO do nicho e conte a HISTÓRIA/ANALOGIA. Feche com a FRASE DE EFEITO e faça uma pausa.</v>
      </c>
      <c r="F13" s="14" t="str">
        <f aca="false">IFERROR("PROPÓSITO DE COMPRA (descubra qual pesa mais): "&amp;INDEX(Nichos!$T:$T,MATCH($B$4,Nichos!$A:$A,0))&amp;CHAR(10)&amp;"PROPÓSITO: "&amp;INDEX(Nichos!$E:$E,MATCH($B$4,Nichos!$A:$A,0))&amp;CHAR(10)&amp;"HISTÓRIA: "&amp;INDEX(Nichos!$G:$G,MATCH($B$4,Nichos!$A:$A,0))&amp;CHAR(10)&amp;"FRASE DE EFEITO (pausa de 3 s): "&amp;INDEX(Nichos!$K:$K,MATCH($B$4,Nichos!$A:$A,0)),"Escolha um nicho da lista")</f>
        <v>PROPÓSITO DE COMPRA (descubra qual pesa mais): Retail media; Trade; Branding
PROPÓSITO: Fazer da farmácia um ponto de saúde e bem-estar que se vê de longe e informa de perto, com mídia paga pela indústria.
HISTÓRIA: Cruz verde iluminada foi a primeira tela da farmácia. O painel de LED é a evolução natural dessa cruz: além de dizer 'estou aqui', diz 'tenho o que você precisa hoje'.
FRASE DE EFEITO (pausa de 3 s): Farmácia que se vê de longe vende antes do preço.</v>
      </c>
    </row>
    <row r="14" customFormat="false" ht="174.75" hidden="false" customHeight="true" outlineLevel="0" collapsed="false">
      <c r="A14" s="12" t="str">
        <f aca="false">'Roteiro Mestre'!A9</f>
        <v>6. Como funciona (3 argumentos)</v>
      </c>
      <c r="B14" s="13" t="n">
        <f aca="false">'Roteiro Mestre'!B9*$B$5</f>
        <v>2.55</v>
      </c>
      <c r="C14" s="13" t="n">
        <f aca="false">SUM($B$9:B14)</f>
        <v>12</v>
      </c>
      <c r="D14" s="14" t="str">
        <f aca="false">'Roteiro Mestre'!D9</f>
        <v>Regra de 3 + Feature → Benefício → Ganho</v>
      </c>
      <c r="E14" s="14" t="str">
        <f aca="false">'Roteiro Mestre'!E9</f>
        <v>Apresente os 3 argumentos do nicho (Receita, Experiência, Operação), um por slide. Para cada um, diga o ganho em uma frase. Mostre a SOLUÇÃO recomendada e a PROVA/CASE.</v>
      </c>
      <c r="F14" s="14" t="str">
        <f aca="false">IFERROR("1. RECEITA: "&amp;INDEX(Nichos!$H:$H,MATCH($B$4,Nichos!$A:$A,0))&amp;CHAR(10)&amp;"2. EXPERIÊNCIA: "&amp;INDEX(Nichos!$I:$I,MATCH($B$4,Nichos!$A:$A,0))&amp;CHAR(10)&amp;"3. OPERAÇÃO: "&amp;INDEX(Nichos!$J:$J,MATCH($B$4,Nichos!$A:$A,0))&amp;CHAR(10)&amp;"SOLUÇÃO: "&amp;INDEX(Nichos!$M:$M,MATCH($B$4,Nichos!$A:$A,0)),"Escolha um nicho da lista")</f>
        <v>1. RECEITA: Monetização com a indústria (dermocosméticos, OTC, higiene) em telas internas; campanhas sazonais (gripe, verão, Dia das Mães) entram no ar na hora.
2. EXPERIÊNCIA: Fachada que se destaca na rua, conteúdo de saúde e prevenção que gera confiança, fila mais leve com conteúdo útil.
3. OPERAÇÃO: Padronização da comunicação em todas as lojas da rede a partir de um único painel de controle.
SOLUÇÃO: Painel de fachada, LED de vitrine, telas atrás do balcão e na área de dermocosméticos, rede de retail media.</v>
      </c>
    </row>
    <row r="15" customFormat="false" ht="120" hidden="false" customHeight="true" outlineLevel="0" collapsed="false">
      <c r="A15" s="12" t="str">
        <f aca="false">'Roteiro Mestre'!A10</f>
        <v>7. Objeções antecipadas + números</v>
      </c>
      <c r="B15" s="13" t="n">
        <f aca="false">'Roteiro Mestre'!B10*$B$5</f>
        <v>1.5</v>
      </c>
      <c r="C15" s="13" t="n">
        <f aca="false">SUM($B$9:B15)</f>
        <v>13.5</v>
      </c>
      <c r="D15" s="14" t="str">
        <f aca="false">'Roteiro Mestre'!D10</f>
        <v>Inoculação (antecipar objeção) + Feel/Felt/Found</v>
      </c>
      <c r="E15" s="14" t="str">
        <f aca="false">'Roteiro Mestre'!E10</f>
        <v>Traga a OBJEÇÃO nº1 do nicho e a RESPOSTA. Mostre os KPIs que ele vai medir e, se possível, uma conta simples de retorno.</v>
      </c>
      <c r="F15" s="14" t="str">
        <f aca="false">IFERROR("OBJEÇÃO PROVÁVEL: "&amp;INDEX(Nichos!$P:$P,MATCH($B$4,Nichos!$A:$A,0))&amp;CHAR(10)&amp;"RESPOSTA: "&amp;INDEX(Nichos!$Q:$Q,MATCH($B$4,Nichos!$A:$A,0))&amp;CHAR(10)&amp;"OUTRAS OBJEÇÕES PROVÁVEIS (respostas na aba Objeções): "&amp;INDEX(Nichos!$V:$V,MATCH($B$4,Nichos!$A:$A,0))&amp;CHAR(10)&amp;"O QUE VOCÊ VAI MEDIR: "&amp;INDEX(Nichos!$R:$R,MATCH($B$4,Nichos!$A:$A,0)),"Escolha um nicho da lista")</f>
        <v>OBJEÇÃO PROVÁVEL: A fachada da farmácia tem regras de padronização da rede/franquia.
RESPOSTA: Trabalhamos com o manual da marca: o painel vira parte da identidade, não uma exceção a ela. Levamos a proposta pronta para aprovação do franqueador.
OUTRAS OBJEÇÕES PROVÁVEIS (respostas na aba Objeções): Política comercial; Gestão de conteúdo; Percepção de valor
O QUE VOCÊ VAI MEDIR: Receita de mídia com a indústria, vendas de categorias anunciadas, fluxo de entrada, tempo de rollout de campanha.</v>
      </c>
    </row>
    <row r="16" customFormat="false" ht="174.75" hidden="false" customHeight="true" outlineLevel="0" collapsed="false">
      <c r="A16" s="12" t="str">
        <f aca="false">'Roteiro Mestre'!A11</f>
        <v>8. Fechamento e próximo passo</v>
      </c>
      <c r="B16" s="13" t="n">
        <f aca="false">'Roteiro Mestre'!B11*$B$5</f>
        <v>1.5</v>
      </c>
      <c r="C16" s="13" t="n">
        <f aca="false">SUM($B$9:B16)</f>
        <v>15</v>
      </c>
      <c r="D16" s="14" t="str">
        <f aca="false">'Roteiro Mestre'!D11</f>
        <v>Peak-End (terminar no ponto alto) + fechamento por próximo passo</v>
      </c>
      <c r="E16" s="14" t="str">
        <f aca="false">'Roteiro Mestre'!E11</f>
        <v>Repita a FRASE DE EFEITO, diga a FRASE DE FECHAMENTO e proponha o CTA com data: 'Podemos agendar a visita técnica para quinta ou sexta?'</v>
      </c>
      <c r="F16" s="14" t="str">
        <f aca="false">IFERROR("PERGUNTE (Necessidade): "&amp;INDEX('SPIN por Nicho'!$E:$E,MATCH($B$4,'SPIN por Nicho'!$A:$A,0))&amp;CHAR(10)&amp;"FRASE: "&amp;INDEX(Nichos!$K:$K,MATCH($B$4,Nichos!$A:$A,0))&amp;CHAR(10)&amp;"FECHAMENTO: "&amp;INDEX(Nichos!$L:$L,MATCH($B$4,Nichos!$A:$A,0))&amp;CHAR(10)&amp;"PRÓXIMO PASSO: "&amp;INDEX(Nichos!$S:$S,MATCH($B$4,Nichos!$A:$A,0)),"Escolha um nicho da lista")</f>
        <v>PERGUNTE (Necessidade): Uma rede de telas que se paga com a indústria e destaca a sua fachada ajudaria na meta deste ano?
FRASE: Farmácia que se vê de longe vende antes do preço.
FECHAMENTO: A cruz verde chamou o cliente por décadas. Agora é hora de ela conversar com ele.
PRÓXIMO PASSO: Simulação de fachada digital com a identidade da rede + proposta de piloto em uma loja âncora.</v>
      </c>
    </row>
    <row r="17" customFormat="false" ht="15" hidden="false" customHeight="false" outlineLevel="0" collapsed="false">
      <c r="A17" s="15" t="s">
        <v>38</v>
      </c>
      <c r="B17" s="16" t="n">
        <f aca="false">SUM(B9:B16)</f>
        <v>15</v>
      </c>
    </row>
    <row r="19" customFormat="false" ht="15" hidden="false" customHeight="false" outlineLevel="0" collapsed="false">
      <c r="A19" s="17" t="s">
        <v>39</v>
      </c>
    </row>
  </sheetData>
  <mergeCells count="2">
    <mergeCell ref="B4:E4"/>
    <mergeCell ref="B6:E6"/>
  </mergeCells>
  <dataValidations count="2">
    <dataValidation allowBlank="false" errorStyle="stop" operator="between" showDropDown="false" showErrorMessage="false" showInputMessage="false" sqref="B4" type="list">
      <formula1>Listas!$A$2:$A$60</formula1>
      <formula2>0</formula2>
    </dataValidation>
    <dataValidation allowBlank="false" errorStyle="stop" operator="between" showDropDown="false" showErrorMessage="false" showInputMessage="false" sqref="B5" type="list">
      <formula1>"10,15,20"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1340"/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55"/>
    <col collapsed="false" customWidth="true" hidden="false" outlineLevel="0" max="7" min="6" style="0" width="34"/>
  </cols>
  <sheetData>
    <row r="1" customFormat="false" ht="33.75" hidden="false" customHeight="true" outlineLevel="0" collapsed="false">
      <c r="A1" s="1" t="s">
        <v>40</v>
      </c>
      <c r="B1" s="2"/>
      <c r="C1" s="2"/>
      <c r="D1" s="2"/>
      <c r="E1" s="2"/>
      <c r="F1" s="2"/>
      <c r="G1" s="2"/>
    </row>
    <row r="2" customFormat="false" ht="19.5" hidden="false" customHeight="true" outlineLevel="0" collapsed="false">
      <c r="A2" s="3" t="s">
        <v>41</v>
      </c>
      <c r="B2" s="2"/>
      <c r="C2" s="2"/>
      <c r="D2" s="2"/>
      <c r="E2" s="2"/>
      <c r="F2" s="2"/>
      <c r="G2" s="2"/>
    </row>
    <row r="3" customFormat="false" ht="31.5" hidden="false" customHeight="true" outlineLevel="0" collapsed="false">
      <c r="A3" s="11" t="s">
        <v>32</v>
      </c>
      <c r="B3" s="11" t="s">
        <v>42</v>
      </c>
      <c r="C3" s="11" t="s">
        <v>43</v>
      </c>
      <c r="D3" s="11" t="s">
        <v>35</v>
      </c>
      <c r="E3" s="11" t="s">
        <v>36</v>
      </c>
      <c r="F3" s="11" t="s">
        <v>44</v>
      </c>
      <c r="G3" s="11" t="s">
        <v>45</v>
      </c>
    </row>
    <row r="4" customFormat="false" ht="48" hidden="false" customHeight="true" outlineLevel="0" collapsed="false">
      <c r="A4" s="12" t="s">
        <v>46</v>
      </c>
      <c r="B4" s="18" t="n">
        <v>0.08</v>
      </c>
      <c r="C4" s="14" t="s">
        <v>47</v>
      </c>
      <c r="D4" s="14" t="s">
        <v>48</v>
      </c>
      <c r="E4" s="14" t="s">
        <v>49</v>
      </c>
      <c r="F4" s="14" t="s">
        <v>50</v>
      </c>
      <c r="G4" s="14" t="s">
        <v>51</v>
      </c>
    </row>
    <row r="5" customFormat="false" ht="48" hidden="false" customHeight="true" outlineLevel="0" collapsed="false">
      <c r="A5" s="12" t="s">
        <v>52</v>
      </c>
      <c r="B5" s="18" t="n">
        <v>0.15</v>
      </c>
      <c r="C5" s="14" t="s">
        <v>53</v>
      </c>
      <c r="D5" s="14" t="s">
        <v>54</v>
      </c>
      <c r="E5" s="14" t="s">
        <v>55</v>
      </c>
      <c r="F5" s="14" t="s">
        <v>56</v>
      </c>
      <c r="G5" s="14" t="s">
        <v>57</v>
      </c>
    </row>
    <row r="6" customFormat="false" ht="33.75" hidden="false" customHeight="true" outlineLevel="0" collapsed="false">
      <c r="A6" s="12" t="s">
        <v>58</v>
      </c>
      <c r="B6" s="18" t="n">
        <v>0.1</v>
      </c>
      <c r="C6" s="14" t="s">
        <v>59</v>
      </c>
      <c r="D6" s="14" t="s">
        <v>60</v>
      </c>
      <c r="E6" s="14" t="s">
        <v>61</v>
      </c>
      <c r="F6" s="14" t="s">
        <v>62</v>
      </c>
      <c r="G6" s="14" t="s">
        <v>63</v>
      </c>
    </row>
    <row r="7" customFormat="false" ht="48" hidden="false" customHeight="true" outlineLevel="0" collapsed="false">
      <c r="A7" s="12" t="s">
        <v>64</v>
      </c>
      <c r="B7" s="18" t="n">
        <v>0.2</v>
      </c>
      <c r="C7" s="14" t="s">
        <v>65</v>
      </c>
      <c r="D7" s="14" t="s">
        <v>66</v>
      </c>
      <c r="E7" s="14" t="s">
        <v>67</v>
      </c>
      <c r="F7" s="14" t="s">
        <v>68</v>
      </c>
      <c r="G7" s="14" t="s">
        <v>69</v>
      </c>
    </row>
    <row r="8" customFormat="false" ht="33.75" hidden="false" customHeight="true" outlineLevel="0" collapsed="false">
      <c r="A8" s="12" t="s">
        <v>70</v>
      </c>
      <c r="B8" s="18" t="n">
        <v>0.1</v>
      </c>
      <c r="C8" s="14" t="s">
        <v>71</v>
      </c>
      <c r="D8" s="14" t="s">
        <v>72</v>
      </c>
      <c r="E8" s="14" t="s">
        <v>73</v>
      </c>
      <c r="F8" s="14" t="s">
        <v>74</v>
      </c>
      <c r="G8" s="14" t="s">
        <v>75</v>
      </c>
    </row>
    <row r="9" customFormat="false" ht="48" hidden="false" customHeight="true" outlineLevel="0" collapsed="false">
      <c r="A9" s="12" t="s">
        <v>76</v>
      </c>
      <c r="B9" s="18" t="n">
        <v>0.17</v>
      </c>
      <c r="C9" s="14" t="s">
        <v>77</v>
      </c>
      <c r="D9" s="14" t="s">
        <v>78</v>
      </c>
      <c r="E9" s="14" t="s">
        <v>79</v>
      </c>
      <c r="F9" s="14" t="s">
        <v>80</v>
      </c>
      <c r="G9" s="14" t="s">
        <v>81</v>
      </c>
    </row>
    <row r="10" customFormat="false" ht="33.75" hidden="false" customHeight="true" outlineLevel="0" collapsed="false">
      <c r="A10" s="12" t="s">
        <v>82</v>
      </c>
      <c r="B10" s="18" t="n">
        <v>0.1</v>
      </c>
      <c r="C10" s="14" t="s">
        <v>83</v>
      </c>
      <c r="D10" s="14" t="s">
        <v>84</v>
      </c>
      <c r="E10" s="14" t="s">
        <v>85</v>
      </c>
      <c r="F10" s="14" t="s">
        <v>86</v>
      </c>
      <c r="G10" s="14" t="s">
        <v>87</v>
      </c>
    </row>
    <row r="11" customFormat="false" ht="48" hidden="false" customHeight="true" outlineLevel="0" collapsed="false">
      <c r="A11" s="12" t="s">
        <v>88</v>
      </c>
      <c r="B11" s="18" t="n">
        <v>0.1</v>
      </c>
      <c r="C11" s="14" t="s">
        <v>89</v>
      </c>
      <c r="D11" s="14" t="s">
        <v>90</v>
      </c>
      <c r="E11" s="14" t="s">
        <v>91</v>
      </c>
      <c r="F11" s="14" t="s">
        <v>92</v>
      </c>
      <c r="G11" s="14" t="s">
        <v>93</v>
      </c>
    </row>
    <row r="12" customFormat="false" ht="15" hidden="false" customHeight="false" outlineLevel="0" collapsed="false">
      <c r="A12" s="15" t="s">
        <v>94</v>
      </c>
      <c r="B12" s="19" t="n">
        <f aca="false">SUM(B4:B11)</f>
        <v>1</v>
      </c>
      <c r="C12" s="20" t="str">
        <f aca="false">IF(ROUND(B12,2)=1,"OK","Ajuste os percentuais para somar 100%")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1340"/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55"/>
    <col collapsed="false" customWidth="true" hidden="false" outlineLevel="0" max="4" min="4" style="0" width="38"/>
    <col collapsed="false" customWidth="true" hidden="false" outlineLevel="0" max="5" min="5" style="0" width="14"/>
    <col collapsed="false" customWidth="true" hidden="false" outlineLevel="0" max="6" min="6" style="0" width="30"/>
  </cols>
  <sheetData>
    <row r="1" customFormat="false" ht="33.75" hidden="false" customHeight="true" outlineLevel="0" collapsed="false">
      <c r="A1" s="1" t="s">
        <v>95</v>
      </c>
      <c r="B1" s="2"/>
      <c r="C1" s="2"/>
      <c r="D1" s="2"/>
      <c r="E1" s="2"/>
      <c r="F1" s="2"/>
    </row>
    <row r="2" customFormat="false" ht="19.5" hidden="false" customHeight="true" outlineLevel="0" collapsed="false">
      <c r="A2" s="3" t="s">
        <v>96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1" t="s">
        <v>97</v>
      </c>
    </row>
    <row r="4" customFormat="false" ht="31.5" hidden="false" customHeight="true" outlineLevel="0" collapsed="false">
      <c r="A4" s="11" t="s">
        <v>98</v>
      </c>
      <c r="B4" s="11" t="s">
        <v>99</v>
      </c>
      <c r="C4" s="11" t="s">
        <v>100</v>
      </c>
      <c r="D4" s="11" t="s">
        <v>101</v>
      </c>
      <c r="E4" s="11" t="s">
        <v>102</v>
      </c>
      <c r="F4" s="11" t="s">
        <v>103</v>
      </c>
    </row>
    <row r="5" customFormat="false" ht="48" hidden="false" customHeight="true" outlineLevel="0" collapsed="false">
      <c r="A5" s="12" t="s">
        <v>104</v>
      </c>
      <c r="B5" s="14" t="s">
        <v>105</v>
      </c>
      <c r="C5" s="14" t="s">
        <v>106</v>
      </c>
      <c r="D5" s="14" t="s">
        <v>107</v>
      </c>
      <c r="E5" s="22" t="s">
        <v>108</v>
      </c>
      <c r="F5" s="22"/>
    </row>
    <row r="6" customFormat="false" ht="48" hidden="false" customHeight="true" outlineLevel="0" collapsed="false">
      <c r="A6" s="12" t="s">
        <v>109</v>
      </c>
      <c r="B6" s="14" t="s">
        <v>110</v>
      </c>
      <c r="C6" s="14" t="s">
        <v>111</v>
      </c>
      <c r="D6" s="14" t="s">
        <v>112</v>
      </c>
      <c r="E6" s="22" t="s">
        <v>113</v>
      </c>
      <c r="F6" s="22"/>
    </row>
    <row r="7" customFormat="false" ht="48" hidden="false" customHeight="true" outlineLevel="0" collapsed="false">
      <c r="A7" s="12" t="s">
        <v>114</v>
      </c>
      <c r="B7" s="14" t="s">
        <v>115</v>
      </c>
      <c r="C7" s="14" t="s">
        <v>116</v>
      </c>
      <c r="D7" s="14" t="s">
        <v>117</v>
      </c>
      <c r="E7" s="22" t="s">
        <v>108</v>
      </c>
      <c r="F7" s="22"/>
    </row>
    <row r="8" customFormat="false" ht="48" hidden="false" customHeight="true" outlineLevel="0" collapsed="false">
      <c r="A8" s="12" t="s">
        <v>118</v>
      </c>
      <c r="B8" s="14" t="s">
        <v>119</v>
      </c>
      <c r="C8" s="14" t="s">
        <v>120</v>
      </c>
      <c r="D8" s="14" t="s">
        <v>121</v>
      </c>
      <c r="E8" s="22" t="s">
        <v>108</v>
      </c>
      <c r="F8" s="22"/>
    </row>
    <row r="9" customFormat="false" ht="33.75" hidden="false" customHeight="true" outlineLevel="0" collapsed="false">
      <c r="A9" s="12" t="s">
        <v>122</v>
      </c>
      <c r="B9" s="14" t="s">
        <v>123</v>
      </c>
      <c r="C9" s="14" t="s">
        <v>124</v>
      </c>
      <c r="D9" s="14" t="s">
        <v>125</v>
      </c>
      <c r="E9" s="22" t="s">
        <v>108</v>
      </c>
      <c r="F9" s="22"/>
    </row>
    <row r="10" customFormat="false" ht="33.75" hidden="false" customHeight="true" outlineLevel="0" collapsed="false">
      <c r="A10" s="12" t="s">
        <v>126</v>
      </c>
      <c r="B10" s="14" t="s">
        <v>127</v>
      </c>
      <c r="C10" s="14" t="s">
        <v>128</v>
      </c>
      <c r="D10" s="14" t="s">
        <v>129</v>
      </c>
      <c r="E10" s="22" t="s">
        <v>108</v>
      </c>
      <c r="F10" s="22"/>
    </row>
    <row r="11" customFormat="false" ht="33.75" hidden="false" customHeight="true" outlineLevel="0" collapsed="false">
      <c r="A11" s="12" t="s">
        <v>130</v>
      </c>
      <c r="B11" s="14" t="s">
        <v>131</v>
      </c>
      <c r="C11" s="14" t="s">
        <v>132</v>
      </c>
      <c r="D11" s="14" t="s">
        <v>133</v>
      </c>
      <c r="E11" s="22" t="s">
        <v>108</v>
      </c>
      <c r="F11" s="22"/>
    </row>
    <row r="12" customFormat="false" ht="33.75" hidden="false" customHeight="true" outlineLevel="0" collapsed="false">
      <c r="A12" s="12" t="s">
        <v>134</v>
      </c>
      <c r="B12" s="14" t="s">
        <v>135</v>
      </c>
      <c r="C12" s="14" t="s">
        <v>136</v>
      </c>
      <c r="D12" s="14" t="s">
        <v>137</v>
      </c>
      <c r="E12" s="22" t="s">
        <v>108</v>
      </c>
      <c r="F12" s="22"/>
    </row>
    <row r="13" customFormat="false" ht="33.75" hidden="false" customHeight="true" outlineLevel="0" collapsed="false">
      <c r="A13" s="12" t="s">
        <v>138</v>
      </c>
      <c r="B13" s="14" t="s">
        <v>139</v>
      </c>
      <c r="C13" s="14" t="s">
        <v>140</v>
      </c>
      <c r="D13" s="14" t="s">
        <v>141</v>
      </c>
      <c r="E13" s="22" t="s">
        <v>113</v>
      </c>
      <c r="F13" s="22"/>
    </row>
    <row r="14" customFormat="false" ht="33.75" hidden="false" customHeight="true" outlineLevel="0" collapsed="false">
      <c r="A14" s="12" t="s">
        <v>142</v>
      </c>
      <c r="B14" s="14" t="s">
        <v>143</v>
      </c>
      <c r="C14" s="14" t="s">
        <v>144</v>
      </c>
      <c r="D14" s="14" t="s">
        <v>145</v>
      </c>
      <c r="E14" s="22" t="s">
        <v>113</v>
      </c>
      <c r="F14" s="22"/>
    </row>
    <row r="15" customFormat="false" ht="33.75" hidden="false" customHeight="true" outlineLevel="0" collapsed="false">
      <c r="A15" s="12" t="s">
        <v>146</v>
      </c>
      <c r="B15" s="14" t="s">
        <v>147</v>
      </c>
      <c r="C15" s="14" t="s">
        <v>148</v>
      </c>
      <c r="D15" s="14" t="s">
        <v>149</v>
      </c>
      <c r="E15" s="22" t="s">
        <v>113</v>
      </c>
      <c r="F15" s="22"/>
    </row>
    <row r="16" customFormat="false" ht="33.75" hidden="false" customHeight="true" outlineLevel="0" collapsed="false">
      <c r="A16" s="12" t="s">
        <v>150</v>
      </c>
      <c r="B16" s="14" t="s">
        <v>151</v>
      </c>
      <c r="C16" s="14" t="s">
        <v>152</v>
      </c>
      <c r="D16" s="14" t="s">
        <v>153</v>
      </c>
      <c r="E16" s="22" t="s">
        <v>108</v>
      </c>
      <c r="F16" s="22"/>
    </row>
    <row r="17" customFormat="false" ht="48" hidden="false" customHeight="true" outlineLevel="0" collapsed="false">
      <c r="A17" s="12" t="s">
        <v>154</v>
      </c>
      <c r="B17" s="14" t="s">
        <v>155</v>
      </c>
      <c r="C17" s="14" t="s">
        <v>156</v>
      </c>
      <c r="D17" s="14" t="s">
        <v>157</v>
      </c>
      <c r="E17" s="22" t="s">
        <v>113</v>
      </c>
      <c r="F17" s="22"/>
    </row>
    <row r="18" customFormat="false" ht="33.75" hidden="false" customHeight="true" outlineLevel="0" collapsed="false">
      <c r="A18" s="12" t="s">
        <v>158</v>
      </c>
      <c r="B18" s="14" t="s">
        <v>159</v>
      </c>
      <c r="C18" s="14" t="s">
        <v>160</v>
      </c>
      <c r="D18" s="14" t="s">
        <v>161</v>
      </c>
      <c r="E18" s="22" t="s">
        <v>113</v>
      </c>
      <c r="F18" s="22"/>
    </row>
  </sheetData>
  <conditionalFormatting sqref="E5:E38">
    <cfRule type="expression" priority="2" aboveAverage="0" equalAverage="0" bottom="0" percent="0" rank="0" text="" dxfId="0">
      <formula>$E5="Validar"</formula>
    </cfRule>
    <cfRule type="expression" priority="3" aboveAverage="0" equalAverage="0" bottom="0" percent="0" rank="0" text="" dxfId="1">
      <formula>$E5&lt;&gt;"Validar"</formula>
    </cfRule>
  </conditionalFormatting>
  <dataValidations count="1">
    <dataValidation allowBlank="true" errorStyle="stop" operator="between" showDropDown="false" showErrorMessage="false" showInputMessage="false" sqref="E5:E38" type="list">
      <formula1>"Fonte pública,Validar,Validado"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185B"/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0"/>
    <col collapsed="false" customWidth="true" hidden="false" outlineLevel="0" max="3" min="3" style="0" width="45"/>
    <col collapsed="false" customWidth="true" hidden="false" outlineLevel="0" max="4" min="4" style="0" width="36"/>
    <col collapsed="false" customWidth="true" hidden="false" outlineLevel="0" max="5" min="5" style="0" width="45"/>
    <col collapsed="false" customWidth="true" hidden="false" outlineLevel="0" max="6" min="6" style="0" width="30"/>
  </cols>
  <sheetData>
    <row r="1" customFormat="false" ht="33.75" hidden="false" customHeight="true" outlineLevel="0" collapsed="false">
      <c r="A1" s="1" t="s">
        <v>162</v>
      </c>
      <c r="B1" s="2"/>
      <c r="C1" s="2"/>
      <c r="D1" s="2"/>
      <c r="E1" s="2"/>
      <c r="F1" s="2"/>
    </row>
    <row r="2" customFormat="false" ht="19.5" hidden="false" customHeight="true" outlineLevel="0" collapsed="false">
      <c r="A2" s="3" t="s">
        <v>163</v>
      </c>
      <c r="B2" s="2"/>
      <c r="C2" s="2"/>
      <c r="D2" s="2"/>
      <c r="E2" s="2"/>
      <c r="F2" s="2"/>
    </row>
    <row r="3" customFormat="false" ht="31.5" hidden="false" customHeight="true" outlineLevel="0" collapsed="false">
      <c r="A3" s="11" t="s">
        <v>142</v>
      </c>
      <c r="B3" s="11" t="s">
        <v>164</v>
      </c>
      <c r="C3" s="11" t="s">
        <v>165</v>
      </c>
      <c r="D3" s="11" t="s">
        <v>166</v>
      </c>
      <c r="E3" s="11" t="s">
        <v>167</v>
      </c>
      <c r="F3" s="11" t="s">
        <v>103</v>
      </c>
    </row>
    <row r="4" customFormat="false" ht="61.5" hidden="false" customHeight="true" outlineLevel="0" collapsed="false">
      <c r="A4" s="12" t="s">
        <v>168</v>
      </c>
      <c r="B4" s="14" t="s">
        <v>169</v>
      </c>
      <c r="C4" s="14" t="s">
        <v>170</v>
      </c>
      <c r="D4" s="14" t="s">
        <v>171</v>
      </c>
      <c r="E4" s="14" t="s">
        <v>172</v>
      </c>
      <c r="F4" s="22"/>
    </row>
    <row r="5" customFormat="false" ht="61.5" hidden="false" customHeight="true" outlineLevel="0" collapsed="false">
      <c r="A5" s="23" t="s">
        <v>173</v>
      </c>
      <c r="B5" s="24" t="s">
        <v>174</v>
      </c>
      <c r="C5" s="24" t="s">
        <v>175</v>
      </c>
      <c r="D5" s="24" t="s">
        <v>176</v>
      </c>
      <c r="E5" s="24" t="s">
        <v>177</v>
      </c>
      <c r="F5" s="22"/>
    </row>
    <row r="6" customFormat="false" ht="75.75" hidden="false" customHeight="true" outlineLevel="0" collapsed="false">
      <c r="A6" s="12" t="s">
        <v>178</v>
      </c>
      <c r="B6" s="14" t="s">
        <v>179</v>
      </c>
      <c r="C6" s="14" t="s">
        <v>180</v>
      </c>
      <c r="D6" s="14" t="s">
        <v>181</v>
      </c>
      <c r="E6" s="14" t="s">
        <v>182</v>
      </c>
      <c r="F6" s="22"/>
    </row>
    <row r="7" customFormat="false" ht="48" hidden="false" customHeight="true" outlineLevel="0" collapsed="false">
      <c r="A7" s="23" t="s">
        <v>183</v>
      </c>
      <c r="B7" s="24" t="s">
        <v>184</v>
      </c>
      <c r="C7" s="24" t="s">
        <v>185</v>
      </c>
      <c r="D7" s="24" t="s">
        <v>186</v>
      </c>
      <c r="E7" s="24" t="s">
        <v>187</v>
      </c>
      <c r="F7" s="22"/>
    </row>
    <row r="8" customFormat="false" ht="33.75" hidden="false" customHeight="true" outlineLevel="0" collapsed="false">
      <c r="A8" s="12" t="s">
        <v>188</v>
      </c>
      <c r="B8" s="14" t="s">
        <v>189</v>
      </c>
      <c r="C8" s="14" t="s">
        <v>190</v>
      </c>
      <c r="D8" s="14" t="s">
        <v>191</v>
      </c>
      <c r="E8" s="14" t="s">
        <v>192</v>
      </c>
      <c r="F8" s="22"/>
    </row>
    <row r="9" customFormat="false" ht="48" hidden="false" customHeight="true" outlineLevel="0" collapsed="false">
      <c r="A9" s="23" t="s">
        <v>193</v>
      </c>
      <c r="B9" s="24" t="s">
        <v>194</v>
      </c>
      <c r="C9" s="24" t="s">
        <v>195</v>
      </c>
      <c r="D9" s="24" t="s">
        <v>196</v>
      </c>
      <c r="E9" s="24" t="s">
        <v>197</v>
      </c>
      <c r="F9" s="22"/>
    </row>
    <row r="10" customFormat="false" ht="48" hidden="false" customHeight="true" outlineLevel="0" collapsed="false">
      <c r="A10" s="12" t="s">
        <v>198</v>
      </c>
      <c r="B10" s="14" t="s">
        <v>199</v>
      </c>
      <c r="C10" s="14" t="s">
        <v>200</v>
      </c>
      <c r="D10" s="14" t="s">
        <v>201</v>
      </c>
      <c r="E10" s="14" t="s">
        <v>202</v>
      </c>
      <c r="F10" s="22"/>
    </row>
    <row r="11" customFormat="false" ht="117.75" hidden="false" customHeight="true" outlineLevel="0" collapsed="false">
      <c r="A11" s="23" t="s">
        <v>203</v>
      </c>
      <c r="B11" s="24" t="s">
        <v>204</v>
      </c>
      <c r="C11" s="24" t="s">
        <v>205</v>
      </c>
      <c r="D11" s="24" t="s">
        <v>206</v>
      </c>
      <c r="E11" s="24" t="s">
        <v>207</v>
      </c>
      <c r="F11" s="22"/>
    </row>
    <row r="12" customFormat="false" ht="61.5" hidden="false" customHeight="true" outlineLevel="0" collapsed="false">
      <c r="A12" s="12" t="s">
        <v>208</v>
      </c>
      <c r="B12" s="14" t="s">
        <v>209</v>
      </c>
      <c r="C12" s="14" t="s">
        <v>210</v>
      </c>
      <c r="D12" s="14" t="s">
        <v>211</v>
      </c>
      <c r="E12" s="14" t="s">
        <v>212</v>
      </c>
      <c r="F12" s="22"/>
    </row>
    <row r="13" customFormat="false" ht="75.75" hidden="false" customHeight="true" outlineLevel="0" collapsed="false">
      <c r="A13" s="23" t="s">
        <v>102</v>
      </c>
      <c r="B13" s="24" t="s">
        <v>213</v>
      </c>
      <c r="C13" s="24" t="s">
        <v>214</v>
      </c>
      <c r="D13" s="24" t="s">
        <v>215</v>
      </c>
      <c r="E13" s="24" t="s">
        <v>216</v>
      </c>
      <c r="F13" s="22"/>
    </row>
    <row r="15" customFormat="false" ht="15" hidden="false" customHeight="false" outlineLevel="0" collapsed="false">
      <c r="A15" s="25" t="s">
        <v>217</v>
      </c>
    </row>
    <row r="16" customFormat="false" ht="15" hidden="false" customHeight="false" outlineLevel="0" collapsed="false">
      <c r="A16" s="26" t="s">
        <v>218</v>
      </c>
      <c r="B16" s="26" t="s">
        <v>219</v>
      </c>
      <c r="C16" s="26" t="s">
        <v>220</v>
      </c>
    </row>
    <row r="17" customFormat="false" ht="15" hidden="false" customHeight="false" outlineLevel="0" collapsed="false">
      <c r="A17" s="26" t="s">
        <v>221</v>
      </c>
      <c r="B17" s="26" t="s">
        <v>222</v>
      </c>
      <c r="C17" s="26" t="s">
        <v>223</v>
      </c>
    </row>
    <row r="18" customFormat="false" ht="15" hidden="false" customHeight="false" outlineLevel="0" collapsed="false">
      <c r="A18" s="26" t="s">
        <v>224</v>
      </c>
      <c r="B18" s="26" t="s">
        <v>225</v>
      </c>
      <c r="C18" s="26" t="s">
        <v>226</v>
      </c>
    </row>
    <row r="19" customFormat="false" ht="15" hidden="false" customHeight="false" outlineLevel="0" collapsed="false">
      <c r="A19" s="26" t="s">
        <v>227</v>
      </c>
      <c r="B19" s="26" t="s">
        <v>228</v>
      </c>
      <c r="C19" s="26" t="s">
        <v>229</v>
      </c>
    </row>
    <row r="20" customFormat="false" ht="15" hidden="false" customHeight="false" outlineLevel="0" collapsed="false">
      <c r="A20" s="26" t="s">
        <v>230</v>
      </c>
      <c r="B20" s="26" t="s">
        <v>231</v>
      </c>
      <c r="C20" s="26" t="s">
        <v>232</v>
      </c>
    </row>
    <row r="21" customFormat="false" ht="15" hidden="false" customHeight="false" outlineLevel="0" collapsed="false">
      <c r="A21" s="26" t="s">
        <v>233</v>
      </c>
      <c r="B21" s="26" t="s">
        <v>234</v>
      </c>
      <c r="C21" s="26" t="s">
        <v>235</v>
      </c>
    </row>
    <row r="22" customFormat="false" ht="15" hidden="false" customHeight="false" outlineLevel="0" collapsed="false">
      <c r="A22" s="26" t="s">
        <v>236</v>
      </c>
      <c r="B22" s="26" t="s">
        <v>237</v>
      </c>
      <c r="C22" s="26" t="s">
        <v>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185B"/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42"/>
    <col collapsed="false" customWidth="true" hidden="false" outlineLevel="0" max="4" min="4" style="0" width="20"/>
    <col collapsed="false" customWidth="true" hidden="false" outlineLevel="0" max="5" min="5" style="0" width="30"/>
  </cols>
  <sheetData>
    <row r="1" customFormat="false" ht="33.75" hidden="false" customHeight="true" outlineLevel="0" collapsed="false">
      <c r="A1" s="1" t="s">
        <v>239</v>
      </c>
      <c r="B1" s="2"/>
      <c r="C1" s="2"/>
      <c r="D1" s="2"/>
      <c r="E1" s="2"/>
    </row>
    <row r="2" customFormat="false" ht="19.5" hidden="false" customHeight="true" outlineLevel="0" collapsed="false">
      <c r="A2" s="3" t="s">
        <v>240</v>
      </c>
      <c r="B2" s="2"/>
      <c r="C2" s="2"/>
      <c r="D2" s="2"/>
      <c r="E2" s="2"/>
    </row>
    <row r="3" customFormat="false" ht="31.5" hidden="false" customHeight="true" outlineLevel="0" collapsed="false">
      <c r="A3" s="11" t="s">
        <v>241</v>
      </c>
      <c r="B3" s="11" t="s">
        <v>242</v>
      </c>
      <c r="C3" s="11" t="s">
        <v>243</v>
      </c>
      <c r="D3" s="11" t="s">
        <v>102</v>
      </c>
      <c r="E3" s="11" t="s">
        <v>103</v>
      </c>
    </row>
    <row r="4" customFormat="false" ht="33.75" hidden="false" customHeight="true" outlineLevel="0" collapsed="false">
      <c r="A4" s="12" t="s">
        <v>244</v>
      </c>
      <c r="B4" s="14" t="s">
        <v>245</v>
      </c>
      <c r="C4" s="14" t="s">
        <v>246</v>
      </c>
      <c r="D4" s="22" t="s">
        <v>247</v>
      </c>
      <c r="E4" s="22"/>
    </row>
    <row r="5" customFormat="false" ht="33.75" hidden="false" customHeight="true" outlineLevel="0" collapsed="false">
      <c r="A5" s="12" t="s">
        <v>248</v>
      </c>
      <c r="B5" s="14" t="s">
        <v>249</v>
      </c>
      <c r="C5" s="14" t="s">
        <v>250</v>
      </c>
      <c r="D5" s="22" t="s">
        <v>247</v>
      </c>
      <c r="E5" s="22"/>
    </row>
    <row r="6" customFormat="false" ht="19.5" hidden="false" customHeight="true" outlineLevel="0" collapsed="false">
      <c r="A6" s="12" t="s">
        <v>251</v>
      </c>
      <c r="B6" s="14" t="s">
        <v>252</v>
      </c>
      <c r="C6" s="14" t="s">
        <v>253</v>
      </c>
      <c r="D6" s="22" t="s">
        <v>254</v>
      </c>
      <c r="E6" s="22"/>
    </row>
    <row r="7" customFormat="false" ht="33.75" hidden="false" customHeight="true" outlineLevel="0" collapsed="false">
      <c r="A7" s="12" t="s">
        <v>255</v>
      </c>
      <c r="B7" s="14" t="s">
        <v>256</v>
      </c>
      <c r="C7" s="14" t="s">
        <v>257</v>
      </c>
      <c r="D7" s="22" t="s">
        <v>254</v>
      </c>
      <c r="E7" s="22"/>
    </row>
    <row r="8" customFormat="false" ht="19.5" hidden="false" customHeight="true" outlineLevel="0" collapsed="false">
      <c r="A8" s="12" t="s">
        <v>258</v>
      </c>
      <c r="B8" s="14" t="s">
        <v>259</v>
      </c>
      <c r="C8" s="14" t="s">
        <v>260</v>
      </c>
      <c r="D8" s="22" t="s">
        <v>261</v>
      </c>
      <c r="E8" s="22"/>
    </row>
    <row r="9" customFormat="false" ht="33.75" hidden="false" customHeight="true" outlineLevel="0" collapsed="false">
      <c r="A9" s="12" t="s">
        <v>262</v>
      </c>
      <c r="B9" s="14" t="s">
        <v>263</v>
      </c>
      <c r="C9" s="14" t="s">
        <v>264</v>
      </c>
      <c r="D9" s="22" t="s">
        <v>265</v>
      </c>
      <c r="E9" s="22"/>
    </row>
    <row r="10" customFormat="false" ht="19.5" hidden="false" customHeight="true" outlineLevel="0" collapsed="false">
      <c r="A10" s="12" t="s">
        <v>266</v>
      </c>
      <c r="B10" s="14" t="s">
        <v>267</v>
      </c>
      <c r="C10" s="14" t="s">
        <v>268</v>
      </c>
      <c r="D10" s="22" t="s">
        <v>265</v>
      </c>
      <c r="E10" s="22"/>
    </row>
    <row r="11" customFormat="false" ht="33.75" hidden="false" customHeight="true" outlineLevel="0" collapsed="false">
      <c r="A11" s="12" t="s">
        <v>269</v>
      </c>
      <c r="B11" s="14" t="s">
        <v>270</v>
      </c>
      <c r="C11" s="14" t="s">
        <v>271</v>
      </c>
      <c r="D11" s="22" t="s">
        <v>254</v>
      </c>
      <c r="E11" s="22"/>
    </row>
    <row r="12" customFormat="false" ht="33.75" hidden="false" customHeight="true" outlineLevel="0" collapsed="false">
      <c r="A12" s="12" t="s">
        <v>272</v>
      </c>
      <c r="B12" s="14" t="s">
        <v>273</v>
      </c>
      <c r="C12" s="14" t="s">
        <v>274</v>
      </c>
      <c r="D12" s="22" t="s">
        <v>254</v>
      </c>
      <c r="E12" s="22"/>
    </row>
    <row r="13" customFormat="false" ht="33.75" hidden="false" customHeight="true" outlineLevel="0" collapsed="false">
      <c r="A13" s="12" t="s">
        <v>275</v>
      </c>
      <c r="B13" s="14" t="s">
        <v>276</v>
      </c>
      <c r="C13" s="14" t="s">
        <v>277</v>
      </c>
      <c r="D13" s="22" t="s">
        <v>247</v>
      </c>
      <c r="E13" s="22"/>
    </row>
    <row r="14" customFormat="false" ht="19.5" hidden="false" customHeight="true" outlineLevel="0" collapsed="false">
      <c r="A14" s="12" t="s">
        <v>278</v>
      </c>
      <c r="B14" s="14" t="s">
        <v>279</v>
      </c>
      <c r="C14" s="14" t="s">
        <v>280</v>
      </c>
      <c r="D14" s="22" t="s">
        <v>281</v>
      </c>
      <c r="E14" s="22"/>
    </row>
    <row r="15" customFormat="false" ht="19.5" hidden="false" customHeight="true" outlineLevel="0" collapsed="false">
      <c r="A15" s="12" t="s">
        <v>282</v>
      </c>
      <c r="B15" s="14" t="s">
        <v>283</v>
      </c>
      <c r="C15" s="14" t="s">
        <v>284</v>
      </c>
      <c r="D15" s="22" t="s">
        <v>247</v>
      </c>
      <c r="E15" s="22"/>
    </row>
    <row r="16" customFormat="false" ht="33.75" hidden="false" customHeight="true" outlineLevel="0" collapsed="false">
      <c r="A16" s="12" t="s">
        <v>285</v>
      </c>
      <c r="B16" s="14" t="s">
        <v>286</v>
      </c>
      <c r="C16" s="14" t="s">
        <v>287</v>
      </c>
      <c r="D16" s="22" t="s">
        <v>254</v>
      </c>
      <c r="E16" s="22"/>
    </row>
    <row r="17" customFormat="false" ht="19.5" hidden="false" customHeight="true" outlineLevel="0" collapsed="false">
      <c r="A17" s="12" t="s">
        <v>288</v>
      </c>
      <c r="B17" s="14" t="s">
        <v>289</v>
      </c>
      <c r="C17" s="14" t="s">
        <v>290</v>
      </c>
      <c r="D17" s="22" t="s">
        <v>261</v>
      </c>
      <c r="E17" s="22"/>
    </row>
    <row r="18" customFormat="false" ht="19.5" hidden="false" customHeight="true" outlineLevel="0" collapsed="false">
      <c r="A18" s="12" t="s">
        <v>291</v>
      </c>
      <c r="B18" s="14" t="s">
        <v>292</v>
      </c>
      <c r="C18" s="14" t="s">
        <v>293</v>
      </c>
      <c r="D18" s="22" t="s">
        <v>254</v>
      </c>
      <c r="E18" s="22"/>
    </row>
    <row r="19" customFormat="false" ht="33.75" hidden="false" customHeight="true" outlineLevel="0" collapsed="false">
      <c r="A19" s="12" t="s">
        <v>294</v>
      </c>
      <c r="B19" s="14" t="s">
        <v>295</v>
      </c>
      <c r="C19" s="14" t="s">
        <v>296</v>
      </c>
      <c r="D19" s="22" t="s">
        <v>254</v>
      </c>
      <c r="E19" s="22"/>
    </row>
    <row r="20" customFormat="false" ht="19.5" hidden="false" customHeight="true" outlineLevel="0" collapsed="false">
      <c r="A20" s="12" t="s">
        <v>297</v>
      </c>
      <c r="B20" s="14" t="s">
        <v>298</v>
      </c>
      <c r="C20" s="14" t="s">
        <v>299</v>
      </c>
      <c r="D20" s="22" t="s">
        <v>300</v>
      </c>
      <c r="E20" s="22"/>
    </row>
    <row r="21" customFormat="false" ht="19.5" hidden="false" customHeight="true" outlineLevel="0" collapsed="false">
      <c r="A21" s="12" t="s">
        <v>301</v>
      </c>
      <c r="B21" s="14" t="s">
        <v>302</v>
      </c>
      <c r="C21" s="14" t="s">
        <v>303</v>
      </c>
      <c r="D21" s="22" t="s">
        <v>254</v>
      </c>
      <c r="E21" s="22"/>
    </row>
    <row r="22" customFormat="false" ht="19.5" hidden="false" customHeight="true" outlineLevel="0" collapsed="false">
      <c r="A22" s="12" t="s">
        <v>304</v>
      </c>
      <c r="B22" s="14" t="s">
        <v>305</v>
      </c>
      <c r="C22" s="14" t="s">
        <v>306</v>
      </c>
      <c r="D22" s="22" t="s">
        <v>307</v>
      </c>
      <c r="E22" s="22"/>
    </row>
  </sheetData>
  <conditionalFormatting sqref="D4:D22">
    <cfRule type="expression" priority="2" aboveAverage="0" equalAverage="0" bottom="0" percent="0" rank="0" text="" dxfId="0">
      <formula>LEFT($D4,9)="Confirmar"</formula>
    </cfRule>
    <cfRule type="expression" priority="3" aboveAverage="0" equalAverage="0" bottom="0" percent="0" rank="0" text="" dxfId="1">
      <formula>$D4="OK"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185B"/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30"/>
    <col collapsed="false" customWidth="true" hidden="false" outlineLevel="0" max="5" min="4" style="0" width="36"/>
    <col collapsed="false" customWidth="true" hidden="false" outlineLevel="0" max="6" min="6" style="0" width="32"/>
    <col collapsed="false" customWidth="true" hidden="false" outlineLevel="0" max="7" min="7" style="0" width="24"/>
    <col collapsed="false" customWidth="true" hidden="false" outlineLevel="0" max="8" min="8" style="0" width="18"/>
    <col collapsed="false" customWidth="true" hidden="false" outlineLevel="0" max="9" min="9" style="0" width="22"/>
  </cols>
  <sheetData>
    <row r="1" customFormat="false" ht="33.75" hidden="false" customHeight="true" outlineLevel="0" collapsed="false">
      <c r="A1" s="1" t="s">
        <v>308</v>
      </c>
      <c r="B1" s="2"/>
      <c r="C1" s="2"/>
      <c r="D1" s="2"/>
      <c r="E1" s="2"/>
      <c r="F1" s="2"/>
      <c r="G1" s="2"/>
      <c r="H1" s="2"/>
      <c r="I1" s="2"/>
    </row>
    <row r="2" customFormat="false" ht="19.5" hidden="false" customHeight="true" outlineLevel="0" collapsed="false">
      <c r="A2" s="3" t="s">
        <v>309</v>
      </c>
      <c r="B2" s="2"/>
      <c r="C2" s="2"/>
      <c r="D2" s="2"/>
      <c r="E2" s="2"/>
      <c r="F2" s="2"/>
      <c r="G2" s="2"/>
      <c r="H2" s="2"/>
      <c r="I2" s="2"/>
    </row>
    <row r="3" customFormat="false" ht="31.5" hidden="false" customHeight="true" outlineLevel="0" collapsed="false">
      <c r="A3" s="11" t="s">
        <v>310</v>
      </c>
      <c r="B3" s="11" t="s">
        <v>311</v>
      </c>
      <c r="C3" s="11" t="s">
        <v>312</v>
      </c>
      <c r="D3" s="11" t="s">
        <v>313</v>
      </c>
      <c r="E3" s="11" t="s">
        <v>314</v>
      </c>
      <c r="F3" s="11" t="s">
        <v>315</v>
      </c>
      <c r="G3" s="11" t="s">
        <v>316</v>
      </c>
      <c r="H3" s="11" t="s">
        <v>317</v>
      </c>
      <c r="I3" s="11" t="s">
        <v>102</v>
      </c>
    </row>
    <row r="4" customFormat="false" ht="39.75" hidden="false" customHeight="true" outlineLevel="0" collapsed="false">
      <c r="A4" s="12" t="s">
        <v>318</v>
      </c>
      <c r="B4" s="14" t="s">
        <v>319</v>
      </c>
      <c r="C4" s="14" t="s">
        <v>320</v>
      </c>
      <c r="D4" s="22"/>
      <c r="E4" s="22"/>
      <c r="F4" s="22"/>
      <c r="G4" s="22"/>
      <c r="H4" s="22"/>
      <c r="I4" s="22" t="s">
        <v>321</v>
      </c>
    </row>
    <row r="5" customFormat="false" ht="39.75" hidden="false" customHeight="true" outlineLevel="0" collapsed="false">
      <c r="A5" s="12" t="s">
        <v>322</v>
      </c>
      <c r="B5" s="14" t="s">
        <v>323</v>
      </c>
      <c r="C5" s="14" t="s">
        <v>324</v>
      </c>
      <c r="D5" s="22"/>
      <c r="E5" s="22"/>
      <c r="F5" s="22"/>
      <c r="G5" s="22"/>
      <c r="H5" s="22"/>
      <c r="I5" s="22" t="s">
        <v>325</v>
      </c>
    </row>
    <row r="6" customFormat="false" ht="39.75" hidden="false" customHeight="true" outlineLevel="0" collapsed="false">
      <c r="A6" s="12" t="s">
        <v>326</v>
      </c>
      <c r="B6" s="14" t="s">
        <v>323</v>
      </c>
      <c r="C6" s="14" t="s">
        <v>327</v>
      </c>
      <c r="D6" s="22"/>
      <c r="E6" s="22"/>
      <c r="F6" s="22"/>
      <c r="G6" s="22"/>
      <c r="H6" s="22"/>
      <c r="I6" s="22" t="s">
        <v>321</v>
      </c>
    </row>
    <row r="7" customFormat="false" ht="39.75" hidden="false" customHeight="true" outlineLevel="0" collapsed="false">
      <c r="A7" s="12" t="s">
        <v>328</v>
      </c>
      <c r="B7" s="14" t="s">
        <v>323</v>
      </c>
      <c r="C7" s="14" t="s">
        <v>324</v>
      </c>
      <c r="D7" s="22"/>
      <c r="E7" s="22"/>
      <c r="F7" s="22"/>
      <c r="G7" s="22"/>
      <c r="H7" s="22"/>
      <c r="I7" s="22" t="s">
        <v>321</v>
      </c>
    </row>
    <row r="8" customFormat="false" ht="39.75" hidden="false" customHeight="true" outlineLevel="0" collapsed="false">
      <c r="A8" s="12" t="s">
        <v>329</v>
      </c>
      <c r="B8" s="14" t="s">
        <v>330</v>
      </c>
      <c r="C8" s="14"/>
      <c r="D8" s="22"/>
      <c r="E8" s="22"/>
      <c r="F8" s="22"/>
      <c r="G8" s="22"/>
      <c r="H8" s="22"/>
      <c r="I8" s="22" t="s">
        <v>247</v>
      </c>
    </row>
    <row r="9" customFormat="false" ht="39.75" hidden="false" customHeight="true" outlineLevel="0" collapsed="false">
      <c r="A9" s="12" t="s">
        <v>331</v>
      </c>
      <c r="B9" s="14" t="s">
        <v>332</v>
      </c>
      <c r="C9" s="14" t="s">
        <v>333</v>
      </c>
      <c r="D9" s="22"/>
      <c r="E9" s="22"/>
      <c r="F9" s="22"/>
      <c r="G9" s="22"/>
      <c r="H9" s="22"/>
      <c r="I9" s="22" t="s">
        <v>321</v>
      </c>
    </row>
    <row r="10" customFormat="false" ht="15" hidden="false" customHeight="false" outlineLevel="0" collapsed="false">
      <c r="A10" s="27"/>
      <c r="B10" s="27"/>
      <c r="C10" s="27"/>
      <c r="D10" s="27"/>
      <c r="E10" s="27"/>
      <c r="F10" s="27"/>
      <c r="G10" s="27"/>
      <c r="H10" s="27"/>
      <c r="I10" s="27"/>
    </row>
    <row r="11" customFormat="false" ht="15" hidden="false" customHeight="false" outlineLevel="0" collapsed="false">
      <c r="A11" s="27"/>
      <c r="B11" s="27"/>
      <c r="C11" s="27"/>
      <c r="D11" s="27"/>
      <c r="E11" s="27"/>
      <c r="F11" s="27"/>
      <c r="G11" s="27"/>
      <c r="H11" s="27"/>
      <c r="I11" s="27"/>
    </row>
    <row r="12" customFormat="false" ht="15" hidden="false" customHeight="false" outlineLevel="0" collapsed="false">
      <c r="A12" s="27"/>
      <c r="B12" s="27"/>
      <c r="C12" s="27"/>
      <c r="D12" s="27"/>
      <c r="E12" s="27"/>
      <c r="F12" s="27"/>
      <c r="G12" s="27"/>
      <c r="H12" s="27"/>
      <c r="I12" s="27"/>
    </row>
    <row r="13" customFormat="false" ht="15" hidden="false" customHeight="false" outlineLevel="0" collapsed="false">
      <c r="A13" s="27"/>
      <c r="B13" s="27"/>
      <c r="C13" s="27"/>
      <c r="D13" s="27"/>
      <c r="E13" s="27"/>
      <c r="F13" s="27"/>
      <c r="G13" s="27"/>
      <c r="H13" s="27"/>
      <c r="I13" s="27"/>
    </row>
    <row r="14" customFormat="false" ht="15" hidden="false" customHeight="false" outlineLevel="0" collapsed="false">
      <c r="A14" s="27"/>
      <c r="B14" s="27"/>
      <c r="C14" s="27"/>
      <c r="D14" s="27"/>
      <c r="E14" s="27"/>
      <c r="F14" s="27"/>
      <c r="G14" s="27"/>
      <c r="H14" s="27"/>
      <c r="I14" s="27"/>
    </row>
    <row r="15" customFormat="false" ht="15" hidden="false" customHeight="false" outlineLevel="0" collapsed="false">
      <c r="A15" s="27"/>
      <c r="B15" s="27"/>
      <c r="C15" s="27"/>
      <c r="D15" s="27"/>
      <c r="E15" s="27"/>
      <c r="F15" s="27"/>
      <c r="G15" s="27"/>
      <c r="H15" s="27"/>
      <c r="I15" s="27"/>
    </row>
    <row r="16" customFormat="false" ht="15" hidden="false" customHeight="false" outlineLevel="0" collapsed="false">
      <c r="A16" s="27"/>
      <c r="B16" s="27"/>
      <c r="C16" s="27"/>
      <c r="D16" s="27"/>
      <c r="E16" s="27"/>
      <c r="F16" s="27"/>
      <c r="G16" s="27"/>
      <c r="H16" s="27"/>
      <c r="I16" s="27"/>
    </row>
    <row r="17" customFormat="false" ht="15" hidden="false" customHeight="false" outlineLevel="0" collapsed="false">
      <c r="A17" s="27"/>
      <c r="B17" s="27"/>
      <c r="C17" s="27"/>
      <c r="D17" s="27"/>
      <c r="E17" s="27"/>
      <c r="F17" s="27"/>
      <c r="G17" s="27"/>
      <c r="H17" s="27"/>
      <c r="I17" s="27"/>
    </row>
    <row r="18" customFormat="false" ht="15" hidden="false" customHeight="false" outlineLevel="0" collapsed="false">
      <c r="A18" s="27"/>
      <c r="B18" s="27"/>
      <c r="C18" s="27"/>
      <c r="D18" s="27"/>
      <c r="E18" s="27"/>
      <c r="F18" s="27"/>
      <c r="G18" s="27"/>
      <c r="H18" s="27"/>
      <c r="I18" s="27"/>
    </row>
    <row r="19" customFormat="false" ht="15" hidden="false" customHeight="false" outlineLevel="0" collapsed="false">
      <c r="A19" s="27"/>
      <c r="B19" s="27"/>
      <c r="C19" s="27"/>
      <c r="D19" s="27"/>
      <c r="E19" s="27"/>
      <c r="F19" s="27"/>
      <c r="G19" s="27"/>
      <c r="H19" s="27"/>
      <c r="I19" s="27"/>
    </row>
  </sheetData>
  <dataValidations count="1">
    <dataValidation allowBlank="true" errorStyle="stop" operator="between" showDropDown="false" showErrorMessage="false" showInputMessage="false" sqref="H4:H19" type="list">
      <formula1>"Sim,Não,A confirmar"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185B"/>
    <pageSetUpPr fitToPage="false"/>
  </sheetPr>
  <dimension ref="A1:Y2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19" min="3" style="0" width="38"/>
    <col collapsed="false" customWidth="true" hidden="false" outlineLevel="0" max="20" min="20" style="0" width="30"/>
    <col collapsed="false" customWidth="true" hidden="false" outlineLevel="0" max="21" min="21" style="0" width="26"/>
    <col collapsed="false" customWidth="true" hidden="false" outlineLevel="0" max="22" min="22" style="0" width="34"/>
    <col collapsed="false" customWidth="true" hidden="false" outlineLevel="0" max="23" min="23" style="0" width="11"/>
    <col collapsed="false" customWidth="true" hidden="false" outlineLevel="0" max="24" min="24" style="0" width="22"/>
    <col collapsed="false" customWidth="true" hidden="false" outlineLevel="0" max="25" min="25" style="0" width="26"/>
  </cols>
  <sheetData>
    <row r="1" customFormat="false" ht="33.75" hidden="false" customHeight="true" outlineLevel="0" collapsed="false">
      <c r="A1" s="1" t="s">
        <v>334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9.5" hidden="false" customHeight="true" outlineLevel="0" collapsed="false">
      <c r="A2" s="3" t="s">
        <v>335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31.5" hidden="false" customHeight="true" outlineLevel="0" collapsed="false">
      <c r="A3" s="11" t="s">
        <v>27</v>
      </c>
      <c r="B3" s="11" t="s">
        <v>336</v>
      </c>
      <c r="C3" s="11" t="s">
        <v>337</v>
      </c>
      <c r="D3" s="11" t="s">
        <v>338</v>
      </c>
      <c r="E3" s="11" t="s">
        <v>339</v>
      </c>
      <c r="F3" s="11" t="s">
        <v>340</v>
      </c>
      <c r="G3" s="11" t="s">
        <v>341</v>
      </c>
      <c r="H3" s="11" t="s">
        <v>342</v>
      </c>
      <c r="I3" s="11" t="s">
        <v>343</v>
      </c>
      <c r="J3" s="11" t="s">
        <v>344</v>
      </c>
      <c r="K3" s="11" t="s">
        <v>345</v>
      </c>
      <c r="L3" s="11" t="s">
        <v>346</v>
      </c>
      <c r="M3" s="11" t="s">
        <v>347</v>
      </c>
      <c r="N3" s="11" t="s">
        <v>348</v>
      </c>
      <c r="O3" s="11" t="s">
        <v>349</v>
      </c>
      <c r="P3" s="11" t="s">
        <v>350</v>
      </c>
      <c r="Q3" s="11" t="s">
        <v>351</v>
      </c>
      <c r="R3" s="11" t="s">
        <v>352</v>
      </c>
      <c r="S3" s="11" t="s">
        <v>353</v>
      </c>
      <c r="T3" s="11" t="s">
        <v>354</v>
      </c>
      <c r="U3" s="11" t="s">
        <v>308</v>
      </c>
      <c r="V3" s="11" t="s">
        <v>355</v>
      </c>
      <c r="W3" s="11" t="s">
        <v>356</v>
      </c>
      <c r="X3" s="11" t="s">
        <v>357</v>
      </c>
      <c r="Y3" s="11" t="s">
        <v>358</v>
      </c>
    </row>
    <row r="4" customFormat="false" ht="75.75" hidden="false" customHeight="true" outlineLevel="0" collapsed="false">
      <c r="A4" s="12" t="s">
        <v>359</v>
      </c>
      <c r="B4" s="14" t="s">
        <v>360</v>
      </c>
      <c r="C4" s="14" t="s">
        <v>361</v>
      </c>
      <c r="D4" s="14" t="s">
        <v>362</v>
      </c>
      <c r="E4" s="14" t="s">
        <v>363</v>
      </c>
      <c r="F4" s="14" t="s">
        <v>364</v>
      </c>
      <c r="G4" s="14" t="s">
        <v>365</v>
      </c>
      <c r="H4" s="14" t="s">
        <v>366</v>
      </c>
      <c r="I4" s="14" t="s">
        <v>367</v>
      </c>
      <c r="J4" s="14" t="s">
        <v>368</v>
      </c>
      <c r="K4" s="28" t="s">
        <v>369</v>
      </c>
      <c r="L4" s="14" t="s">
        <v>370</v>
      </c>
      <c r="M4" s="14" t="s">
        <v>371</v>
      </c>
      <c r="N4" s="14" t="s">
        <v>372</v>
      </c>
      <c r="O4" s="14" t="s">
        <v>373</v>
      </c>
      <c r="P4" s="14" t="s">
        <v>374</v>
      </c>
      <c r="Q4" s="14" t="s">
        <v>375</v>
      </c>
      <c r="R4" s="14" t="s">
        <v>376</v>
      </c>
      <c r="S4" s="14" t="s">
        <v>377</v>
      </c>
      <c r="T4" s="14" t="s">
        <v>378</v>
      </c>
      <c r="U4" s="14"/>
      <c r="V4" s="14" t="s">
        <v>379</v>
      </c>
      <c r="W4" s="29" t="n">
        <f aca="false">COUNTIF('Banco de Ideias'!$C:$C,A4)</f>
        <v>0</v>
      </c>
      <c r="X4" s="22"/>
      <c r="Y4" s="22"/>
    </row>
    <row r="5" customFormat="false" ht="75.75" hidden="false" customHeight="true" outlineLevel="0" collapsed="false">
      <c r="A5" s="23" t="s">
        <v>319</v>
      </c>
      <c r="B5" s="24" t="s">
        <v>380</v>
      </c>
      <c r="C5" s="24" t="s">
        <v>381</v>
      </c>
      <c r="D5" s="24" t="s">
        <v>382</v>
      </c>
      <c r="E5" s="24" t="s">
        <v>383</v>
      </c>
      <c r="F5" s="24" t="s">
        <v>384</v>
      </c>
      <c r="G5" s="24" t="s">
        <v>385</v>
      </c>
      <c r="H5" s="24" t="s">
        <v>386</v>
      </c>
      <c r="I5" s="24" t="s">
        <v>387</v>
      </c>
      <c r="J5" s="24" t="s">
        <v>388</v>
      </c>
      <c r="K5" s="30" t="s">
        <v>389</v>
      </c>
      <c r="L5" s="24" t="s">
        <v>390</v>
      </c>
      <c r="M5" s="24" t="s">
        <v>391</v>
      </c>
      <c r="N5" s="24" t="s">
        <v>392</v>
      </c>
      <c r="O5" s="24" t="s">
        <v>393</v>
      </c>
      <c r="P5" s="24" t="s">
        <v>394</v>
      </c>
      <c r="Q5" s="24" t="s">
        <v>395</v>
      </c>
      <c r="R5" s="24" t="s">
        <v>396</v>
      </c>
      <c r="S5" s="24" t="s">
        <v>397</v>
      </c>
      <c r="T5" s="24" t="s">
        <v>320</v>
      </c>
      <c r="U5" s="24" t="s">
        <v>318</v>
      </c>
      <c r="V5" s="24" t="s">
        <v>398</v>
      </c>
      <c r="W5" s="31" t="n">
        <f aca="false">COUNTIF('Banco de Ideias'!$C:$C,A5)</f>
        <v>0</v>
      </c>
      <c r="X5" s="22"/>
      <c r="Y5" s="22"/>
    </row>
    <row r="6" customFormat="false" ht="75.75" hidden="false" customHeight="true" outlineLevel="0" collapsed="false">
      <c r="A6" s="12" t="s">
        <v>28</v>
      </c>
      <c r="B6" s="14" t="s">
        <v>399</v>
      </c>
      <c r="C6" s="14" t="s">
        <v>400</v>
      </c>
      <c r="D6" s="14" t="s">
        <v>401</v>
      </c>
      <c r="E6" s="14" t="s">
        <v>402</v>
      </c>
      <c r="F6" s="14" t="s">
        <v>403</v>
      </c>
      <c r="G6" s="14" t="s">
        <v>404</v>
      </c>
      <c r="H6" s="14" t="s">
        <v>405</v>
      </c>
      <c r="I6" s="14" t="s">
        <v>406</v>
      </c>
      <c r="J6" s="14" t="s">
        <v>407</v>
      </c>
      <c r="K6" s="28" t="s">
        <v>408</v>
      </c>
      <c r="L6" s="14" t="s">
        <v>409</v>
      </c>
      <c r="M6" s="14" t="s">
        <v>410</v>
      </c>
      <c r="N6" s="14" t="s">
        <v>411</v>
      </c>
      <c r="O6" s="14" t="s">
        <v>412</v>
      </c>
      <c r="P6" s="14" t="s">
        <v>413</v>
      </c>
      <c r="Q6" s="14" t="s">
        <v>414</v>
      </c>
      <c r="R6" s="14" t="s">
        <v>415</v>
      </c>
      <c r="S6" s="14" t="s">
        <v>416</v>
      </c>
      <c r="T6" s="14" t="s">
        <v>417</v>
      </c>
      <c r="U6" s="14"/>
      <c r="V6" s="14" t="s">
        <v>418</v>
      </c>
      <c r="W6" s="29" t="n">
        <f aca="false">COUNTIF('Banco de Ideias'!$C:$C,A6)</f>
        <v>1</v>
      </c>
      <c r="X6" s="22"/>
      <c r="Y6" s="22"/>
    </row>
    <row r="7" customFormat="false" ht="61.5" hidden="false" customHeight="true" outlineLevel="0" collapsed="false">
      <c r="A7" s="23" t="s">
        <v>419</v>
      </c>
      <c r="B7" s="24" t="s">
        <v>420</v>
      </c>
      <c r="C7" s="24" t="s">
        <v>421</v>
      </c>
      <c r="D7" s="24" t="s">
        <v>422</v>
      </c>
      <c r="E7" s="24" t="s">
        <v>423</v>
      </c>
      <c r="F7" s="24" t="s">
        <v>424</v>
      </c>
      <c r="G7" s="24" t="s">
        <v>425</v>
      </c>
      <c r="H7" s="24" t="s">
        <v>426</v>
      </c>
      <c r="I7" s="24" t="s">
        <v>427</v>
      </c>
      <c r="J7" s="24" t="s">
        <v>428</v>
      </c>
      <c r="K7" s="30" t="s">
        <v>429</v>
      </c>
      <c r="L7" s="24" t="s">
        <v>430</v>
      </c>
      <c r="M7" s="24" t="s">
        <v>431</v>
      </c>
      <c r="N7" s="24" t="s">
        <v>432</v>
      </c>
      <c r="O7" s="24" t="s">
        <v>433</v>
      </c>
      <c r="P7" s="24" t="s">
        <v>434</v>
      </c>
      <c r="Q7" s="24" t="s">
        <v>435</v>
      </c>
      <c r="R7" s="24" t="s">
        <v>436</v>
      </c>
      <c r="S7" s="24" t="s">
        <v>437</v>
      </c>
      <c r="T7" s="24" t="s">
        <v>438</v>
      </c>
      <c r="U7" s="24"/>
      <c r="V7" s="24" t="s">
        <v>439</v>
      </c>
      <c r="W7" s="31" t="n">
        <f aca="false">COUNTIF('Banco de Ideias'!$C:$C,A7)</f>
        <v>0</v>
      </c>
      <c r="X7" s="22"/>
      <c r="Y7" s="22"/>
    </row>
    <row r="8" customFormat="false" ht="75.75" hidden="false" customHeight="true" outlineLevel="0" collapsed="false">
      <c r="A8" s="12" t="s">
        <v>440</v>
      </c>
      <c r="B8" s="14" t="s">
        <v>441</v>
      </c>
      <c r="C8" s="14" t="s">
        <v>442</v>
      </c>
      <c r="D8" s="14" t="s">
        <v>443</v>
      </c>
      <c r="E8" s="14" t="s">
        <v>444</v>
      </c>
      <c r="F8" s="14" t="s">
        <v>445</v>
      </c>
      <c r="G8" s="14" t="s">
        <v>446</v>
      </c>
      <c r="H8" s="14" t="s">
        <v>447</v>
      </c>
      <c r="I8" s="14" t="s">
        <v>448</v>
      </c>
      <c r="J8" s="14" t="s">
        <v>449</v>
      </c>
      <c r="K8" s="28" t="s">
        <v>450</v>
      </c>
      <c r="L8" s="14" t="s">
        <v>451</v>
      </c>
      <c r="M8" s="14" t="s">
        <v>452</v>
      </c>
      <c r="N8" s="14" t="s">
        <v>453</v>
      </c>
      <c r="O8" s="14" t="s">
        <v>454</v>
      </c>
      <c r="P8" s="14" t="s">
        <v>455</v>
      </c>
      <c r="Q8" s="14" t="s">
        <v>456</v>
      </c>
      <c r="R8" s="14" t="s">
        <v>457</v>
      </c>
      <c r="S8" s="14" t="s">
        <v>458</v>
      </c>
      <c r="T8" s="14" t="s">
        <v>459</v>
      </c>
      <c r="U8" s="14"/>
      <c r="V8" s="14" t="s">
        <v>460</v>
      </c>
      <c r="W8" s="29" t="n">
        <f aca="false">COUNTIF('Banco de Ideias'!$C:$C,A8)</f>
        <v>0</v>
      </c>
      <c r="X8" s="22"/>
      <c r="Y8" s="22"/>
    </row>
    <row r="9" customFormat="false" ht="75.75" hidden="false" customHeight="true" outlineLevel="0" collapsed="false">
      <c r="A9" s="23" t="s">
        <v>461</v>
      </c>
      <c r="B9" s="24" t="s">
        <v>462</v>
      </c>
      <c r="C9" s="24" t="s">
        <v>463</v>
      </c>
      <c r="D9" s="24" t="s">
        <v>464</v>
      </c>
      <c r="E9" s="24" t="s">
        <v>465</v>
      </c>
      <c r="F9" s="24" t="s">
        <v>466</v>
      </c>
      <c r="G9" s="24" t="s">
        <v>467</v>
      </c>
      <c r="H9" s="24" t="s">
        <v>468</v>
      </c>
      <c r="I9" s="24" t="s">
        <v>469</v>
      </c>
      <c r="J9" s="24" t="s">
        <v>470</v>
      </c>
      <c r="K9" s="30" t="s">
        <v>471</v>
      </c>
      <c r="L9" s="24" t="s">
        <v>472</v>
      </c>
      <c r="M9" s="24" t="s">
        <v>473</v>
      </c>
      <c r="N9" s="24" t="s">
        <v>474</v>
      </c>
      <c r="O9" s="24" t="s">
        <v>475</v>
      </c>
      <c r="P9" s="24" t="s">
        <v>476</v>
      </c>
      <c r="Q9" s="24" t="s">
        <v>477</v>
      </c>
      <c r="R9" s="24" t="s">
        <v>478</v>
      </c>
      <c r="S9" s="24" t="s">
        <v>479</v>
      </c>
      <c r="T9" s="24" t="s">
        <v>480</v>
      </c>
      <c r="U9" s="24"/>
      <c r="V9" s="24" t="s">
        <v>481</v>
      </c>
      <c r="W9" s="31" t="n">
        <f aca="false">COUNTIF('Banco de Ideias'!$C:$C,A9)</f>
        <v>0</v>
      </c>
      <c r="X9" s="22"/>
      <c r="Y9" s="22"/>
    </row>
    <row r="10" customFormat="false" ht="61.5" hidden="false" customHeight="true" outlineLevel="0" collapsed="false">
      <c r="A10" s="12" t="s">
        <v>482</v>
      </c>
      <c r="B10" s="14" t="s">
        <v>483</v>
      </c>
      <c r="C10" s="14" t="s">
        <v>484</v>
      </c>
      <c r="D10" s="14" t="s">
        <v>485</v>
      </c>
      <c r="E10" s="14" t="s">
        <v>486</v>
      </c>
      <c r="F10" s="14" t="s">
        <v>487</v>
      </c>
      <c r="G10" s="14" t="s">
        <v>488</v>
      </c>
      <c r="H10" s="14" t="s">
        <v>489</v>
      </c>
      <c r="I10" s="14" t="s">
        <v>490</v>
      </c>
      <c r="J10" s="14" t="s">
        <v>491</v>
      </c>
      <c r="K10" s="28" t="s">
        <v>492</v>
      </c>
      <c r="L10" s="14" t="s">
        <v>493</v>
      </c>
      <c r="M10" s="14" t="s">
        <v>494</v>
      </c>
      <c r="N10" s="14" t="s">
        <v>495</v>
      </c>
      <c r="O10" s="14" t="s">
        <v>496</v>
      </c>
      <c r="P10" s="14" t="s">
        <v>497</v>
      </c>
      <c r="Q10" s="14" t="s">
        <v>498</v>
      </c>
      <c r="R10" s="14" t="s">
        <v>499</v>
      </c>
      <c r="S10" s="14" t="s">
        <v>500</v>
      </c>
      <c r="T10" s="14" t="s">
        <v>501</v>
      </c>
      <c r="U10" s="14"/>
      <c r="V10" s="14" t="s">
        <v>502</v>
      </c>
      <c r="W10" s="29" t="n">
        <f aca="false">COUNTIF('Banco de Ideias'!$C:$C,A10)</f>
        <v>0</v>
      </c>
      <c r="X10" s="22"/>
      <c r="Y10" s="22"/>
    </row>
    <row r="11" customFormat="false" ht="61.5" hidden="false" customHeight="true" outlineLevel="0" collapsed="false">
      <c r="A11" s="23" t="s">
        <v>503</v>
      </c>
      <c r="B11" s="24" t="s">
        <v>504</v>
      </c>
      <c r="C11" s="24" t="s">
        <v>505</v>
      </c>
      <c r="D11" s="24" t="s">
        <v>506</v>
      </c>
      <c r="E11" s="24" t="s">
        <v>507</v>
      </c>
      <c r="F11" s="24" t="s">
        <v>508</v>
      </c>
      <c r="G11" s="24" t="s">
        <v>509</v>
      </c>
      <c r="H11" s="24" t="s">
        <v>510</v>
      </c>
      <c r="I11" s="24" t="s">
        <v>511</v>
      </c>
      <c r="J11" s="24" t="s">
        <v>512</v>
      </c>
      <c r="K11" s="30" t="s">
        <v>513</v>
      </c>
      <c r="L11" s="24" t="s">
        <v>514</v>
      </c>
      <c r="M11" s="24" t="s">
        <v>515</v>
      </c>
      <c r="N11" s="24" t="s">
        <v>516</v>
      </c>
      <c r="O11" s="24" t="s">
        <v>517</v>
      </c>
      <c r="P11" s="24" t="s">
        <v>518</v>
      </c>
      <c r="Q11" s="24" t="s">
        <v>519</v>
      </c>
      <c r="R11" s="24" t="s">
        <v>520</v>
      </c>
      <c r="S11" s="24" t="s">
        <v>521</v>
      </c>
      <c r="T11" s="24" t="s">
        <v>522</v>
      </c>
      <c r="U11" s="24"/>
      <c r="V11" s="24" t="s">
        <v>523</v>
      </c>
      <c r="W11" s="31" t="n">
        <f aca="false">COUNTIF('Banco de Ideias'!$C:$C,A11)</f>
        <v>0</v>
      </c>
      <c r="X11" s="22"/>
      <c r="Y11" s="22"/>
    </row>
    <row r="12" customFormat="false" ht="75.75" hidden="false" customHeight="true" outlineLevel="0" collapsed="false">
      <c r="A12" s="12" t="s">
        <v>524</v>
      </c>
      <c r="B12" s="14" t="s">
        <v>525</v>
      </c>
      <c r="C12" s="14" t="s">
        <v>526</v>
      </c>
      <c r="D12" s="14" t="s">
        <v>527</v>
      </c>
      <c r="E12" s="14" t="s">
        <v>528</v>
      </c>
      <c r="F12" s="14" t="s">
        <v>529</v>
      </c>
      <c r="G12" s="14" t="s">
        <v>530</v>
      </c>
      <c r="H12" s="14" t="s">
        <v>531</v>
      </c>
      <c r="I12" s="14" t="s">
        <v>532</v>
      </c>
      <c r="J12" s="14" t="s">
        <v>533</v>
      </c>
      <c r="K12" s="28" t="s">
        <v>534</v>
      </c>
      <c r="L12" s="14" t="s">
        <v>535</v>
      </c>
      <c r="M12" s="14" t="s">
        <v>536</v>
      </c>
      <c r="N12" s="14" t="s">
        <v>537</v>
      </c>
      <c r="O12" s="14" t="s">
        <v>538</v>
      </c>
      <c r="P12" s="14" t="s">
        <v>539</v>
      </c>
      <c r="Q12" s="14" t="s">
        <v>540</v>
      </c>
      <c r="R12" s="14" t="s">
        <v>541</v>
      </c>
      <c r="S12" s="14" t="s">
        <v>542</v>
      </c>
      <c r="T12" s="14" t="s">
        <v>543</v>
      </c>
      <c r="U12" s="14"/>
      <c r="V12" s="14" t="s">
        <v>544</v>
      </c>
      <c r="W12" s="29" t="n">
        <f aca="false">COUNTIF('Banco de Ideias'!$C:$C,A12)</f>
        <v>0</v>
      </c>
      <c r="X12" s="22"/>
      <c r="Y12" s="22"/>
    </row>
    <row r="13" customFormat="false" ht="61.5" hidden="false" customHeight="true" outlineLevel="0" collapsed="false">
      <c r="A13" s="23" t="s">
        <v>545</v>
      </c>
      <c r="B13" s="24" t="s">
        <v>546</v>
      </c>
      <c r="C13" s="24" t="s">
        <v>547</v>
      </c>
      <c r="D13" s="24" t="s">
        <v>548</v>
      </c>
      <c r="E13" s="24" t="s">
        <v>549</v>
      </c>
      <c r="F13" s="24" t="s">
        <v>550</v>
      </c>
      <c r="G13" s="24" t="s">
        <v>551</v>
      </c>
      <c r="H13" s="24" t="s">
        <v>552</v>
      </c>
      <c r="I13" s="24" t="s">
        <v>553</v>
      </c>
      <c r="J13" s="24" t="s">
        <v>554</v>
      </c>
      <c r="K13" s="30" t="s">
        <v>555</v>
      </c>
      <c r="L13" s="24" t="s">
        <v>556</v>
      </c>
      <c r="M13" s="24" t="s">
        <v>557</v>
      </c>
      <c r="N13" s="24" t="s">
        <v>558</v>
      </c>
      <c r="O13" s="24" t="s">
        <v>559</v>
      </c>
      <c r="P13" s="24" t="s">
        <v>560</v>
      </c>
      <c r="Q13" s="24" t="s">
        <v>561</v>
      </c>
      <c r="R13" s="24" t="s">
        <v>562</v>
      </c>
      <c r="S13" s="24" t="s">
        <v>563</v>
      </c>
      <c r="T13" s="24" t="s">
        <v>564</v>
      </c>
      <c r="U13" s="24"/>
      <c r="V13" s="24" t="s">
        <v>565</v>
      </c>
      <c r="W13" s="31" t="n">
        <f aca="false">COUNTIF('Banco de Ideias'!$C:$C,A13)</f>
        <v>0</v>
      </c>
      <c r="X13" s="22"/>
      <c r="Y13" s="22"/>
    </row>
    <row r="14" customFormat="false" ht="75.75" hidden="false" customHeight="true" outlineLevel="0" collapsed="false">
      <c r="A14" s="12" t="s">
        <v>566</v>
      </c>
      <c r="B14" s="14" t="s">
        <v>567</v>
      </c>
      <c r="C14" s="14" t="s">
        <v>568</v>
      </c>
      <c r="D14" s="14" t="s">
        <v>569</v>
      </c>
      <c r="E14" s="14" t="s">
        <v>570</v>
      </c>
      <c r="F14" s="14" t="s">
        <v>571</v>
      </c>
      <c r="G14" s="14" t="s">
        <v>572</v>
      </c>
      <c r="H14" s="14" t="s">
        <v>573</v>
      </c>
      <c r="I14" s="14" t="s">
        <v>574</v>
      </c>
      <c r="J14" s="14" t="s">
        <v>575</v>
      </c>
      <c r="K14" s="28" t="s">
        <v>576</v>
      </c>
      <c r="L14" s="14" t="s">
        <v>577</v>
      </c>
      <c r="M14" s="14" t="s">
        <v>578</v>
      </c>
      <c r="N14" s="14" t="s">
        <v>579</v>
      </c>
      <c r="O14" s="14" t="s">
        <v>580</v>
      </c>
      <c r="P14" s="14" t="s">
        <v>581</v>
      </c>
      <c r="Q14" s="14" t="s">
        <v>582</v>
      </c>
      <c r="R14" s="14" t="s">
        <v>583</v>
      </c>
      <c r="S14" s="14" t="s">
        <v>584</v>
      </c>
      <c r="T14" s="14" t="s">
        <v>585</v>
      </c>
      <c r="U14" s="14"/>
      <c r="V14" s="14" t="s">
        <v>586</v>
      </c>
      <c r="W14" s="29" t="n">
        <f aca="false">COUNTIF('Banco de Ideias'!$C:$C,A14)</f>
        <v>0</v>
      </c>
      <c r="X14" s="22"/>
      <c r="Y14" s="22"/>
    </row>
    <row r="15" customFormat="false" ht="61.5" hidden="false" customHeight="true" outlineLevel="0" collapsed="false">
      <c r="A15" s="23" t="s">
        <v>323</v>
      </c>
      <c r="B15" s="24" t="s">
        <v>587</v>
      </c>
      <c r="C15" s="24" t="s">
        <v>588</v>
      </c>
      <c r="D15" s="24" t="s">
        <v>589</v>
      </c>
      <c r="E15" s="24" t="s">
        <v>590</v>
      </c>
      <c r="F15" s="24" t="s">
        <v>591</v>
      </c>
      <c r="G15" s="24" t="s">
        <v>592</v>
      </c>
      <c r="H15" s="24" t="s">
        <v>593</v>
      </c>
      <c r="I15" s="24" t="s">
        <v>594</v>
      </c>
      <c r="J15" s="24" t="s">
        <v>595</v>
      </c>
      <c r="K15" s="30" t="s">
        <v>596</v>
      </c>
      <c r="L15" s="24" t="s">
        <v>597</v>
      </c>
      <c r="M15" s="24" t="s">
        <v>598</v>
      </c>
      <c r="N15" s="24" t="s">
        <v>599</v>
      </c>
      <c r="O15" s="24" t="s">
        <v>600</v>
      </c>
      <c r="P15" s="24" t="s">
        <v>601</v>
      </c>
      <c r="Q15" s="24" t="s">
        <v>602</v>
      </c>
      <c r="R15" s="24" t="s">
        <v>603</v>
      </c>
      <c r="S15" s="24" t="s">
        <v>604</v>
      </c>
      <c r="T15" s="24" t="s">
        <v>605</v>
      </c>
      <c r="U15" s="24" t="s">
        <v>606</v>
      </c>
      <c r="V15" s="24" t="s">
        <v>607</v>
      </c>
      <c r="W15" s="31" t="n">
        <f aca="false">COUNTIF('Banco de Ideias'!$C:$C,A15)</f>
        <v>0</v>
      </c>
      <c r="X15" s="22"/>
      <c r="Y15" s="22"/>
    </row>
    <row r="16" customFormat="false" ht="75.75" hidden="false" customHeight="true" outlineLevel="0" collapsed="false">
      <c r="A16" s="12" t="s">
        <v>608</v>
      </c>
      <c r="B16" s="14" t="s">
        <v>609</v>
      </c>
      <c r="C16" s="14" t="s">
        <v>610</v>
      </c>
      <c r="D16" s="14" t="s">
        <v>611</v>
      </c>
      <c r="E16" s="14" t="s">
        <v>612</v>
      </c>
      <c r="F16" s="14" t="s">
        <v>613</v>
      </c>
      <c r="G16" s="14" t="s">
        <v>614</v>
      </c>
      <c r="H16" s="14" t="s">
        <v>615</v>
      </c>
      <c r="I16" s="14" t="s">
        <v>616</v>
      </c>
      <c r="J16" s="14" t="s">
        <v>617</v>
      </c>
      <c r="K16" s="28" t="s">
        <v>618</v>
      </c>
      <c r="L16" s="14" t="s">
        <v>619</v>
      </c>
      <c r="M16" s="14" t="s">
        <v>620</v>
      </c>
      <c r="N16" s="14" t="s">
        <v>621</v>
      </c>
      <c r="O16" s="14" t="s">
        <v>622</v>
      </c>
      <c r="P16" s="14" t="s">
        <v>623</v>
      </c>
      <c r="Q16" s="14" t="s">
        <v>624</v>
      </c>
      <c r="R16" s="14" t="s">
        <v>625</v>
      </c>
      <c r="S16" s="14" t="s">
        <v>626</v>
      </c>
      <c r="T16" s="14" t="s">
        <v>627</v>
      </c>
      <c r="U16" s="14"/>
      <c r="V16" s="14" t="s">
        <v>628</v>
      </c>
      <c r="W16" s="29" t="n">
        <f aca="false">COUNTIF('Banco de Ideias'!$C:$C,A16)</f>
        <v>0</v>
      </c>
      <c r="X16" s="22"/>
      <c r="Y16" s="22"/>
    </row>
    <row r="17" customFormat="false" ht="61.5" hidden="false" customHeight="true" outlineLevel="0" collapsed="false">
      <c r="A17" s="23" t="s">
        <v>629</v>
      </c>
      <c r="B17" s="24" t="s">
        <v>630</v>
      </c>
      <c r="C17" s="24" t="s">
        <v>631</v>
      </c>
      <c r="D17" s="24" t="s">
        <v>632</v>
      </c>
      <c r="E17" s="24" t="s">
        <v>633</v>
      </c>
      <c r="F17" s="24" t="s">
        <v>634</v>
      </c>
      <c r="G17" s="24" t="s">
        <v>635</v>
      </c>
      <c r="H17" s="24" t="s">
        <v>636</v>
      </c>
      <c r="I17" s="24" t="s">
        <v>637</v>
      </c>
      <c r="J17" s="24" t="s">
        <v>638</v>
      </c>
      <c r="K17" s="30" t="s">
        <v>639</v>
      </c>
      <c r="L17" s="24" t="s">
        <v>640</v>
      </c>
      <c r="M17" s="24" t="s">
        <v>641</v>
      </c>
      <c r="N17" s="24" t="s">
        <v>642</v>
      </c>
      <c r="O17" s="24" t="s">
        <v>643</v>
      </c>
      <c r="P17" s="24" t="s">
        <v>644</v>
      </c>
      <c r="Q17" s="24" t="s">
        <v>645</v>
      </c>
      <c r="R17" s="24" t="s">
        <v>646</v>
      </c>
      <c r="S17" s="24" t="s">
        <v>647</v>
      </c>
      <c r="T17" s="24" t="s">
        <v>648</v>
      </c>
      <c r="U17" s="24"/>
      <c r="V17" s="24" t="s">
        <v>649</v>
      </c>
      <c r="W17" s="31" t="n">
        <f aca="false">COUNTIF('Banco de Ideias'!$C:$C,A17)</f>
        <v>0</v>
      </c>
      <c r="X17" s="22"/>
      <c r="Y17" s="22"/>
    </row>
    <row r="18" customFormat="false" ht="75.75" hidden="false" customHeight="true" outlineLevel="0" collapsed="false">
      <c r="A18" s="12" t="s">
        <v>650</v>
      </c>
      <c r="B18" s="14" t="s">
        <v>651</v>
      </c>
      <c r="C18" s="14" t="s">
        <v>652</v>
      </c>
      <c r="D18" s="14" t="s">
        <v>653</v>
      </c>
      <c r="E18" s="14" t="s">
        <v>654</v>
      </c>
      <c r="F18" s="14" t="s">
        <v>655</v>
      </c>
      <c r="G18" s="14" t="s">
        <v>656</v>
      </c>
      <c r="H18" s="14" t="s">
        <v>657</v>
      </c>
      <c r="I18" s="14" t="s">
        <v>658</v>
      </c>
      <c r="J18" s="14" t="s">
        <v>659</v>
      </c>
      <c r="K18" s="28" t="s">
        <v>660</v>
      </c>
      <c r="L18" s="14" t="s">
        <v>661</v>
      </c>
      <c r="M18" s="14" t="s">
        <v>662</v>
      </c>
      <c r="N18" s="14" t="s">
        <v>663</v>
      </c>
      <c r="O18" s="14" t="s">
        <v>664</v>
      </c>
      <c r="P18" s="14" t="s">
        <v>665</v>
      </c>
      <c r="Q18" s="14" t="s">
        <v>666</v>
      </c>
      <c r="R18" s="14" t="s">
        <v>667</v>
      </c>
      <c r="S18" s="14" t="s">
        <v>668</v>
      </c>
      <c r="T18" s="14" t="s">
        <v>669</v>
      </c>
      <c r="U18" s="14" t="s">
        <v>331</v>
      </c>
      <c r="V18" s="14" t="s">
        <v>670</v>
      </c>
      <c r="W18" s="29" t="n">
        <f aca="false">COUNTIF('Banco de Ideias'!$C:$C,A18)</f>
        <v>0</v>
      </c>
      <c r="X18" s="22"/>
      <c r="Y18" s="22"/>
    </row>
    <row r="19" customFormat="false" ht="61.5" hidden="false" customHeight="true" outlineLevel="0" collapsed="false">
      <c r="A19" s="23" t="s">
        <v>671</v>
      </c>
      <c r="B19" s="24" t="s">
        <v>672</v>
      </c>
      <c r="C19" s="24" t="s">
        <v>673</v>
      </c>
      <c r="D19" s="24" t="s">
        <v>674</v>
      </c>
      <c r="E19" s="24" t="s">
        <v>675</v>
      </c>
      <c r="F19" s="24" t="s">
        <v>676</v>
      </c>
      <c r="G19" s="24" t="s">
        <v>677</v>
      </c>
      <c r="H19" s="24" t="s">
        <v>678</v>
      </c>
      <c r="I19" s="24" t="s">
        <v>679</v>
      </c>
      <c r="J19" s="24" t="s">
        <v>680</v>
      </c>
      <c r="K19" s="30" t="s">
        <v>681</v>
      </c>
      <c r="L19" s="24" t="s">
        <v>682</v>
      </c>
      <c r="M19" s="24" t="s">
        <v>683</v>
      </c>
      <c r="N19" s="24" t="s">
        <v>684</v>
      </c>
      <c r="O19" s="24" t="s">
        <v>685</v>
      </c>
      <c r="P19" s="24" t="s">
        <v>686</v>
      </c>
      <c r="Q19" s="24" t="s">
        <v>687</v>
      </c>
      <c r="R19" s="24" t="s">
        <v>688</v>
      </c>
      <c r="S19" s="24" t="s">
        <v>689</v>
      </c>
      <c r="T19" s="24" t="s">
        <v>690</v>
      </c>
      <c r="U19" s="24"/>
      <c r="V19" s="24" t="s">
        <v>691</v>
      </c>
      <c r="W19" s="31" t="n">
        <f aca="false">COUNTIF('Banco de Ideias'!$C:$C,A19)</f>
        <v>0</v>
      </c>
      <c r="X19" s="22"/>
      <c r="Y19" s="22"/>
    </row>
    <row r="20" customFormat="false" ht="61.5" hidden="false" customHeight="true" outlineLevel="0" collapsed="false">
      <c r="A20" s="12" t="s">
        <v>692</v>
      </c>
      <c r="B20" s="14" t="s">
        <v>693</v>
      </c>
      <c r="C20" s="14" t="s">
        <v>694</v>
      </c>
      <c r="D20" s="14" t="s">
        <v>695</v>
      </c>
      <c r="E20" s="14" t="s">
        <v>696</v>
      </c>
      <c r="F20" s="14" t="s">
        <v>697</v>
      </c>
      <c r="G20" s="14" t="s">
        <v>698</v>
      </c>
      <c r="H20" s="14" t="s">
        <v>699</v>
      </c>
      <c r="I20" s="14" t="s">
        <v>700</v>
      </c>
      <c r="J20" s="14" t="s">
        <v>701</v>
      </c>
      <c r="K20" s="28" t="s">
        <v>702</v>
      </c>
      <c r="L20" s="14" t="s">
        <v>703</v>
      </c>
      <c r="M20" s="14" t="s">
        <v>704</v>
      </c>
      <c r="N20" s="14" t="s">
        <v>705</v>
      </c>
      <c r="O20" s="14" t="s">
        <v>706</v>
      </c>
      <c r="P20" s="14" t="s">
        <v>707</v>
      </c>
      <c r="Q20" s="14" t="s">
        <v>708</v>
      </c>
      <c r="R20" s="14" t="s">
        <v>709</v>
      </c>
      <c r="S20" s="14" t="s">
        <v>710</v>
      </c>
      <c r="T20" s="14" t="s">
        <v>711</v>
      </c>
      <c r="U20" s="14"/>
      <c r="V20" s="14" t="s">
        <v>712</v>
      </c>
      <c r="W20" s="29" t="n">
        <f aca="false">COUNTIF('Banco de Ideias'!$C:$C,A20)</f>
        <v>0</v>
      </c>
      <c r="X20" s="22"/>
      <c r="Y20" s="22"/>
    </row>
    <row r="21" customFormat="false" ht="61.5" hidden="false" customHeight="true" outlineLevel="0" collapsed="false">
      <c r="A21" s="23" t="s">
        <v>332</v>
      </c>
      <c r="B21" s="24" t="s">
        <v>713</v>
      </c>
      <c r="C21" s="24" t="s">
        <v>714</v>
      </c>
      <c r="D21" s="24" t="s">
        <v>715</v>
      </c>
      <c r="E21" s="24" t="s">
        <v>716</v>
      </c>
      <c r="F21" s="24" t="s">
        <v>717</v>
      </c>
      <c r="G21" s="24" t="s">
        <v>718</v>
      </c>
      <c r="H21" s="24" t="s">
        <v>719</v>
      </c>
      <c r="I21" s="24" t="s">
        <v>720</v>
      </c>
      <c r="J21" s="24" t="s">
        <v>721</v>
      </c>
      <c r="K21" s="30" t="s">
        <v>722</v>
      </c>
      <c r="L21" s="24" t="s">
        <v>723</v>
      </c>
      <c r="M21" s="24" t="s">
        <v>724</v>
      </c>
      <c r="N21" s="24" t="s">
        <v>725</v>
      </c>
      <c r="O21" s="24" t="s">
        <v>726</v>
      </c>
      <c r="P21" s="24" t="s">
        <v>727</v>
      </c>
      <c r="Q21" s="24" t="s">
        <v>728</v>
      </c>
      <c r="R21" s="24" t="s">
        <v>729</v>
      </c>
      <c r="S21" s="24" t="s">
        <v>730</v>
      </c>
      <c r="T21" s="24" t="s">
        <v>731</v>
      </c>
      <c r="U21" s="24" t="s">
        <v>331</v>
      </c>
      <c r="V21" s="24" t="s">
        <v>732</v>
      </c>
      <c r="W21" s="31" t="n">
        <f aca="false">COUNTIF('Banco de Ideias'!$C:$C,A21)</f>
        <v>0</v>
      </c>
      <c r="X21" s="22"/>
      <c r="Y21" s="22"/>
    </row>
  </sheetData>
  <autoFilter ref="A3:Y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1340"/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45"/>
    <col collapsed="false" customWidth="true" hidden="false" outlineLevel="0" max="6" min="6" style="0" width="35"/>
  </cols>
  <sheetData>
    <row r="1" customFormat="false" ht="33.75" hidden="false" customHeight="true" outlineLevel="0" collapsed="false">
      <c r="A1" s="1" t="s">
        <v>733</v>
      </c>
      <c r="B1" s="2"/>
      <c r="C1" s="2"/>
      <c r="D1" s="2"/>
      <c r="E1" s="2"/>
      <c r="F1" s="2"/>
    </row>
    <row r="2" customFormat="false" ht="19.5" hidden="false" customHeight="true" outlineLevel="0" collapsed="false">
      <c r="A2" s="3" t="s">
        <v>734</v>
      </c>
      <c r="B2" s="2"/>
      <c r="C2" s="2"/>
      <c r="D2" s="2"/>
      <c r="E2" s="2"/>
      <c r="F2" s="2"/>
    </row>
    <row r="3" customFormat="false" ht="31.5" hidden="false" customHeight="true" outlineLevel="0" collapsed="false">
      <c r="A3" s="11" t="s">
        <v>27</v>
      </c>
      <c r="B3" s="11" t="s">
        <v>735</v>
      </c>
      <c r="C3" s="11" t="s">
        <v>736</v>
      </c>
      <c r="D3" s="11" t="s">
        <v>737</v>
      </c>
      <c r="E3" s="11" t="s">
        <v>738</v>
      </c>
      <c r="F3" s="11" t="s">
        <v>739</v>
      </c>
    </row>
    <row r="4" customFormat="false" ht="48" hidden="false" customHeight="true" outlineLevel="0" collapsed="false">
      <c r="A4" s="12" t="s">
        <v>359</v>
      </c>
      <c r="B4" s="14" t="s">
        <v>740</v>
      </c>
      <c r="C4" s="14" t="s">
        <v>741</v>
      </c>
      <c r="D4" s="14" t="s">
        <v>742</v>
      </c>
      <c r="E4" s="14" t="s">
        <v>743</v>
      </c>
      <c r="F4" s="22"/>
    </row>
    <row r="5" customFormat="false" ht="48" hidden="false" customHeight="true" outlineLevel="0" collapsed="false">
      <c r="A5" s="23" t="s">
        <v>319</v>
      </c>
      <c r="B5" s="24" t="s">
        <v>744</v>
      </c>
      <c r="C5" s="24" t="s">
        <v>745</v>
      </c>
      <c r="D5" s="24" t="s">
        <v>746</v>
      </c>
      <c r="E5" s="24" t="s">
        <v>747</v>
      </c>
      <c r="F5" s="22"/>
    </row>
    <row r="6" customFormat="false" ht="48" hidden="false" customHeight="true" outlineLevel="0" collapsed="false">
      <c r="A6" s="12" t="s">
        <v>28</v>
      </c>
      <c r="B6" s="14" t="s">
        <v>748</v>
      </c>
      <c r="C6" s="14" t="s">
        <v>749</v>
      </c>
      <c r="D6" s="14" t="s">
        <v>750</v>
      </c>
      <c r="E6" s="14" t="s">
        <v>751</v>
      </c>
      <c r="F6" s="22"/>
    </row>
    <row r="7" customFormat="false" ht="48" hidden="false" customHeight="true" outlineLevel="0" collapsed="false">
      <c r="A7" s="23" t="s">
        <v>419</v>
      </c>
      <c r="B7" s="24" t="s">
        <v>752</v>
      </c>
      <c r="C7" s="24" t="s">
        <v>753</v>
      </c>
      <c r="D7" s="24" t="s">
        <v>754</v>
      </c>
      <c r="E7" s="24" t="s">
        <v>755</v>
      </c>
      <c r="F7" s="22"/>
    </row>
    <row r="8" customFormat="false" ht="48" hidden="false" customHeight="true" outlineLevel="0" collapsed="false">
      <c r="A8" s="12" t="s">
        <v>440</v>
      </c>
      <c r="B8" s="14" t="s">
        <v>756</v>
      </c>
      <c r="C8" s="14" t="s">
        <v>757</v>
      </c>
      <c r="D8" s="14" t="s">
        <v>758</v>
      </c>
      <c r="E8" s="14" t="s">
        <v>759</v>
      </c>
      <c r="F8" s="22"/>
    </row>
    <row r="9" customFormat="false" ht="48" hidden="false" customHeight="true" outlineLevel="0" collapsed="false">
      <c r="A9" s="23" t="s">
        <v>461</v>
      </c>
      <c r="B9" s="24" t="s">
        <v>760</v>
      </c>
      <c r="C9" s="24" t="s">
        <v>761</v>
      </c>
      <c r="D9" s="24" t="s">
        <v>762</v>
      </c>
      <c r="E9" s="24" t="s">
        <v>763</v>
      </c>
      <c r="F9" s="22"/>
    </row>
    <row r="10" customFormat="false" ht="48" hidden="false" customHeight="true" outlineLevel="0" collapsed="false">
      <c r="A10" s="12" t="s">
        <v>482</v>
      </c>
      <c r="B10" s="14" t="s">
        <v>764</v>
      </c>
      <c r="C10" s="14" t="s">
        <v>765</v>
      </c>
      <c r="D10" s="14" t="s">
        <v>766</v>
      </c>
      <c r="E10" s="14" t="s">
        <v>767</v>
      </c>
      <c r="F10" s="22"/>
    </row>
    <row r="11" customFormat="false" ht="48" hidden="false" customHeight="true" outlineLevel="0" collapsed="false">
      <c r="A11" s="23" t="s">
        <v>503</v>
      </c>
      <c r="B11" s="24" t="s">
        <v>768</v>
      </c>
      <c r="C11" s="24" t="s">
        <v>769</v>
      </c>
      <c r="D11" s="24" t="s">
        <v>770</v>
      </c>
      <c r="E11" s="24" t="s">
        <v>771</v>
      </c>
      <c r="F11" s="22"/>
    </row>
    <row r="12" customFormat="false" ht="48" hidden="false" customHeight="true" outlineLevel="0" collapsed="false">
      <c r="A12" s="12" t="s">
        <v>524</v>
      </c>
      <c r="B12" s="14" t="s">
        <v>772</v>
      </c>
      <c r="C12" s="14" t="s">
        <v>773</v>
      </c>
      <c r="D12" s="14" t="s">
        <v>774</v>
      </c>
      <c r="E12" s="14" t="s">
        <v>775</v>
      </c>
      <c r="F12" s="22"/>
    </row>
    <row r="13" customFormat="false" ht="48" hidden="false" customHeight="true" outlineLevel="0" collapsed="false">
      <c r="A13" s="23" t="s">
        <v>545</v>
      </c>
      <c r="B13" s="24" t="s">
        <v>776</v>
      </c>
      <c r="C13" s="24" t="s">
        <v>777</v>
      </c>
      <c r="D13" s="24" t="s">
        <v>778</v>
      </c>
      <c r="E13" s="24" t="s">
        <v>779</v>
      </c>
      <c r="F13" s="22"/>
    </row>
    <row r="14" customFormat="false" ht="48" hidden="false" customHeight="true" outlineLevel="0" collapsed="false">
      <c r="A14" s="12" t="s">
        <v>566</v>
      </c>
      <c r="B14" s="14" t="s">
        <v>780</v>
      </c>
      <c r="C14" s="14" t="s">
        <v>781</v>
      </c>
      <c r="D14" s="14" t="s">
        <v>782</v>
      </c>
      <c r="E14" s="14" t="s">
        <v>783</v>
      </c>
      <c r="F14" s="22"/>
    </row>
    <row r="15" customFormat="false" ht="48" hidden="false" customHeight="true" outlineLevel="0" collapsed="false">
      <c r="A15" s="23" t="s">
        <v>323</v>
      </c>
      <c r="B15" s="24" t="s">
        <v>784</v>
      </c>
      <c r="C15" s="24" t="s">
        <v>785</v>
      </c>
      <c r="D15" s="24" t="s">
        <v>786</v>
      </c>
      <c r="E15" s="24" t="s">
        <v>787</v>
      </c>
      <c r="F15" s="22"/>
    </row>
    <row r="16" customFormat="false" ht="48" hidden="false" customHeight="true" outlineLevel="0" collapsed="false">
      <c r="A16" s="12" t="s">
        <v>608</v>
      </c>
      <c r="B16" s="14" t="s">
        <v>788</v>
      </c>
      <c r="C16" s="14" t="s">
        <v>789</v>
      </c>
      <c r="D16" s="14" t="s">
        <v>790</v>
      </c>
      <c r="E16" s="14" t="s">
        <v>791</v>
      </c>
      <c r="F16" s="22"/>
    </row>
    <row r="17" customFormat="false" ht="48" hidden="false" customHeight="true" outlineLevel="0" collapsed="false">
      <c r="A17" s="23" t="s">
        <v>629</v>
      </c>
      <c r="B17" s="24" t="s">
        <v>792</v>
      </c>
      <c r="C17" s="24" t="s">
        <v>793</v>
      </c>
      <c r="D17" s="24" t="s">
        <v>794</v>
      </c>
      <c r="E17" s="24" t="s">
        <v>795</v>
      </c>
      <c r="F17" s="22"/>
    </row>
    <row r="18" customFormat="false" ht="48" hidden="false" customHeight="true" outlineLevel="0" collapsed="false">
      <c r="A18" s="12" t="s">
        <v>650</v>
      </c>
      <c r="B18" s="14" t="s">
        <v>796</v>
      </c>
      <c r="C18" s="14" t="s">
        <v>797</v>
      </c>
      <c r="D18" s="14" t="s">
        <v>798</v>
      </c>
      <c r="E18" s="14" t="s">
        <v>799</v>
      </c>
      <c r="F18" s="22"/>
    </row>
    <row r="19" customFormat="false" ht="48" hidden="false" customHeight="true" outlineLevel="0" collapsed="false">
      <c r="A19" s="23" t="s">
        <v>671</v>
      </c>
      <c r="B19" s="24" t="s">
        <v>800</v>
      </c>
      <c r="C19" s="24" t="s">
        <v>801</v>
      </c>
      <c r="D19" s="24" t="s">
        <v>802</v>
      </c>
      <c r="E19" s="24" t="s">
        <v>803</v>
      </c>
      <c r="F19" s="22"/>
    </row>
    <row r="20" customFormat="false" ht="33.75" hidden="false" customHeight="true" outlineLevel="0" collapsed="false">
      <c r="A20" s="12" t="s">
        <v>692</v>
      </c>
      <c r="B20" s="14" t="s">
        <v>804</v>
      </c>
      <c r="C20" s="14" t="s">
        <v>805</v>
      </c>
      <c r="D20" s="14" t="s">
        <v>806</v>
      </c>
      <c r="E20" s="14" t="s">
        <v>807</v>
      </c>
      <c r="F20" s="22"/>
    </row>
    <row r="21" customFormat="false" ht="33.75" hidden="false" customHeight="true" outlineLevel="0" collapsed="false">
      <c r="A21" s="23" t="s">
        <v>332</v>
      </c>
      <c r="B21" s="24" t="s">
        <v>808</v>
      </c>
      <c r="C21" s="24" t="s">
        <v>809</v>
      </c>
      <c r="D21" s="24" t="s">
        <v>810</v>
      </c>
      <c r="E21" s="24" t="s">
        <v>811</v>
      </c>
      <c r="F21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1340"/>
    <pageSetUpPr fitToPage="false"/>
  </sheetPr>
  <dimension ref="A1:E3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4" min="3" style="0" width="45"/>
    <col collapsed="false" customWidth="true" hidden="false" outlineLevel="0" max="5" min="5" style="0" width="30"/>
  </cols>
  <sheetData>
    <row r="1" customFormat="false" ht="33.75" hidden="false" customHeight="true" outlineLevel="0" collapsed="false">
      <c r="A1" s="1" t="s">
        <v>812</v>
      </c>
      <c r="B1" s="2"/>
      <c r="C1" s="2"/>
      <c r="D1" s="2"/>
      <c r="E1" s="2"/>
    </row>
    <row r="2" customFormat="false" ht="19.5" hidden="false" customHeight="true" outlineLevel="0" collapsed="false">
      <c r="A2" s="3" t="s">
        <v>813</v>
      </c>
      <c r="B2" s="2"/>
      <c r="C2" s="2"/>
      <c r="D2" s="2"/>
      <c r="E2" s="2"/>
    </row>
    <row r="3" customFormat="false" ht="31.5" hidden="false" customHeight="true" outlineLevel="0" collapsed="false">
      <c r="A3" s="11" t="s">
        <v>27</v>
      </c>
      <c r="B3" s="11" t="s">
        <v>814</v>
      </c>
      <c r="C3" s="11" t="s">
        <v>815</v>
      </c>
      <c r="D3" s="11" t="s">
        <v>816</v>
      </c>
      <c r="E3" s="11" t="s">
        <v>103</v>
      </c>
    </row>
    <row r="4" customFormat="false" ht="48" hidden="false" customHeight="true" outlineLevel="0" collapsed="false">
      <c r="A4" s="12" t="s">
        <v>359</v>
      </c>
      <c r="B4" s="14" t="s">
        <v>817</v>
      </c>
      <c r="C4" s="14" t="s">
        <v>818</v>
      </c>
      <c r="D4" s="14" t="s">
        <v>819</v>
      </c>
      <c r="E4" s="22"/>
    </row>
    <row r="5" customFormat="false" ht="33.75" hidden="false" customHeight="true" outlineLevel="0" collapsed="false">
      <c r="A5" s="23" t="s">
        <v>319</v>
      </c>
      <c r="B5" s="24" t="s">
        <v>820</v>
      </c>
      <c r="C5" s="24" t="s">
        <v>821</v>
      </c>
      <c r="D5" s="24" t="s">
        <v>822</v>
      </c>
      <c r="E5" s="22"/>
    </row>
    <row r="6" customFormat="false" ht="33.75" hidden="false" customHeight="true" outlineLevel="0" collapsed="false">
      <c r="A6" s="12" t="s">
        <v>28</v>
      </c>
      <c r="B6" s="14" t="s">
        <v>823</v>
      </c>
      <c r="C6" s="14" t="s">
        <v>824</v>
      </c>
      <c r="D6" s="14" t="s">
        <v>825</v>
      </c>
      <c r="E6" s="22"/>
    </row>
    <row r="7" customFormat="false" ht="48" hidden="false" customHeight="true" outlineLevel="0" collapsed="false">
      <c r="A7" s="23" t="s">
        <v>419</v>
      </c>
      <c r="B7" s="24" t="s">
        <v>826</v>
      </c>
      <c r="C7" s="24" t="s">
        <v>827</v>
      </c>
      <c r="D7" s="24" t="s">
        <v>828</v>
      </c>
      <c r="E7" s="22"/>
    </row>
    <row r="8" customFormat="false" ht="33.75" hidden="false" customHeight="true" outlineLevel="0" collapsed="false">
      <c r="A8" s="12" t="s">
        <v>440</v>
      </c>
      <c r="B8" s="14" t="s">
        <v>829</v>
      </c>
      <c r="C8" s="14" t="s">
        <v>830</v>
      </c>
      <c r="D8" s="14" t="s">
        <v>831</v>
      </c>
      <c r="E8" s="22"/>
    </row>
    <row r="9" customFormat="false" ht="33.75" hidden="false" customHeight="true" outlineLevel="0" collapsed="false">
      <c r="A9" s="23" t="s">
        <v>461</v>
      </c>
      <c r="B9" s="24" t="s">
        <v>832</v>
      </c>
      <c r="C9" s="24" t="s">
        <v>833</v>
      </c>
      <c r="D9" s="24" t="s">
        <v>834</v>
      </c>
      <c r="E9" s="22"/>
    </row>
    <row r="10" customFormat="false" ht="33.75" hidden="false" customHeight="true" outlineLevel="0" collapsed="false">
      <c r="A10" s="12" t="s">
        <v>482</v>
      </c>
      <c r="B10" s="14" t="s">
        <v>835</v>
      </c>
      <c r="C10" s="14" t="s">
        <v>836</v>
      </c>
      <c r="D10" s="14" t="s">
        <v>837</v>
      </c>
      <c r="E10" s="22"/>
    </row>
    <row r="11" customFormat="false" ht="33.75" hidden="false" customHeight="true" outlineLevel="0" collapsed="false">
      <c r="A11" s="23" t="s">
        <v>503</v>
      </c>
      <c r="B11" s="24" t="s">
        <v>838</v>
      </c>
      <c r="C11" s="24" t="s">
        <v>839</v>
      </c>
      <c r="D11" s="24" t="s">
        <v>840</v>
      </c>
      <c r="E11" s="22"/>
    </row>
    <row r="12" customFormat="false" ht="33.75" hidden="false" customHeight="true" outlineLevel="0" collapsed="false">
      <c r="A12" s="12" t="s">
        <v>524</v>
      </c>
      <c r="B12" s="14" t="s">
        <v>841</v>
      </c>
      <c r="C12" s="14" t="s">
        <v>842</v>
      </c>
      <c r="D12" s="14" t="s">
        <v>843</v>
      </c>
      <c r="E12" s="22"/>
    </row>
    <row r="13" customFormat="false" ht="33.75" hidden="false" customHeight="true" outlineLevel="0" collapsed="false">
      <c r="A13" s="23" t="s">
        <v>545</v>
      </c>
      <c r="B13" s="24" t="s">
        <v>844</v>
      </c>
      <c r="C13" s="24" t="s">
        <v>845</v>
      </c>
      <c r="D13" s="24" t="s">
        <v>846</v>
      </c>
      <c r="E13" s="22"/>
    </row>
    <row r="14" customFormat="false" ht="33.75" hidden="false" customHeight="true" outlineLevel="0" collapsed="false">
      <c r="A14" s="12" t="s">
        <v>566</v>
      </c>
      <c r="B14" s="14" t="s">
        <v>847</v>
      </c>
      <c r="C14" s="14" t="s">
        <v>848</v>
      </c>
      <c r="D14" s="14" t="s">
        <v>849</v>
      </c>
      <c r="E14" s="22"/>
    </row>
    <row r="15" customFormat="false" ht="33.75" hidden="false" customHeight="true" outlineLevel="0" collapsed="false">
      <c r="A15" s="23" t="s">
        <v>323</v>
      </c>
      <c r="B15" s="24" t="s">
        <v>850</v>
      </c>
      <c r="C15" s="24" t="s">
        <v>851</v>
      </c>
      <c r="D15" s="24" t="s">
        <v>852</v>
      </c>
      <c r="E15" s="22"/>
    </row>
    <row r="16" customFormat="false" ht="33.75" hidden="false" customHeight="true" outlineLevel="0" collapsed="false">
      <c r="A16" s="12" t="s">
        <v>608</v>
      </c>
      <c r="B16" s="14" t="s">
        <v>853</v>
      </c>
      <c r="C16" s="14" t="s">
        <v>854</v>
      </c>
      <c r="D16" s="14" t="s">
        <v>855</v>
      </c>
      <c r="E16" s="22"/>
    </row>
    <row r="17" customFormat="false" ht="33.75" hidden="false" customHeight="true" outlineLevel="0" collapsed="false">
      <c r="A17" s="23" t="s">
        <v>629</v>
      </c>
      <c r="B17" s="24" t="s">
        <v>856</v>
      </c>
      <c r="C17" s="24" t="s">
        <v>857</v>
      </c>
      <c r="D17" s="24" t="s">
        <v>858</v>
      </c>
      <c r="E17" s="22"/>
    </row>
    <row r="18" customFormat="false" ht="33.75" hidden="false" customHeight="true" outlineLevel="0" collapsed="false">
      <c r="A18" s="12" t="s">
        <v>650</v>
      </c>
      <c r="B18" s="14" t="s">
        <v>859</v>
      </c>
      <c r="C18" s="14" t="s">
        <v>860</v>
      </c>
      <c r="D18" s="14" t="s">
        <v>861</v>
      </c>
      <c r="E18" s="22"/>
    </row>
    <row r="19" customFormat="false" ht="33.75" hidden="false" customHeight="true" outlineLevel="0" collapsed="false">
      <c r="A19" s="23" t="s">
        <v>671</v>
      </c>
      <c r="B19" s="24" t="s">
        <v>862</v>
      </c>
      <c r="C19" s="24" t="s">
        <v>863</v>
      </c>
      <c r="D19" s="24" t="s">
        <v>864</v>
      </c>
      <c r="E19" s="22"/>
    </row>
    <row r="20" customFormat="false" ht="33.75" hidden="false" customHeight="true" outlineLevel="0" collapsed="false">
      <c r="A20" s="12" t="s">
        <v>692</v>
      </c>
      <c r="B20" s="14" t="s">
        <v>865</v>
      </c>
      <c r="C20" s="14" t="s">
        <v>866</v>
      </c>
      <c r="D20" s="14" t="s">
        <v>867</v>
      </c>
      <c r="E20" s="22"/>
    </row>
    <row r="21" customFormat="false" ht="33.75" hidden="false" customHeight="true" outlineLevel="0" collapsed="false">
      <c r="A21" s="23" t="s">
        <v>332</v>
      </c>
      <c r="B21" s="24" t="s">
        <v>868</v>
      </c>
      <c r="C21" s="24" t="s">
        <v>869</v>
      </c>
      <c r="D21" s="24" t="s">
        <v>870</v>
      </c>
      <c r="E21" s="22"/>
    </row>
    <row r="23" customFormat="false" ht="15" hidden="false" customHeight="false" outlineLevel="0" collapsed="false">
      <c r="A23" s="25" t="s">
        <v>871</v>
      </c>
    </row>
    <row r="24" customFormat="false" ht="31.5" hidden="false" customHeight="true" outlineLevel="0" collapsed="false">
      <c r="A24" s="32" t="s">
        <v>98</v>
      </c>
      <c r="B24" s="32" t="s">
        <v>872</v>
      </c>
      <c r="C24" s="32" t="s">
        <v>873</v>
      </c>
    </row>
    <row r="25" customFormat="false" ht="48" hidden="false" customHeight="true" outlineLevel="0" collapsed="false">
      <c r="A25" s="12" t="s">
        <v>874</v>
      </c>
      <c r="B25" s="14" t="s">
        <v>875</v>
      </c>
      <c r="C25" s="14" t="s">
        <v>876</v>
      </c>
    </row>
    <row r="26" customFormat="false" ht="33.75" hidden="false" customHeight="true" outlineLevel="0" collapsed="false">
      <c r="A26" s="12" t="s">
        <v>877</v>
      </c>
      <c r="B26" s="14" t="s">
        <v>878</v>
      </c>
      <c r="C26" s="14" t="s">
        <v>879</v>
      </c>
    </row>
    <row r="27" customFormat="false" ht="33.75" hidden="false" customHeight="true" outlineLevel="0" collapsed="false">
      <c r="A27" s="12" t="s">
        <v>880</v>
      </c>
      <c r="B27" s="14" t="s">
        <v>881</v>
      </c>
      <c r="C27" s="14" t="s">
        <v>882</v>
      </c>
    </row>
    <row r="28" customFormat="false" ht="48" hidden="false" customHeight="true" outlineLevel="0" collapsed="false">
      <c r="A28" s="12" t="s">
        <v>883</v>
      </c>
      <c r="B28" s="14" t="s">
        <v>884</v>
      </c>
      <c r="C28" s="14" t="s">
        <v>885</v>
      </c>
    </row>
    <row r="29" customFormat="false" ht="48" hidden="false" customHeight="true" outlineLevel="0" collapsed="false">
      <c r="A29" s="12" t="s">
        <v>886</v>
      </c>
      <c r="B29" s="14" t="s">
        <v>887</v>
      </c>
      <c r="C29" s="14" t="s">
        <v>888</v>
      </c>
    </row>
    <row r="31" customFormat="false" ht="15" hidden="false" customHeight="false" outlineLevel="0" collapsed="false">
      <c r="A31" s="25" t="s">
        <v>889</v>
      </c>
    </row>
    <row r="32" customFormat="false" ht="15" hidden="false" customHeight="false" outlineLevel="0" collapsed="false">
      <c r="A32" s="14" t="s">
        <v>890</v>
      </c>
      <c r="B32" s="14" t="s">
        <v>891</v>
      </c>
    </row>
    <row r="33" customFormat="false" ht="15" hidden="false" customHeight="false" outlineLevel="0" collapsed="false">
      <c r="A33" s="14" t="s">
        <v>890</v>
      </c>
      <c r="B33" s="14" t="s">
        <v>892</v>
      </c>
    </row>
    <row r="34" customFormat="false" ht="15" hidden="false" customHeight="false" outlineLevel="0" collapsed="false">
      <c r="A34" s="14" t="s">
        <v>890</v>
      </c>
      <c r="B34" s="14" t="s">
        <v>893</v>
      </c>
    </row>
    <row r="35" customFormat="false" ht="15" hidden="false" customHeight="false" outlineLevel="0" collapsed="false">
      <c r="A35" s="14" t="s">
        <v>890</v>
      </c>
      <c r="B35" s="14" t="s">
        <v>894</v>
      </c>
    </row>
    <row r="36" customFormat="false" ht="15" hidden="false" customHeight="false" outlineLevel="0" collapsed="false">
      <c r="A36" s="14" t="s">
        <v>890</v>
      </c>
      <c r="B36" s="14" t="s">
        <v>895</v>
      </c>
    </row>
    <row r="37" customFormat="false" ht="15" hidden="false" customHeight="false" outlineLevel="0" collapsed="false">
      <c r="A37" s="14" t="s">
        <v>890</v>
      </c>
      <c r="B37" s="14" t="s">
        <v>352</v>
      </c>
    </row>
    <row r="38" customFormat="false" ht="15" hidden="false" customHeight="false" outlineLevel="0" collapsed="false">
      <c r="A38" s="14" t="s">
        <v>890</v>
      </c>
      <c r="B38" s="14" t="s">
        <v>896</v>
      </c>
    </row>
    <row r="39" customFormat="false" ht="15" hidden="false" customHeight="false" outlineLevel="0" collapsed="false">
      <c r="A39" s="14" t="s">
        <v>890</v>
      </c>
      <c r="B39" s="14" t="s">
        <v>897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1340"/>
    <pageSetUpPr fitToPage="false"/>
  </sheetPr>
  <dimension ref="A1:F6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70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40"/>
  </cols>
  <sheetData>
    <row r="1" customFormat="false" ht="33.75" hidden="false" customHeight="true" outlineLevel="0" collapsed="false">
      <c r="A1" s="1" t="s">
        <v>898</v>
      </c>
      <c r="B1" s="2"/>
      <c r="C1" s="2"/>
      <c r="D1" s="2"/>
      <c r="E1" s="2"/>
      <c r="F1" s="2"/>
    </row>
    <row r="2" customFormat="false" ht="19.5" hidden="false" customHeight="true" outlineLevel="0" collapsed="false">
      <c r="A2" s="3" t="s">
        <v>899</v>
      </c>
      <c r="B2" s="2"/>
      <c r="C2" s="2"/>
      <c r="D2" s="2"/>
      <c r="E2" s="2"/>
      <c r="F2" s="2"/>
    </row>
    <row r="3" customFormat="false" ht="31.5" hidden="false" customHeight="true" outlineLevel="0" collapsed="false">
      <c r="A3" s="11" t="s">
        <v>27</v>
      </c>
      <c r="B3" s="11" t="s">
        <v>900</v>
      </c>
      <c r="C3" s="11" t="s">
        <v>901</v>
      </c>
      <c r="D3" s="11" t="s">
        <v>35</v>
      </c>
      <c r="E3" s="11" t="s">
        <v>902</v>
      </c>
      <c r="F3" s="11" t="s">
        <v>903</v>
      </c>
    </row>
    <row r="4" customFormat="false" ht="33.75" hidden="false" customHeight="true" outlineLevel="0" collapsed="false">
      <c r="A4" s="12" t="s">
        <v>904</v>
      </c>
      <c r="B4" s="14" t="s">
        <v>905</v>
      </c>
      <c r="C4" s="14" t="s">
        <v>906</v>
      </c>
      <c r="D4" s="14" t="s">
        <v>907</v>
      </c>
      <c r="E4" s="22"/>
      <c r="F4" s="22"/>
    </row>
    <row r="5" customFormat="false" ht="33.75" hidden="false" customHeight="true" outlineLevel="0" collapsed="false">
      <c r="A5" s="12" t="s">
        <v>904</v>
      </c>
      <c r="B5" s="14" t="s">
        <v>908</v>
      </c>
      <c r="C5" s="14" t="s">
        <v>909</v>
      </c>
      <c r="D5" s="14" t="s">
        <v>910</v>
      </c>
      <c r="E5" s="22"/>
      <c r="F5" s="22"/>
    </row>
    <row r="6" customFormat="false" ht="33.75" hidden="false" customHeight="true" outlineLevel="0" collapsed="false">
      <c r="A6" s="12" t="s">
        <v>904</v>
      </c>
      <c r="B6" s="14" t="s">
        <v>237</v>
      </c>
      <c r="C6" s="14" t="s">
        <v>911</v>
      </c>
      <c r="D6" s="14" t="s">
        <v>912</v>
      </c>
      <c r="E6" s="22"/>
      <c r="F6" s="22"/>
    </row>
    <row r="7" customFormat="false" ht="33.75" hidden="false" customHeight="true" outlineLevel="0" collapsed="false">
      <c r="A7" s="12" t="s">
        <v>904</v>
      </c>
      <c r="B7" s="14" t="s">
        <v>913</v>
      </c>
      <c r="C7" s="14" t="s">
        <v>914</v>
      </c>
      <c r="D7" s="14" t="s">
        <v>915</v>
      </c>
      <c r="E7" s="22"/>
      <c r="F7" s="22"/>
    </row>
    <row r="8" customFormat="false" ht="33.75" hidden="false" customHeight="true" outlineLevel="0" collapsed="false">
      <c r="A8" s="12" t="s">
        <v>904</v>
      </c>
      <c r="B8" s="14" t="s">
        <v>916</v>
      </c>
      <c r="C8" s="14" t="s">
        <v>917</v>
      </c>
      <c r="D8" s="14" t="s">
        <v>918</v>
      </c>
      <c r="E8" s="22"/>
      <c r="F8" s="22"/>
    </row>
    <row r="9" customFormat="false" ht="33.75" hidden="false" customHeight="true" outlineLevel="0" collapsed="false">
      <c r="A9" s="12" t="s">
        <v>904</v>
      </c>
      <c r="B9" s="14" t="s">
        <v>919</v>
      </c>
      <c r="C9" s="14" t="s">
        <v>920</v>
      </c>
      <c r="D9" s="14" t="s">
        <v>921</v>
      </c>
      <c r="E9" s="22"/>
      <c r="F9" s="22"/>
    </row>
    <row r="10" customFormat="false" ht="33.75" hidden="false" customHeight="true" outlineLevel="0" collapsed="false">
      <c r="A10" s="12" t="s">
        <v>904</v>
      </c>
      <c r="B10" s="14" t="s">
        <v>922</v>
      </c>
      <c r="C10" s="14" t="s">
        <v>923</v>
      </c>
      <c r="D10" s="14" t="s">
        <v>924</v>
      </c>
      <c r="E10" s="22"/>
      <c r="F10" s="22"/>
    </row>
    <row r="11" customFormat="false" ht="33.75" hidden="false" customHeight="true" outlineLevel="0" collapsed="false">
      <c r="A11" s="12" t="s">
        <v>904</v>
      </c>
      <c r="B11" s="14" t="s">
        <v>925</v>
      </c>
      <c r="C11" s="14" t="s">
        <v>926</v>
      </c>
      <c r="D11" s="14" t="s">
        <v>927</v>
      </c>
      <c r="E11" s="22"/>
      <c r="F11" s="22"/>
    </row>
    <row r="12" customFormat="false" ht="33.75" hidden="false" customHeight="true" outlineLevel="0" collapsed="false">
      <c r="A12" s="12" t="s">
        <v>904</v>
      </c>
      <c r="B12" s="14" t="s">
        <v>928</v>
      </c>
      <c r="C12" s="14" t="s">
        <v>929</v>
      </c>
      <c r="D12" s="14" t="s">
        <v>930</v>
      </c>
      <c r="E12" s="22"/>
      <c r="F12" s="22"/>
    </row>
    <row r="13" customFormat="false" ht="33.75" hidden="false" customHeight="true" outlineLevel="0" collapsed="false">
      <c r="A13" s="12" t="s">
        <v>904</v>
      </c>
      <c r="B13" s="14" t="s">
        <v>931</v>
      </c>
      <c r="C13" s="14" t="s">
        <v>932</v>
      </c>
      <c r="D13" s="14" t="s">
        <v>933</v>
      </c>
      <c r="E13" s="22"/>
      <c r="F13" s="22"/>
    </row>
    <row r="14" customFormat="false" ht="33.75" hidden="false" customHeight="true" outlineLevel="0" collapsed="false">
      <c r="A14" s="12" t="s">
        <v>904</v>
      </c>
      <c r="B14" s="14" t="s">
        <v>934</v>
      </c>
      <c r="C14" s="14" t="s">
        <v>935</v>
      </c>
      <c r="D14" s="14" t="s">
        <v>927</v>
      </c>
      <c r="E14" s="22"/>
      <c r="F14" s="22"/>
    </row>
    <row r="15" customFormat="false" ht="33.75" hidden="false" customHeight="true" outlineLevel="0" collapsed="false">
      <c r="A15" s="12" t="s">
        <v>904</v>
      </c>
      <c r="B15" s="14" t="s">
        <v>936</v>
      </c>
      <c r="C15" s="14" t="s">
        <v>937</v>
      </c>
      <c r="D15" s="14" t="s">
        <v>938</v>
      </c>
      <c r="E15" s="22"/>
      <c r="F15" s="22"/>
    </row>
    <row r="16" customFormat="false" ht="48" hidden="false" customHeight="true" outlineLevel="0" collapsed="false">
      <c r="A16" s="12" t="s">
        <v>904</v>
      </c>
      <c r="B16" s="14" t="s">
        <v>939</v>
      </c>
      <c r="C16" s="14" t="s">
        <v>940</v>
      </c>
      <c r="D16" s="14" t="s">
        <v>941</v>
      </c>
      <c r="E16" s="22"/>
      <c r="F16" s="22"/>
    </row>
    <row r="17" customFormat="false" ht="33.75" hidden="false" customHeight="true" outlineLevel="0" collapsed="false">
      <c r="A17" s="12" t="s">
        <v>904</v>
      </c>
      <c r="B17" s="14" t="s">
        <v>942</v>
      </c>
      <c r="C17" s="14" t="s">
        <v>943</v>
      </c>
      <c r="D17" s="14" t="s">
        <v>944</v>
      </c>
      <c r="E17" s="22"/>
      <c r="F17" s="22"/>
    </row>
    <row r="18" customFormat="false" ht="33.75" hidden="false" customHeight="true" outlineLevel="0" collapsed="false">
      <c r="A18" s="12" t="s">
        <v>904</v>
      </c>
      <c r="B18" s="14" t="s">
        <v>945</v>
      </c>
      <c r="C18" s="14" t="s">
        <v>946</v>
      </c>
      <c r="D18" s="14" t="s">
        <v>947</v>
      </c>
      <c r="E18" s="22"/>
      <c r="F18" s="22"/>
    </row>
    <row r="19" customFormat="false" ht="33.75" hidden="false" customHeight="true" outlineLevel="0" collapsed="false">
      <c r="A19" s="12" t="s">
        <v>904</v>
      </c>
      <c r="B19" s="14" t="s">
        <v>948</v>
      </c>
      <c r="C19" s="14" t="s">
        <v>949</v>
      </c>
      <c r="D19" s="14" t="s">
        <v>950</v>
      </c>
      <c r="E19" s="22"/>
      <c r="F19" s="22"/>
    </row>
    <row r="20" customFormat="false" ht="33.75" hidden="false" customHeight="true" outlineLevel="0" collapsed="false">
      <c r="A20" s="12" t="s">
        <v>904</v>
      </c>
      <c r="B20" s="14" t="s">
        <v>951</v>
      </c>
      <c r="C20" s="14" t="s">
        <v>952</v>
      </c>
      <c r="D20" s="14" t="s">
        <v>953</v>
      </c>
      <c r="E20" s="22"/>
      <c r="F20" s="22"/>
    </row>
    <row r="21" customFormat="false" ht="33.75" hidden="false" customHeight="true" outlineLevel="0" collapsed="false">
      <c r="A21" s="12" t="s">
        <v>904</v>
      </c>
      <c r="B21" s="14" t="s">
        <v>954</v>
      </c>
      <c r="C21" s="14" t="s">
        <v>955</v>
      </c>
      <c r="D21" s="14" t="s">
        <v>956</v>
      </c>
      <c r="E21" s="22"/>
      <c r="F21" s="22"/>
    </row>
    <row r="22" customFormat="false" ht="33.75" hidden="false" customHeight="true" outlineLevel="0" collapsed="false">
      <c r="A22" s="12" t="s">
        <v>904</v>
      </c>
      <c r="B22" s="14" t="s">
        <v>957</v>
      </c>
      <c r="C22" s="14" t="s">
        <v>958</v>
      </c>
      <c r="D22" s="14" t="s">
        <v>959</v>
      </c>
      <c r="E22" s="22"/>
      <c r="F22" s="22"/>
    </row>
    <row r="23" customFormat="false" ht="33.75" hidden="false" customHeight="true" outlineLevel="0" collapsed="false">
      <c r="A23" s="12" t="s">
        <v>960</v>
      </c>
      <c r="B23" s="14" t="s">
        <v>961</v>
      </c>
      <c r="C23" s="14" t="s">
        <v>962</v>
      </c>
      <c r="D23" s="14" t="s">
        <v>963</v>
      </c>
      <c r="E23" s="22"/>
      <c r="F23" s="22"/>
    </row>
    <row r="24" customFormat="false" ht="33.75" hidden="false" customHeight="true" outlineLevel="0" collapsed="false">
      <c r="A24" s="12" t="s">
        <v>960</v>
      </c>
      <c r="B24" s="14" t="s">
        <v>964</v>
      </c>
      <c r="C24" s="14" t="s">
        <v>965</v>
      </c>
      <c r="D24" s="14" t="s">
        <v>966</v>
      </c>
      <c r="E24" s="22"/>
      <c r="F24" s="22"/>
    </row>
    <row r="25" customFormat="false" ht="33.75" hidden="false" customHeight="true" outlineLevel="0" collapsed="false">
      <c r="A25" s="12" t="s">
        <v>960</v>
      </c>
      <c r="B25" s="14" t="s">
        <v>967</v>
      </c>
      <c r="C25" s="14" t="s">
        <v>968</v>
      </c>
      <c r="D25" s="14" t="s">
        <v>969</v>
      </c>
      <c r="E25" s="22"/>
      <c r="F25" s="22"/>
    </row>
    <row r="26" customFormat="false" ht="33.75" hidden="false" customHeight="true" outlineLevel="0" collapsed="false">
      <c r="A26" s="12" t="s">
        <v>960</v>
      </c>
      <c r="B26" s="14" t="s">
        <v>970</v>
      </c>
      <c r="C26" s="14" t="s">
        <v>971</v>
      </c>
      <c r="D26" s="14" t="s">
        <v>972</v>
      </c>
      <c r="E26" s="22"/>
      <c r="F26" s="22"/>
    </row>
    <row r="27" customFormat="false" ht="33.75" hidden="false" customHeight="true" outlineLevel="0" collapsed="false">
      <c r="A27" s="12" t="s">
        <v>960</v>
      </c>
      <c r="B27" s="14" t="s">
        <v>973</v>
      </c>
      <c r="C27" s="14" t="s">
        <v>974</v>
      </c>
      <c r="D27" s="14" t="s">
        <v>975</v>
      </c>
      <c r="E27" s="22"/>
      <c r="F27" s="22"/>
    </row>
    <row r="28" customFormat="false" ht="19.5" hidden="false" customHeight="true" outlineLevel="0" collapsed="false">
      <c r="A28" s="12" t="s">
        <v>960</v>
      </c>
      <c r="B28" s="14" t="s">
        <v>976</v>
      </c>
      <c r="C28" s="14" t="s">
        <v>977</v>
      </c>
      <c r="D28" s="14" t="s">
        <v>978</v>
      </c>
      <c r="E28" s="22"/>
      <c r="F28" s="22"/>
    </row>
    <row r="29" customFormat="false" ht="33.75" hidden="false" customHeight="true" outlineLevel="0" collapsed="false">
      <c r="A29" s="12" t="s">
        <v>960</v>
      </c>
      <c r="B29" s="14" t="s">
        <v>979</v>
      </c>
      <c r="C29" s="14" t="s">
        <v>980</v>
      </c>
      <c r="D29" s="14" t="s">
        <v>981</v>
      </c>
      <c r="E29" s="22"/>
      <c r="F29" s="22"/>
    </row>
    <row r="30" customFormat="false" ht="33.75" hidden="false" customHeight="true" outlineLevel="0" collapsed="false">
      <c r="A30" s="12" t="s">
        <v>960</v>
      </c>
      <c r="B30" s="14" t="s">
        <v>982</v>
      </c>
      <c r="C30" s="14" t="s">
        <v>983</v>
      </c>
      <c r="D30" s="14" t="s">
        <v>984</v>
      </c>
      <c r="E30" s="22"/>
      <c r="F30" s="22"/>
    </row>
    <row r="31" customFormat="false" ht="48" hidden="false" customHeight="true" outlineLevel="0" collapsed="false">
      <c r="A31" s="12" t="s">
        <v>359</v>
      </c>
      <c r="B31" s="14" t="s">
        <v>374</v>
      </c>
      <c r="C31" s="14" t="s">
        <v>375</v>
      </c>
      <c r="D31" s="14" t="s">
        <v>985</v>
      </c>
      <c r="E31" s="22"/>
      <c r="F31" s="22"/>
    </row>
    <row r="32" customFormat="false" ht="33.75" hidden="false" customHeight="true" outlineLevel="0" collapsed="false">
      <c r="A32" s="12" t="s">
        <v>319</v>
      </c>
      <c r="B32" s="14" t="s">
        <v>394</v>
      </c>
      <c r="C32" s="14" t="s">
        <v>395</v>
      </c>
      <c r="D32" s="14" t="s">
        <v>985</v>
      </c>
      <c r="E32" s="22"/>
      <c r="F32" s="22"/>
    </row>
    <row r="33" customFormat="false" ht="33.75" hidden="false" customHeight="true" outlineLevel="0" collapsed="false">
      <c r="A33" s="12" t="s">
        <v>28</v>
      </c>
      <c r="B33" s="14" t="s">
        <v>413</v>
      </c>
      <c r="C33" s="14" t="s">
        <v>414</v>
      </c>
      <c r="D33" s="14" t="s">
        <v>985</v>
      </c>
      <c r="E33" s="22"/>
      <c r="F33" s="22"/>
    </row>
    <row r="34" customFormat="false" ht="48" hidden="false" customHeight="true" outlineLevel="0" collapsed="false">
      <c r="A34" s="12" t="s">
        <v>419</v>
      </c>
      <c r="B34" s="14" t="s">
        <v>434</v>
      </c>
      <c r="C34" s="14" t="s">
        <v>435</v>
      </c>
      <c r="D34" s="14" t="s">
        <v>985</v>
      </c>
      <c r="E34" s="22"/>
      <c r="F34" s="22"/>
    </row>
    <row r="35" customFormat="false" ht="48" hidden="false" customHeight="true" outlineLevel="0" collapsed="false">
      <c r="A35" s="12" t="s">
        <v>440</v>
      </c>
      <c r="B35" s="14" t="s">
        <v>455</v>
      </c>
      <c r="C35" s="14" t="s">
        <v>456</v>
      </c>
      <c r="D35" s="14" t="s">
        <v>985</v>
      </c>
      <c r="E35" s="22"/>
      <c r="F35" s="22"/>
    </row>
    <row r="36" customFormat="false" ht="33.75" hidden="false" customHeight="true" outlineLevel="0" collapsed="false">
      <c r="A36" s="12" t="s">
        <v>461</v>
      </c>
      <c r="B36" s="14" t="s">
        <v>476</v>
      </c>
      <c r="C36" s="14" t="s">
        <v>477</v>
      </c>
      <c r="D36" s="14" t="s">
        <v>985</v>
      </c>
      <c r="E36" s="22"/>
      <c r="F36" s="22"/>
    </row>
    <row r="37" customFormat="false" ht="33.75" hidden="false" customHeight="true" outlineLevel="0" collapsed="false">
      <c r="A37" s="12" t="s">
        <v>482</v>
      </c>
      <c r="B37" s="14" t="s">
        <v>497</v>
      </c>
      <c r="C37" s="14" t="s">
        <v>498</v>
      </c>
      <c r="D37" s="14" t="s">
        <v>985</v>
      </c>
      <c r="E37" s="22"/>
      <c r="F37" s="22"/>
    </row>
    <row r="38" customFormat="false" ht="33.75" hidden="false" customHeight="true" outlineLevel="0" collapsed="false">
      <c r="A38" s="12" t="s">
        <v>503</v>
      </c>
      <c r="B38" s="14" t="s">
        <v>518</v>
      </c>
      <c r="C38" s="14" t="s">
        <v>519</v>
      </c>
      <c r="D38" s="14" t="s">
        <v>985</v>
      </c>
      <c r="E38" s="22"/>
      <c r="F38" s="22"/>
    </row>
    <row r="39" customFormat="false" ht="33.75" hidden="false" customHeight="true" outlineLevel="0" collapsed="false">
      <c r="A39" s="12" t="s">
        <v>524</v>
      </c>
      <c r="B39" s="14" t="s">
        <v>539</v>
      </c>
      <c r="C39" s="14" t="s">
        <v>540</v>
      </c>
      <c r="D39" s="14" t="s">
        <v>985</v>
      </c>
      <c r="E39" s="22"/>
      <c r="F39" s="22"/>
    </row>
    <row r="40" customFormat="false" ht="33.75" hidden="false" customHeight="true" outlineLevel="0" collapsed="false">
      <c r="A40" s="12" t="s">
        <v>545</v>
      </c>
      <c r="B40" s="14" t="s">
        <v>560</v>
      </c>
      <c r="C40" s="14" t="s">
        <v>561</v>
      </c>
      <c r="D40" s="14" t="s">
        <v>985</v>
      </c>
      <c r="E40" s="22"/>
      <c r="F40" s="22"/>
    </row>
    <row r="41" customFormat="false" ht="33.75" hidden="false" customHeight="true" outlineLevel="0" collapsed="false">
      <c r="A41" s="12" t="s">
        <v>566</v>
      </c>
      <c r="B41" s="14" t="s">
        <v>581</v>
      </c>
      <c r="C41" s="14" t="s">
        <v>582</v>
      </c>
      <c r="D41" s="14" t="s">
        <v>985</v>
      </c>
      <c r="E41" s="22"/>
      <c r="F41" s="22"/>
    </row>
    <row r="42" customFormat="false" ht="48" hidden="false" customHeight="true" outlineLevel="0" collapsed="false">
      <c r="A42" s="12" t="s">
        <v>323</v>
      </c>
      <c r="B42" s="14" t="s">
        <v>601</v>
      </c>
      <c r="C42" s="14" t="s">
        <v>602</v>
      </c>
      <c r="D42" s="14" t="s">
        <v>985</v>
      </c>
      <c r="E42" s="22"/>
      <c r="F42" s="22"/>
    </row>
    <row r="43" customFormat="false" ht="48" hidden="false" customHeight="true" outlineLevel="0" collapsed="false">
      <c r="A43" s="12" t="s">
        <v>608</v>
      </c>
      <c r="B43" s="14" t="s">
        <v>623</v>
      </c>
      <c r="C43" s="14" t="s">
        <v>624</v>
      </c>
      <c r="D43" s="14" t="s">
        <v>985</v>
      </c>
      <c r="E43" s="22"/>
      <c r="F43" s="22"/>
    </row>
    <row r="44" customFormat="false" ht="33.75" hidden="false" customHeight="true" outlineLevel="0" collapsed="false">
      <c r="A44" s="12" t="s">
        <v>629</v>
      </c>
      <c r="B44" s="14" t="s">
        <v>644</v>
      </c>
      <c r="C44" s="14" t="s">
        <v>645</v>
      </c>
      <c r="D44" s="14" t="s">
        <v>985</v>
      </c>
      <c r="E44" s="22"/>
      <c r="F44" s="22"/>
    </row>
    <row r="45" customFormat="false" ht="33.75" hidden="false" customHeight="true" outlineLevel="0" collapsed="false">
      <c r="A45" s="12" t="s">
        <v>650</v>
      </c>
      <c r="B45" s="14" t="s">
        <v>665</v>
      </c>
      <c r="C45" s="14" t="s">
        <v>666</v>
      </c>
      <c r="D45" s="14" t="s">
        <v>985</v>
      </c>
      <c r="E45" s="22"/>
      <c r="F45" s="22"/>
    </row>
    <row r="46" customFormat="false" ht="33.75" hidden="false" customHeight="true" outlineLevel="0" collapsed="false">
      <c r="A46" s="12" t="s">
        <v>671</v>
      </c>
      <c r="B46" s="14" t="s">
        <v>686</v>
      </c>
      <c r="C46" s="14" t="s">
        <v>687</v>
      </c>
      <c r="D46" s="14" t="s">
        <v>985</v>
      </c>
      <c r="E46" s="22"/>
      <c r="F46" s="22"/>
    </row>
    <row r="47" customFormat="false" ht="33.75" hidden="false" customHeight="true" outlineLevel="0" collapsed="false">
      <c r="A47" s="12" t="s">
        <v>692</v>
      </c>
      <c r="B47" s="14" t="s">
        <v>707</v>
      </c>
      <c r="C47" s="14" t="s">
        <v>708</v>
      </c>
      <c r="D47" s="14" t="s">
        <v>985</v>
      </c>
      <c r="E47" s="22"/>
      <c r="F47" s="22"/>
    </row>
    <row r="48" customFormat="false" ht="33.75" hidden="false" customHeight="true" outlineLevel="0" collapsed="false">
      <c r="A48" s="12" t="s">
        <v>332</v>
      </c>
      <c r="B48" s="14" t="s">
        <v>727</v>
      </c>
      <c r="C48" s="14" t="s">
        <v>728</v>
      </c>
      <c r="D48" s="14" t="s">
        <v>985</v>
      </c>
      <c r="E48" s="22"/>
      <c r="F48" s="22"/>
    </row>
    <row r="49" customFormat="false" ht="15" hidden="false" customHeight="false" outlineLevel="0" collapsed="false">
      <c r="E49" s="27"/>
      <c r="F49" s="27"/>
    </row>
    <row r="50" customFormat="false" ht="15" hidden="false" customHeight="false" outlineLevel="0" collapsed="false">
      <c r="E50" s="27"/>
      <c r="F50" s="27"/>
    </row>
    <row r="51" customFormat="false" ht="15" hidden="false" customHeight="false" outlineLevel="0" collapsed="false">
      <c r="E51" s="27"/>
      <c r="F51" s="27"/>
    </row>
    <row r="52" customFormat="false" ht="15" hidden="false" customHeight="false" outlineLevel="0" collapsed="false">
      <c r="E52" s="27"/>
      <c r="F52" s="27"/>
    </row>
    <row r="53" customFormat="false" ht="15" hidden="false" customHeight="false" outlineLevel="0" collapsed="false">
      <c r="E53" s="27"/>
      <c r="F53" s="27"/>
    </row>
    <row r="54" customFormat="false" ht="15" hidden="false" customHeight="false" outlineLevel="0" collapsed="false">
      <c r="E54" s="27"/>
      <c r="F54" s="27"/>
    </row>
    <row r="55" customFormat="false" ht="15" hidden="false" customHeight="false" outlineLevel="0" collapsed="false">
      <c r="E55" s="27"/>
      <c r="F55" s="27"/>
    </row>
    <row r="56" customFormat="false" ht="15" hidden="false" customHeight="false" outlineLevel="0" collapsed="false">
      <c r="E56" s="27"/>
      <c r="F56" s="27"/>
    </row>
    <row r="57" customFormat="false" ht="15" hidden="false" customHeight="false" outlineLevel="0" collapsed="false">
      <c r="E57" s="27"/>
      <c r="F57" s="27"/>
    </row>
    <row r="58" customFormat="false" ht="15" hidden="false" customHeight="false" outlineLevel="0" collapsed="false">
      <c r="E58" s="27"/>
      <c r="F58" s="27"/>
    </row>
    <row r="59" customFormat="false" ht="15" hidden="false" customHeight="false" outlineLevel="0" collapsed="false">
      <c r="E59" s="27"/>
      <c r="F59" s="27"/>
    </row>
    <row r="60" customFormat="false" ht="15" hidden="false" customHeight="false" outlineLevel="0" collapsed="false">
      <c r="E60" s="27"/>
      <c r="F60" s="27"/>
    </row>
    <row r="61" customFormat="false" ht="15" hidden="false" customHeight="false" outlineLevel="0" collapsed="false">
      <c r="E61" s="27"/>
      <c r="F61" s="27"/>
    </row>
    <row r="62" customFormat="false" ht="15" hidden="false" customHeight="false" outlineLevel="0" collapsed="false">
      <c r="E62" s="27"/>
      <c r="F62" s="27"/>
    </row>
  </sheetData>
  <autoFilter ref="A3:F48"/>
  <dataValidations count="1">
    <dataValidation allowBlank="true" errorStyle="stop" operator="between" showDropDown="false" showErrorMessage="false" showInputMessage="false" sqref="E4:E62" type="list">
      <formula1>"Sim,Parcial,Não"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1340"/>
    <pageSetUpPr fitToPage="false"/>
  </sheetPr>
  <dimension ref="A1:D6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0"/>
    <col collapsed="false" customWidth="true" hidden="false" outlineLevel="0" max="3" min="3" style="0" width="20"/>
    <col collapsed="false" customWidth="true" hidden="false" outlineLevel="0" max="4" min="4" style="0" width="16"/>
  </cols>
  <sheetData>
    <row r="1" customFormat="false" ht="33.75" hidden="false" customHeight="true" outlineLevel="0" collapsed="false">
      <c r="A1" s="1" t="s">
        <v>986</v>
      </c>
      <c r="B1" s="2"/>
      <c r="C1" s="2"/>
      <c r="D1" s="2"/>
    </row>
    <row r="2" customFormat="false" ht="19.5" hidden="false" customHeight="true" outlineLevel="0" collapsed="false">
      <c r="A2" s="3" t="s">
        <v>987</v>
      </c>
      <c r="B2" s="2"/>
      <c r="C2" s="2"/>
      <c r="D2" s="2"/>
    </row>
    <row r="3" customFormat="false" ht="31.5" hidden="false" customHeight="true" outlineLevel="0" collapsed="false">
      <c r="A3" s="11" t="s">
        <v>988</v>
      </c>
      <c r="B3" s="11" t="s">
        <v>989</v>
      </c>
      <c r="C3" s="11" t="s">
        <v>990</v>
      </c>
      <c r="D3" s="11" t="s">
        <v>991</v>
      </c>
    </row>
    <row r="4" customFormat="false" ht="15" hidden="false" customHeight="false" outlineLevel="0" collapsed="false">
      <c r="A4" s="12" t="s">
        <v>992</v>
      </c>
      <c r="B4" s="14" t="s">
        <v>993</v>
      </c>
      <c r="C4" s="14" t="s">
        <v>994</v>
      </c>
      <c r="D4" s="22"/>
    </row>
    <row r="5" customFormat="false" ht="15" hidden="false" customHeight="false" outlineLevel="0" collapsed="false">
      <c r="A5" s="12" t="s">
        <v>992</v>
      </c>
      <c r="B5" s="14" t="s">
        <v>995</v>
      </c>
      <c r="C5" s="14" t="s">
        <v>994</v>
      </c>
      <c r="D5" s="22"/>
    </row>
    <row r="6" customFormat="false" ht="15" hidden="false" customHeight="false" outlineLevel="0" collapsed="false">
      <c r="A6" s="12" t="s">
        <v>992</v>
      </c>
      <c r="B6" s="14" t="s">
        <v>996</v>
      </c>
      <c r="C6" s="14" t="s">
        <v>994</v>
      </c>
      <c r="D6" s="22"/>
    </row>
    <row r="7" customFormat="false" ht="23.85" hidden="false" customHeight="false" outlineLevel="0" collapsed="false">
      <c r="A7" s="12" t="s">
        <v>992</v>
      </c>
      <c r="B7" s="14" t="s">
        <v>997</v>
      </c>
      <c r="C7" s="14" t="s">
        <v>994</v>
      </c>
      <c r="D7" s="22"/>
    </row>
    <row r="8" customFormat="false" ht="15" hidden="false" customHeight="false" outlineLevel="0" collapsed="false">
      <c r="A8" s="12" t="s">
        <v>992</v>
      </c>
      <c r="B8" s="14" t="s">
        <v>998</v>
      </c>
      <c r="C8" s="14" t="s">
        <v>994</v>
      </c>
      <c r="D8" s="22"/>
    </row>
    <row r="9" customFormat="false" ht="15" hidden="false" customHeight="false" outlineLevel="0" collapsed="false">
      <c r="A9" s="12" t="s">
        <v>999</v>
      </c>
      <c r="B9" s="14" t="s">
        <v>1000</v>
      </c>
      <c r="C9" s="14" t="s">
        <v>994</v>
      </c>
      <c r="D9" s="22"/>
    </row>
    <row r="10" customFormat="false" ht="15" hidden="false" customHeight="false" outlineLevel="0" collapsed="false">
      <c r="A10" s="12" t="s">
        <v>999</v>
      </c>
      <c r="B10" s="14" t="s">
        <v>1001</v>
      </c>
      <c r="C10" s="14" t="s">
        <v>994</v>
      </c>
      <c r="D10" s="22"/>
    </row>
    <row r="11" customFormat="false" ht="15" hidden="false" customHeight="false" outlineLevel="0" collapsed="false">
      <c r="A11" s="12" t="s">
        <v>1002</v>
      </c>
      <c r="B11" s="14" t="s">
        <v>1003</v>
      </c>
      <c r="C11" s="14" t="s">
        <v>994</v>
      </c>
      <c r="D11" s="22"/>
    </row>
    <row r="12" customFormat="false" ht="15" hidden="false" customHeight="false" outlineLevel="0" collapsed="false">
      <c r="A12" s="12" t="s">
        <v>1002</v>
      </c>
      <c r="B12" s="14" t="s">
        <v>1004</v>
      </c>
      <c r="C12" s="14" t="s">
        <v>994</v>
      </c>
      <c r="D12" s="22"/>
    </row>
    <row r="13" customFormat="false" ht="15" hidden="false" customHeight="false" outlineLevel="0" collapsed="false">
      <c r="A13" s="12" t="s">
        <v>1005</v>
      </c>
      <c r="B13" s="14" t="s">
        <v>1006</v>
      </c>
      <c r="C13" s="14" t="s">
        <v>994</v>
      </c>
      <c r="D13" s="22"/>
    </row>
    <row r="14" customFormat="false" ht="15" hidden="false" customHeight="false" outlineLevel="0" collapsed="false">
      <c r="A14" s="12" t="s">
        <v>1005</v>
      </c>
      <c r="B14" s="14" t="s">
        <v>1007</v>
      </c>
      <c r="C14" s="14" t="s">
        <v>994</v>
      </c>
      <c r="D14" s="22"/>
    </row>
    <row r="15" customFormat="false" ht="15" hidden="false" customHeight="false" outlineLevel="0" collapsed="false">
      <c r="A15" s="12" t="s">
        <v>1005</v>
      </c>
      <c r="B15" s="14" t="s">
        <v>1008</v>
      </c>
      <c r="C15" s="14" t="s">
        <v>994</v>
      </c>
      <c r="D15" s="22"/>
    </row>
    <row r="16" customFormat="false" ht="15" hidden="false" customHeight="false" outlineLevel="0" collapsed="false">
      <c r="A16" s="12" t="s">
        <v>1009</v>
      </c>
      <c r="B16" s="14" t="s">
        <v>1010</v>
      </c>
      <c r="C16" s="14" t="s">
        <v>994</v>
      </c>
      <c r="D16" s="22"/>
    </row>
    <row r="17" customFormat="false" ht="15" hidden="false" customHeight="false" outlineLevel="0" collapsed="false">
      <c r="A17" s="12" t="s">
        <v>1009</v>
      </c>
      <c r="B17" s="14" t="s">
        <v>1011</v>
      </c>
      <c r="C17" s="14" t="s">
        <v>994</v>
      </c>
      <c r="D17" s="22"/>
    </row>
    <row r="18" customFormat="false" ht="15" hidden="false" customHeight="false" outlineLevel="0" collapsed="false">
      <c r="A18" s="12" t="s">
        <v>359</v>
      </c>
      <c r="B18" s="14" t="s">
        <v>369</v>
      </c>
      <c r="C18" s="14" t="s">
        <v>994</v>
      </c>
      <c r="D18" s="22"/>
    </row>
    <row r="19" customFormat="false" ht="23.85" hidden="false" customHeight="false" outlineLevel="0" collapsed="false">
      <c r="A19" s="12" t="s">
        <v>1012</v>
      </c>
      <c r="B19" s="14" t="s">
        <v>370</v>
      </c>
      <c r="C19" s="14" t="s">
        <v>994</v>
      </c>
      <c r="D19" s="22"/>
    </row>
    <row r="20" customFormat="false" ht="23.85" hidden="false" customHeight="false" outlineLevel="0" collapsed="false">
      <c r="A20" s="12" t="s">
        <v>319</v>
      </c>
      <c r="B20" s="14" t="s">
        <v>389</v>
      </c>
      <c r="C20" s="14" t="s">
        <v>994</v>
      </c>
      <c r="D20" s="22"/>
    </row>
    <row r="21" customFormat="false" ht="23.85" hidden="false" customHeight="false" outlineLevel="0" collapsed="false">
      <c r="A21" s="12" t="s">
        <v>1013</v>
      </c>
      <c r="B21" s="14" t="s">
        <v>390</v>
      </c>
      <c r="C21" s="14" t="s">
        <v>994</v>
      </c>
      <c r="D21" s="22"/>
    </row>
    <row r="22" customFormat="false" ht="15" hidden="false" customHeight="false" outlineLevel="0" collapsed="false">
      <c r="A22" s="12" t="s">
        <v>28</v>
      </c>
      <c r="B22" s="14" t="s">
        <v>408</v>
      </c>
      <c r="C22" s="14" t="s">
        <v>994</v>
      </c>
      <c r="D22" s="22"/>
    </row>
    <row r="23" customFormat="false" ht="15" hidden="false" customHeight="false" outlineLevel="0" collapsed="false">
      <c r="A23" s="12" t="s">
        <v>1014</v>
      </c>
      <c r="B23" s="14" t="s">
        <v>409</v>
      </c>
      <c r="C23" s="14" t="s">
        <v>994</v>
      </c>
      <c r="D23" s="22"/>
    </row>
    <row r="24" customFormat="false" ht="23.85" hidden="false" customHeight="false" outlineLevel="0" collapsed="false">
      <c r="A24" s="12" t="s">
        <v>419</v>
      </c>
      <c r="B24" s="14" t="s">
        <v>429</v>
      </c>
      <c r="C24" s="14" t="s">
        <v>994</v>
      </c>
      <c r="D24" s="22"/>
    </row>
    <row r="25" customFormat="false" ht="23.85" hidden="false" customHeight="false" outlineLevel="0" collapsed="false">
      <c r="A25" s="12" t="s">
        <v>1015</v>
      </c>
      <c r="B25" s="14" t="s">
        <v>430</v>
      </c>
      <c r="C25" s="14" t="s">
        <v>994</v>
      </c>
      <c r="D25" s="22"/>
    </row>
    <row r="26" customFormat="false" ht="15" hidden="false" customHeight="false" outlineLevel="0" collapsed="false">
      <c r="A26" s="12" t="s">
        <v>440</v>
      </c>
      <c r="B26" s="14" t="s">
        <v>450</v>
      </c>
      <c r="C26" s="14" t="s">
        <v>994</v>
      </c>
      <c r="D26" s="22"/>
    </row>
    <row r="27" customFormat="false" ht="23.85" hidden="false" customHeight="false" outlineLevel="0" collapsed="false">
      <c r="A27" s="12" t="s">
        <v>1016</v>
      </c>
      <c r="B27" s="14" t="s">
        <v>451</v>
      </c>
      <c r="C27" s="14" t="s">
        <v>994</v>
      </c>
      <c r="D27" s="22"/>
    </row>
    <row r="28" customFormat="false" ht="15" hidden="false" customHeight="false" outlineLevel="0" collapsed="false">
      <c r="A28" s="12" t="s">
        <v>461</v>
      </c>
      <c r="B28" s="14" t="s">
        <v>471</v>
      </c>
      <c r="C28" s="14" t="s">
        <v>994</v>
      </c>
      <c r="D28" s="22"/>
    </row>
    <row r="29" customFormat="false" ht="15" hidden="false" customHeight="false" outlineLevel="0" collapsed="false">
      <c r="A29" s="12" t="s">
        <v>1017</v>
      </c>
      <c r="B29" s="14" t="s">
        <v>472</v>
      </c>
      <c r="C29" s="14" t="s">
        <v>994</v>
      </c>
      <c r="D29" s="22"/>
    </row>
    <row r="30" customFormat="false" ht="15" hidden="false" customHeight="false" outlineLevel="0" collapsed="false">
      <c r="A30" s="12" t="s">
        <v>482</v>
      </c>
      <c r="B30" s="14" t="s">
        <v>492</v>
      </c>
      <c r="C30" s="14" t="s">
        <v>994</v>
      </c>
      <c r="D30" s="22"/>
    </row>
    <row r="31" customFormat="false" ht="23.85" hidden="false" customHeight="false" outlineLevel="0" collapsed="false">
      <c r="A31" s="12" t="s">
        <v>1018</v>
      </c>
      <c r="B31" s="14" t="s">
        <v>493</v>
      </c>
      <c r="C31" s="14" t="s">
        <v>994</v>
      </c>
      <c r="D31" s="22"/>
    </row>
    <row r="32" customFormat="false" ht="15" hidden="false" customHeight="false" outlineLevel="0" collapsed="false">
      <c r="A32" s="12" t="s">
        <v>503</v>
      </c>
      <c r="B32" s="14" t="s">
        <v>513</v>
      </c>
      <c r="C32" s="14" t="s">
        <v>994</v>
      </c>
      <c r="D32" s="22"/>
    </row>
    <row r="33" customFormat="false" ht="23.85" hidden="false" customHeight="false" outlineLevel="0" collapsed="false">
      <c r="A33" s="12" t="s">
        <v>1019</v>
      </c>
      <c r="B33" s="14" t="s">
        <v>514</v>
      </c>
      <c r="C33" s="14" t="s">
        <v>994</v>
      </c>
      <c r="D33" s="22"/>
    </row>
    <row r="34" customFormat="false" ht="15" hidden="false" customHeight="false" outlineLevel="0" collapsed="false">
      <c r="A34" s="12" t="s">
        <v>524</v>
      </c>
      <c r="B34" s="14" t="s">
        <v>534</v>
      </c>
      <c r="C34" s="14" t="s">
        <v>994</v>
      </c>
      <c r="D34" s="22"/>
    </row>
    <row r="35" customFormat="false" ht="15" hidden="false" customHeight="false" outlineLevel="0" collapsed="false">
      <c r="A35" s="12" t="s">
        <v>1020</v>
      </c>
      <c r="B35" s="14" t="s">
        <v>535</v>
      </c>
      <c r="C35" s="14" t="s">
        <v>994</v>
      </c>
      <c r="D35" s="22"/>
    </row>
    <row r="36" customFormat="false" ht="15" hidden="false" customHeight="false" outlineLevel="0" collapsed="false">
      <c r="A36" s="12" t="s">
        <v>545</v>
      </c>
      <c r="B36" s="14" t="s">
        <v>555</v>
      </c>
      <c r="C36" s="14" t="s">
        <v>994</v>
      </c>
      <c r="D36" s="22"/>
    </row>
    <row r="37" customFormat="false" ht="23.85" hidden="false" customHeight="false" outlineLevel="0" collapsed="false">
      <c r="A37" s="12" t="s">
        <v>1021</v>
      </c>
      <c r="B37" s="14" t="s">
        <v>556</v>
      </c>
      <c r="C37" s="14" t="s">
        <v>994</v>
      </c>
      <c r="D37" s="22"/>
    </row>
    <row r="38" customFormat="false" ht="15" hidden="false" customHeight="false" outlineLevel="0" collapsed="false">
      <c r="A38" s="12" t="s">
        <v>566</v>
      </c>
      <c r="B38" s="14" t="s">
        <v>576</v>
      </c>
      <c r="C38" s="14" t="s">
        <v>994</v>
      </c>
      <c r="D38" s="22"/>
    </row>
    <row r="39" customFormat="false" ht="23.85" hidden="false" customHeight="false" outlineLevel="0" collapsed="false">
      <c r="A39" s="12" t="s">
        <v>1022</v>
      </c>
      <c r="B39" s="14" t="s">
        <v>577</v>
      </c>
      <c r="C39" s="14" t="s">
        <v>994</v>
      </c>
      <c r="D39" s="22"/>
    </row>
    <row r="40" customFormat="false" ht="15" hidden="false" customHeight="false" outlineLevel="0" collapsed="false">
      <c r="A40" s="12" t="s">
        <v>323</v>
      </c>
      <c r="B40" s="14" t="s">
        <v>596</v>
      </c>
      <c r="C40" s="14" t="s">
        <v>994</v>
      </c>
      <c r="D40" s="22"/>
    </row>
    <row r="41" customFormat="false" ht="23.85" hidden="false" customHeight="false" outlineLevel="0" collapsed="false">
      <c r="A41" s="12" t="s">
        <v>1023</v>
      </c>
      <c r="B41" s="14" t="s">
        <v>597</v>
      </c>
      <c r="C41" s="14" t="s">
        <v>994</v>
      </c>
      <c r="D41" s="22"/>
    </row>
    <row r="42" customFormat="false" ht="15" hidden="false" customHeight="false" outlineLevel="0" collapsed="false">
      <c r="A42" s="12" t="s">
        <v>608</v>
      </c>
      <c r="B42" s="14" t="s">
        <v>618</v>
      </c>
      <c r="C42" s="14" t="s">
        <v>994</v>
      </c>
      <c r="D42" s="22"/>
    </row>
    <row r="43" customFormat="false" ht="23.85" hidden="false" customHeight="false" outlineLevel="0" collapsed="false">
      <c r="A43" s="12" t="s">
        <v>1024</v>
      </c>
      <c r="B43" s="14" t="s">
        <v>619</v>
      </c>
      <c r="C43" s="14" t="s">
        <v>994</v>
      </c>
      <c r="D43" s="22"/>
    </row>
    <row r="44" customFormat="false" ht="23.85" hidden="false" customHeight="false" outlineLevel="0" collapsed="false">
      <c r="A44" s="12" t="s">
        <v>629</v>
      </c>
      <c r="B44" s="14" t="s">
        <v>639</v>
      </c>
      <c r="C44" s="14" t="s">
        <v>994</v>
      </c>
      <c r="D44" s="22"/>
    </row>
    <row r="45" customFormat="false" ht="23.85" hidden="false" customHeight="false" outlineLevel="0" collapsed="false">
      <c r="A45" s="12" t="s">
        <v>1025</v>
      </c>
      <c r="B45" s="14" t="s">
        <v>640</v>
      </c>
      <c r="C45" s="14" t="s">
        <v>994</v>
      </c>
      <c r="D45" s="22"/>
    </row>
    <row r="46" customFormat="false" ht="23.85" hidden="false" customHeight="false" outlineLevel="0" collapsed="false">
      <c r="A46" s="12" t="s">
        <v>650</v>
      </c>
      <c r="B46" s="14" t="s">
        <v>660</v>
      </c>
      <c r="C46" s="14" t="s">
        <v>994</v>
      </c>
      <c r="D46" s="22"/>
    </row>
    <row r="47" customFormat="false" ht="23.85" hidden="false" customHeight="false" outlineLevel="0" collapsed="false">
      <c r="A47" s="12" t="s">
        <v>1026</v>
      </c>
      <c r="B47" s="14" t="s">
        <v>661</v>
      </c>
      <c r="C47" s="14" t="s">
        <v>994</v>
      </c>
      <c r="D47" s="22"/>
    </row>
    <row r="48" customFormat="false" ht="23.85" hidden="false" customHeight="false" outlineLevel="0" collapsed="false">
      <c r="A48" s="12" t="s">
        <v>671</v>
      </c>
      <c r="B48" s="14" t="s">
        <v>681</v>
      </c>
      <c r="C48" s="14" t="s">
        <v>994</v>
      </c>
      <c r="D48" s="22"/>
    </row>
    <row r="49" customFormat="false" ht="23.85" hidden="false" customHeight="false" outlineLevel="0" collapsed="false">
      <c r="A49" s="12" t="s">
        <v>1027</v>
      </c>
      <c r="B49" s="14" t="s">
        <v>682</v>
      </c>
      <c r="C49" s="14" t="s">
        <v>994</v>
      </c>
      <c r="D49" s="22"/>
    </row>
    <row r="50" customFormat="false" ht="23.85" hidden="false" customHeight="false" outlineLevel="0" collapsed="false">
      <c r="A50" s="12" t="s">
        <v>692</v>
      </c>
      <c r="B50" s="14" t="s">
        <v>702</v>
      </c>
      <c r="C50" s="14" t="s">
        <v>994</v>
      </c>
      <c r="D50" s="22"/>
    </row>
    <row r="51" customFormat="false" ht="23.85" hidden="false" customHeight="false" outlineLevel="0" collapsed="false">
      <c r="A51" s="12" t="s">
        <v>1028</v>
      </c>
      <c r="B51" s="14" t="s">
        <v>703</v>
      </c>
      <c r="C51" s="14" t="s">
        <v>994</v>
      </c>
      <c r="D51" s="22"/>
    </row>
    <row r="52" customFormat="false" ht="15" hidden="false" customHeight="false" outlineLevel="0" collapsed="false">
      <c r="A52" s="12" t="s">
        <v>332</v>
      </c>
      <c r="B52" s="14" t="s">
        <v>722</v>
      </c>
      <c r="C52" s="14" t="s">
        <v>994</v>
      </c>
      <c r="D52" s="22"/>
    </row>
    <row r="53" customFormat="false" ht="23.85" hidden="false" customHeight="false" outlineLevel="0" collapsed="false">
      <c r="A53" s="12" t="s">
        <v>1029</v>
      </c>
      <c r="B53" s="14" t="s">
        <v>723</v>
      </c>
      <c r="C53" s="14" t="s">
        <v>994</v>
      </c>
      <c r="D53" s="22"/>
    </row>
    <row r="54" customFormat="false" ht="15" hidden="false" customHeight="false" outlineLevel="0" collapsed="false">
      <c r="D54" s="27"/>
    </row>
    <row r="55" customFormat="false" ht="15" hidden="false" customHeight="false" outlineLevel="0" collapsed="false">
      <c r="D55" s="27"/>
    </row>
    <row r="56" customFormat="false" ht="15" hidden="false" customHeight="false" outlineLevel="0" collapsed="false">
      <c r="D56" s="27"/>
    </row>
    <row r="57" customFormat="false" ht="15" hidden="false" customHeight="false" outlineLevel="0" collapsed="false">
      <c r="D57" s="27"/>
    </row>
    <row r="58" customFormat="false" ht="15" hidden="false" customHeight="false" outlineLevel="0" collapsed="false">
      <c r="D58" s="27"/>
    </row>
    <row r="59" customFormat="false" ht="15" hidden="false" customHeight="false" outlineLevel="0" collapsed="false">
      <c r="D59" s="27"/>
    </row>
    <row r="60" customFormat="false" ht="15" hidden="false" customHeight="false" outlineLevel="0" collapsed="false">
      <c r="D60" s="27"/>
    </row>
    <row r="61" customFormat="false" ht="15" hidden="false" customHeight="false" outlineLevel="0" collapsed="false">
      <c r="D61" s="27"/>
    </row>
    <row r="62" customFormat="false" ht="15" hidden="false" customHeight="false" outlineLevel="0" collapsed="false">
      <c r="D62" s="27"/>
    </row>
    <row r="63" customFormat="false" ht="15" hidden="false" customHeight="false" outlineLevel="0" collapsed="false">
      <c r="D63" s="27"/>
    </row>
    <row r="64" customFormat="false" ht="15" hidden="false" customHeight="false" outlineLevel="0" collapsed="false">
      <c r="D64" s="27"/>
    </row>
    <row r="65" customFormat="false" ht="15" hidden="false" customHeight="false" outlineLevel="0" collapsed="false">
      <c r="D65" s="27"/>
    </row>
    <row r="66" customFormat="false" ht="15" hidden="false" customHeight="false" outlineLevel="0" collapsed="false">
      <c r="D66" s="27"/>
    </row>
    <row r="67" customFormat="false" ht="15" hidden="false" customHeight="false" outlineLevel="0" collapsed="false">
      <c r="D67" s="27"/>
    </row>
    <row r="68" customFormat="false" ht="15" hidden="false" customHeight="false" outlineLevel="0" collapsed="false">
      <c r="D68" s="27"/>
    </row>
  </sheetData>
  <autoFilter ref="A3:D53"/>
  <dataValidations count="1">
    <dataValidation allowBlank="true" errorStyle="stop" operator="between" showDropDown="false" showErrorMessage="false" showInputMessage="false" sqref="D4:D68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1340"/>
    <pageSetUpPr fitToPage="false"/>
  </sheetPr>
  <dimension ref="A1:E3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55"/>
    <col collapsed="false" customWidth="true" hidden="false" outlineLevel="0" max="4" min="4" style="0" width="28"/>
    <col collapsed="false" customWidth="true" hidden="false" outlineLevel="0" max="5" min="5" style="0" width="70"/>
  </cols>
  <sheetData>
    <row r="1" customFormat="false" ht="33.75" hidden="false" customHeight="true" outlineLevel="0" collapsed="false">
      <c r="A1" s="1" t="s">
        <v>1030</v>
      </c>
      <c r="B1" s="2"/>
      <c r="C1" s="2"/>
      <c r="D1" s="2"/>
      <c r="E1" s="2"/>
    </row>
    <row r="2" customFormat="false" ht="19.5" hidden="false" customHeight="true" outlineLevel="0" collapsed="false">
      <c r="A2" s="3" t="s">
        <v>1031</v>
      </c>
      <c r="B2" s="2"/>
      <c r="C2" s="2"/>
      <c r="D2" s="2"/>
      <c r="E2" s="2"/>
    </row>
    <row r="3" customFormat="false" ht="31.5" hidden="false" customHeight="true" outlineLevel="0" collapsed="false">
      <c r="A3" s="11" t="s">
        <v>1032</v>
      </c>
      <c r="B3" s="11" t="s">
        <v>1033</v>
      </c>
      <c r="C3" s="11" t="s">
        <v>1034</v>
      </c>
      <c r="D3" s="11" t="s">
        <v>43</v>
      </c>
      <c r="E3" s="11" t="s">
        <v>1035</v>
      </c>
    </row>
    <row r="4" customFormat="false" ht="48" hidden="false" customHeight="true" outlineLevel="0" collapsed="false">
      <c r="A4" s="12" t="s">
        <v>1036</v>
      </c>
      <c r="B4" s="14" t="s">
        <v>1037</v>
      </c>
      <c r="C4" s="14" t="s">
        <v>1038</v>
      </c>
      <c r="D4" s="14" t="s">
        <v>1039</v>
      </c>
      <c r="E4" s="14" t="s">
        <v>1040</v>
      </c>
    </row>
    <row r="5" customFormat="false" ht="33.75" hidden="false" customHeight="true" outlineLevel="0" collapsed="false">
      <c r="A5" s="12" t="s">
        <v>1041</v>
      </c>
      <c r="B5" s="14" t="s">
        <v>1042</v>
      </c>
      <c r="C5" s="14" t="s">
        <v>1043</v>
      </c>
      <c r="D5" s="14" t="s">
        <v>1044</v>
      </c>
      <c r="E5" s="14" t="s">
        <v>1045</v>
      </c>
    </row>
    <row r="6" customFormat="false" ht="33.75" hidden="false" customHeight="true" outlineLevel="0" collapsed="false">
      <c r="A6" s="12" t="s">
        <v>1046</v>
      </c>
      <c r="B6" s="14" t="s">
        <v>1047</v>
      </c>
      <c r="C6" s="14" t="s">
        <v>1048</v>
      </c>
      <c r="D6" s="14" t="s">
        <v>1049</v>
      </c>
      <c r="E6" s="14" t="s">
        <v>1050</v>
      </c>
    </row>
    <row r="7" customFormat="false" ht="33.75" hidden="false" customHeight="true" outlineLevel="0" collapsed="false">
      <c r="A7" s="12" t="s">
        <v>1046</v>
      </c>
      <c r="B7" s="14" t="s">
        <v>1051</v>
      </c>
      <c r="C7" s="14" t="s">
        <v>1052</v>
      </c>
      <c r="D7" s="14" t="s">
        <v>1053</v>
      </c>
      <c r="E7" s="14" t="s">
        <v>1054</v>
      </c>
    </row>
    <row r="8" customFormat="false" ht="33.75" hidden="false" customHeight="true" outlineLevel="0" collapsed="false">
      <c r="A8" s="12" t="s">
        <v>1055</v>
      </c>
      <c r="B8" s="14" t="s">
        <v>1056</v>
      </c>
      <c r="C8" s="14" t="s">
        <v>1057</v>
      </c>
      <c r="D8" s="14" t="s">
        <v>1058</v>
      </c>
      <c r="E8" s="14" t="s">
        <v>1059</v>
      </c>
    </row>
    <row r="9" customFormat="false" ht="33.75" hidden="false" customHeight="true" outlineLevel="0" collapsed="false">
      <c r="A9" s="12" t="s">
        <v>1060</v>
      </c>
      <c r="B9" s="14" t="s">
        <v>1047</v>
      </c>
      <c r="C9" s="14" t="s">
        <v>1061</v>
      </c>
      <c r="D9" s="14" t="s">
        <v>1062</v>
      </c>
      <c r="E9" s="14" t="s">
        <v>1063</v>
      </c>
    </row>
    <row r="10" customFormat="false" ht="33.75" hidden="false" customHeight="true" outlineLevel="0" collapsed="false">
      <c r="A10" s="12" t="s">
        <v>1064</v>
      </c>
      <c r="B10" s="14" t="s">
        <v>1065</v>
      </c>
      <c r="C10" s="14" t="s">
        <v>1066</v>
      </c>
      <c r="D10" s="14" t="s">
        <v>1067</v>
      </c>
      <c r="E10" s="14" t="s">
        <v>1068</v>
      </c>
    </row>
    <row r="11" customFormat="false" ht="33.75" hidden="false" customHeight="true" outlineLevel="0" collapsed="false">
      <c r="A11" s="12" t="s">
        <v>1069</v>
      </c>
      <c r="B11" s="14" t="s">
        <v>1070</v>
      </c>
      <c r="C11" s="14" t="s">
        <v>1071</v>
      </c>
      <c r="D11" s="14" t="s">
        <v>1072</v>
      </c>
      <c r="E11" s="14" t="s">
        <v>1073</v>
      </c>
    </row>
    <row r="12" customFormat="false" ht="33.75" hidden="false" customHeight="true" outlineLevel="0" collapsed="false">
      <c r="A12" s="12" t="s">
        <v>1074</v>
      </c>
      <c r="B12" s="14" t="s">
        <v>1075</v>
      </c>
      <c r="C12" s="14" t="s">
        <v>1076</v>
      </c>
      <c r="D12" s="14" t="s">
        <v>1077</v>
      </c>
      <c r="E12" s="14" t="s">
        <v>1078</v>
      </c>
    </row>
    <row r="14" customFormat="false" ht="15" hidden="false" customHeight="false" outlineLevel="0" collapsed="false">
      <c r="A14" s="25" t="s">
        <v>1079</v>
      </c>
    </row>
    <row r="15" customFormat="false" ht="31.5" hidden="false" customHeight="true" outlineLevel="0" collapsed="false">
      <c r="A15" s="32" t="s">
        <v>1080</v>
      </c>
      <c r="B15" s="32"/>
      <c r="C15" s="32" t="s">
        <v>1081</v>
      </c>
      <c r="D15" s="32" t="s">
        <v>1082</v>
      </c>
      <c r="E15" s="32"/>
    </row>
    <row r="16" customFormat="false" ht="33.75" hidden="false" customHeight="true" outlineLevel="0" collapsed="false">
      <c r="A16" s="12" t="s">
        <v>1083</v>
      </c>
      <c r="B16" s="12"/>
      <c r="C16" s="14" t="s">
        <v>1084</v>
      </c>
      <c r="D16" s="14" t="s">
        <v>1085</v>
      </c>
      <c r="E16" s="14"/>
    </row>
    <row r="17" customFormat="false" ht="48" hidden="false" customHeight="true" outlineLevel="0" collapsed="false">
      <c r="A17" s="12" t="s">
        <v>1086</v>
      </c>
      <c r="B17" s="12"/>
      <c r="C17" s="14" t="s">
        <v>1087</v>
      </c>
      <c r="D17" s="14" t="s">
        <v>1088</v>
      </c>
      <c r="E17" s="14"/>
    </row>
    <row r="18" customFormat="false" ht="33.75" hidden="false" customHeight="true" outlineLevel="0" collapsed="false">
      <c r="A18" s="12" t="s">
        <v>1089</v>
      </c>
      <c r="B18" s="12"/>
      <c r="C18" s="14" t="s">
        <v>1090</v>
      </c>
      <c r="D18" s="14" t="s">
        <v>1091</v>
      </c>
      <c r="E18" s="14"/>
    </row>
    <row r="19" customFormat="false" ht="33.75" hidden="false" customHeight="true" outlineLevel="0" collapsed="false">
      <c r="A19" s="12" t="s">
        <v>1092</v>
      </c>
      <c r="B19" s="12"/>
      <c r="C19" s="14" t="s">
        <v>1093</v>
      </c>
      <c r="D19" s="14" t="s">
        <v>1094</v>
      </c>
      <c r="E19" s="14"/>
    </row>
    <row r="20" customFormat="false" ht="48" hidden="false" customHeight="true" outlineLevel="0" collapsed="false">
      <c r="A20" s="12" t="s">
        <v>1095</v>
      </c>
      <c r="B20" s="12"/>
      <c r="C20" s="14" t="s">
        <v>1096</v>
      </c>
      <c r="D20" s="14" t="s">
        <v>1097</v>
      </c>
      <c r="E20" s="14"/>
    </row>
    <row r="21" customFormat="false" ht="48" hidden="false" customHeight="true" outlineLevel="0" collapsed="false">
      <c r="A21" s="12" t="s">
        <v>1098</v>
      </c>
      <c r="B21" s="12"/>
      <c r="C21" s="14" t="s">
        <v>1099</v>
      </c>
      <c r="D21" s="14" t="s">
        <v>1100</v>
      </c>
      <c r="E21" s="14"/>
    </row>
    <row r="22" customFormat="false" ht="48" hidden="false" customHeight="true" outlineLevel="0" collapsed="false">
      <c r="A22" s="12" t="s">
        <v>1101</v>
      </c>
      <c r="B22" s="12"/>
      <c r="C22" s="14" t="s">
        <v>1102</v>
      </c>
      <c r="D22" s="14" t="s">
        <v>1103</v>
      </c>
      <c r="E22" s="14"/>
    </row>
    <row r="23" customFormat="false" ht="33.75" hidden="false" customHeight="true" outlineLevel="0" collapsed="false">
      <c r="A23" s="12" t="s">
        <v>1104</v>
      </c>
      <c r="B23" s="12"/>
      <c r="C23" s="14" t="s">
        <v>1105</v>
      </c>
      <c r="D23" s="14" t="s">
        <v>1106</v>
      </c>
      <c r="E23" s="14"/>
    </row>
    <row r="24" customFormat="false" ht="33.75" hidden="false" customHeight="true" outlineLevel="0" collapsed="false">
      <c r="A24" s="12" t="s">
        <v>1107</v>
      </c>
      <c r="B24" s="12"/>
      <c r="C24" s="14" t="s">
        <v>1108</v>
      </c>
      <c r="D24" s="14" t="s">
        <v>1109</v>
      </c>
      <c r="E24" s="14"/>
    </row>
    <row r="26" customFormat="false" ht="15" hidden="false" customHeight="false" outlineLevel="0" collapsed="false">
      <c r="A26" s="25" t="s">
        <v>1110</v>
      </c>
    </row>
    <row r="27" customFormat="false" ht="15" hidden="false" customHeight="true" outlineLevel="0" collapsed="false">
      <c r="A27" s="14" t="s">
        <v>1111</v>
      </c>
      <c r="B27" s="14"/>
      <c r="C27" s="14" t="s">
        <v>1112</v>
      </c>
      <c r="D27" s="14"/>
      <c r="E27" s="14"/>
    </row>
    <row r="28" customFormat="false" ht="15" hidden="false" customHeight="true" outlineLevel="0" collapsed="false">
      <c r="A28" s="14" t="s">
        <v>1111</v>
      </c>
      <c r="B28" s="14"/>
      <c r="C28" s="14" t="s">
        <v>1113</v>
      </c>
      <c r="D28" s="14"/>
      <c r="E28" s="14"/>
    </row>
    <row r="29" customFormat="false" ht="15" hidden="false" customHeight="true" outlineLevel="0" collapsed="false">
      <c r="A29" s="14" t="s">
        <v>1111</v>
      </c>
      <c r="B29" s="14"/>
      <c r="C29" s="14" t="s">
        <v>1114</v>
      </c>
      <c r="D29" s="14"/>
      <c r="E29" s="14"/>
    </row>
    <row r="30" customFormat="false" ht="15" hidden="false" customHeight="true" outlineLevel="0" collapsed="false">
      <c r="A30" s="14" t="s">
        <v>1111</v>
      </c>
      <c r="B30" s="14"/>
      <c r="C30" s="14" t="s">
        <v>1115</v>
      </c>
      <c r="D30" s="14"/>
      <c r="E30" s="14"/>
    </row>
    <row r="31" customFormat="false" ht="15" hidden="false" customHeight="true" outlineLevel="0" collapsed="false">
      <c r="A31" s="14" t="s">
        <v>1111</v>
      </c>
      <c r="B31" s="14"/>
      <c r="C31" s="14" t="s">
        <v>1116</v>
      </c>
      <c r="D31" s="14"/>
      <c r="E31" s="14"/>
    </row>
    <row r="32" customFormat="false" ht="15" hidden="false" customHeight="true" outlineLevel="0" collapsed="false">
      <c r="A32" s="14" t="s">
        <v>1111</v>
      </c>
      <c r="B32" s="14"/>
      <c r="C32" s="14" t="s">
        <v>1117</v>
      </c>
      <c r="D32" s="14"/>
      <c r="E32" s="14"/>
    </row>
    <row r="33" customFormat="false" ht="15" hidden="false" customHeight="true" outlineLevel="0" collapsed="false">
      <c r="A33" s="14" t="s">
        <v>1111</v>
      </c>
      <c r="B33" s="14"/>
      <c r="C33" s="14" t="s">
        <v>1118</v>
      </c>
      <c r="D33" s="14"/>
      <c r="E33" s="14"/>
    </row>
  </sheetData>
  <mergeCells count="16"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C27:E27"/>
    <mergeCell ref="C28:E28"/>
    <mergeCell ref="C29:E29"/>
    <mergeCell ref="C30:E30"/>
    <mergeCell ref="C31:E31"/>
    <mergeCell ref="C32:E32"/>
    <mergeCell ref="C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1340"/>
    <pageSetUpPr fitToPage="fals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55"/>
  </cols>
  <sheetData>
    <row r="1" customFormat="false" ht="33.75" hidden="false" customHeight="true" outlineLevel="0" collapsed="false">
      <c r="A1" s="1" t="s">
        <v>1119</v>
      </c>
      <c r="B1" s="2"/>
      <c r="C1" s="2"/>
    </row>
    <row r="2" customFormat="false" ht="19.5" hidden="false" customHeight="true" outlineLevel="0" collapsed="false">
      <c r="A2" s="3" t="s">
        <v>1120</v>
      </c>
      <c r="B2" s="2"/>
      <c r="C2" s="2"/>
    </row>
    <row r="3" customFormat="false" ht="31.5" hidden="false" customHeight="true" outlineLevel="0" collapsed="false">
      <c r="A3" s="11" t="s">
        <v>35</v>
      </c>
      <c r="B3" s="11" t="s">
        <v>1121</v>
      </c>
      <c r="C3" s="11" t="s">
        <v>1122</v>
      </c>
    </row>
    <row r="4" customFormat="false" ht="33.75" hidden="false" customHeight="true" outlineLevel="0" collapsed="false">
      <c r="A4" s="12" t="s">
        <v>1123</v>
      </c>
      <c r="B4" s="14" t="s">
        <v>1124</v>
      </c>
      <c r="C4" s="14" t="s">
        <v>1125</v>
      </c>
    </row>
    <row r="5" customFormat="false" ht="33.75" hidden="false" customHeight="true" outlineLevel="0" collapsed="false">
      <c r="A5" s="12" t="s">
        <v>1126</v>
      </c>
      <c r="B5" s="14" t="s">
        <v>1127</v>
      </c>
      <c r="C5" s="14" t="s">
        <v>1040</v>
      </c>
    </row>
    <row r="6" customFormat="false" ht="33.75" hidden="false" customHeight="true" outlineLevel="0" collapsed="false">
      <c r="A6" s="12" t="s">
        <v>1128</v>
      </c>
      <c r="B6" s="14" t="s">
        <v>1129</v>
      </c>
      <c r="C6" s="14" t="s">
        <v>1130</v>
      </c>
    </row>
    <row r="7" customFormat="false" ht="19.5" hidden="false" customHeight="true" outlineLevel="0" collapsed="false">
      <c r="A7" s="12" t="s">
        <v>1131</v>
      </c>
      <c r="B7" s="14" t="s">
        <v>1132</v>
      </c>
      <c r="C7" s="14" t="s">
        <v>1133</v>
      </c>
    </row>
    <row r="8" customFormat="false" ht="19.5" hidden="false" customHeight="true" outlineLevel="0" collapsed="false">
      <c r="A8" s="12" t="s">
        <v>1134</v>
      </c>
      <c r="B8" s="14" t="s">
        <v>1135</v>
      </c>
      <c r="C8" s="14" t="s">
        <v>1136</v>
      </c>
    </row>
    <row r="9" customFormat="false" ht="33.75" hidden="false" customHeight="true" outlineLevel="0" collapsed="false">
      <c r="A9" s="12" t="s">
        <v>1137</v>
      </c>
      <c r="B9" s="14" t="s">
        <v>1138</v>
      </c>
      <c r="C9" s="14" t="s">
        <v>1139</v>
      </c>
    </row>
    <row r="10" customFormat="false" ht="33.75" hidden="false" customHeight="true" outlineLevel="0" collapsed="false">
      <c r="A10" s="12" t="s">
        <v>1140</v>
      </c>
      <c r="B10" s="14" t="s">
        <v>1141</v>
      </c>
      <c r="C10" s="14" t="s">
        <v>1040</v>
      </c>
    </row>
    <row r="11" customFormat="false" ht="33.75" hidden="false" customHeight="true" outlineLevel="0" collapsed="false">
      <c r="A11" s="12" t="s">
        <v>1142</v>
      </c>
      <c r="B11" s="14" t="s">
        <v>1143</v>
      </c>
      <c r="C11" s="14" t="s">
        <v>1040</v>
      </c>
    </row>
    <row r="12" customFormat="false" ht="33.75" hidden="false" customHeight="true" outlineLevel="0" collapsed="false">
      <c r="A12" s="12" t="s">
        <v>1144</v>
      </c>
      <c r="B12" s="14" t="s">
        <v>1145</v>
      </c>
      <c r="C12" s="14" t="s">
        <v>1146</v>
      </c>
    </row>
    <row r="14" customFormat="false" ht="15" hidden="false" customHeight="false" outlineLevel="0" collapsed="false">
      <c r="A14" s="25" t="s">
        <v>1147</v>
      </c>
    </row>
    <row r="15" customFormat="false" ht="31.5" hidden="false" customHeight="true" outlineLevel="0" collapsed="false">
      <c r="A15" s="32" t="s">
        <v>1148</v>
      </c>
      <c r="B15" s="32" t="s">
        <v>1149</v>
      </c>
      <c r="C15" s="32"/>
    </row>
    <row r="16" customFormat="false" ht="19.5" hidden="false" customHeight="true" outlineLevel="0" collapsed="false">
      <c r="A16" s="12" t="s">
        <v>1150</v>
      </c>
      <c r="B16" s="14" t="s">
        <v>1151</v>
      </c>
      <c r="C16" s="14"/>
    </row>
    <row r="17" customFormat="false" ht="19.5" hidden="false" customHeight="true" outlineLevel="0" collapsed="false">
      <c r="A17" s="12" t="s">
        <v>1152</v>
      </c>
      <c r="B17" s="14" t="s">
        <v>1153</v>
      </c>
      <c r="C17" s="14"/>
    </row>
    <row r="18" customFormat="false" ht="33.75" hidden="false" customHeight="true" outlineLevel="0" collapsed="false">
      <c r="A18" s="12" t="s">
        <v>1154</v>
      </c>
      <c r="B18" s="14" t="s">
        <v>1155</v>
      </c>
      <c r="C18" s="14"/>
    </row>
    <row r="19" customFormat="false" ht="19.5" hidden="false" customHeight="true" outlineLevel="0" collapsed="false">
      <c r="A19" s="12" t="s">
        <v>1156</v>
      </c>
      <c r="B19" s="14" t="s">
        <v>1157</v>
      </c>
      <c r="C19" s="14"/>
    </row>
    <row r="20" customFormat="false" ht="19.5" hidden="false" customHeight="true" outlineLevel="0" collapsed="false">
      <c r="A20" s="12" t="s">
        <v>1158</v>
      </c>
      <c r="B20" s="14" t="s">
        <v>1159</v>
      </c>
      <c r="C20" s="14"/>
    </row>
    <row r="21" customFormat="false" ht="33.75" hidden="false" customHeight="true" outlineLevel="0" collapsed="false">
      <c r="A21" s="12" t="s">
        <v>1160</v>
      </c>
      <c r="B21" s="14" t="s">
        <v>1161</v>
      </c>
      <c r="C21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185B"/>
    <pageSetUpPr fitToPage="false"/>
  </sheetPr>
  <dimension ref="A1:E5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75"/>
    <col collapsed="false" customWidth="true" hidden="false" outlineLevel="0" max="4" min="4" style="0" width="32"/>
    <col collapsed="false" customWidth="true" hidden="false" outlineLevel="0" max="5" min="5" style="0" width="14"/>
  </cols>
  <sheetData>
    <row r="1" customFormat="false" ht="33.75" hidden="false" customHeight="true" outlineLevel="0" collapsed="false">
      <c r="A1" s="1" t="s">
        <v>1162</v>
      </c>
      <c r="B1" s="2"/>
      <c r="C1" s="2"/>
      <c r="D1" s="2"/>
      <c r="E1" s="2"/>
    </row>
    <row r="2" customFormat="false" ht="19.5" hidden="false" customHeight="true" outlineLevel="0" collapsed="false">
      <c r="A2" s="3" t="s">
        <v>1163</v>
      </c>
      <c r="B2" s="2"/>
      <c r="C2" s="2"/>
      <c r="D2" s="2"/>
      <c r="E2" s="2"/>
    </row>
    <row r="4" customFormat="false" ht="15" hidden="false" customHeight="false" outlineLevel="0" collapsed="false">
      <c r="A4" s="25" t="s">
        <v>1164</v>
      </c>
    </row>
    <row r="5" customFormat="false" ht="19.5" hidden="false" customHeight="true" outlineLevel="0" collapsed="false">
      <c r="A5" s="12" t="s">
        <v>27</v>
      </c>
      <c r="B5" s="12"/>
      <c r="C5" s="14" t="s">
        <v>28</v>
      </c>
      <c r="D5" s="14"/>
      <c r="E5" s="14"/>
    </row>
    <row r="6" customFormat="false" ht="33.75" hidden="false" customHeight="true" outlineLevel="0" collapsed="false">
      <c r="A6" s="12" t="s">
        <v>1165</v>
      </c>
      <c r="B6" s="12"/>
      <c r="C6" s="14" t="s">
        <v>1166</v>
      </c>
      <c r="D6" s="14"/>
      <c r="E6" s="14"/>
    </row>
    <row r="7" customFormat="false" ht="19.5" hidden="false" customHeight="true" outlineLevel="0" collapsed="false">
      <c r="A7" s="12" t="s">
        <v>1167</v>
      </c>
      <c r="B7" s="12"/>
      <c r="C7" s="14" t="s">
        <v>1168</v>
      </c>
      <c r="D7" s="14"/>
      <c r="E7" s="14"/>
    </row>
    <row r="8" customFormat="false" ht="19.5" hidden="false" customHeight="true" outlineLevel="0" collapsed="false">
      <c r="A8" s="12" t="s">
        <v>1169</v>
      </c>
      <c r="B8" s="12"/>
      <c r="C8" s="14" t="s">
        <v>1170</v>
      </c>
      <c r="D8" s="14"/>
      <c r="E8" s="14"/>
    </row>
    <row r="9" customFormat="false" ht="48" hidden="false" customHeight="true" outlineLevel="0" collapsed="false">
      <c r="A9" s="12" t="s">
        <v>1171</v>
      </c>
      <c r="B9" s="12"/>
      <c r="C9" s="14" t="s">
        <v>1172</v>
      </c>
      <c r="D9" s="14"/>
      <c r="E9" s="14"/>
    </row>
    <row r="10" customFormat="false" ht="19.5" hidden="false" customHeight="true" outlineLevel="0" collapsed="false">
      <c r="A10" s="12" t="s">
        <v>1173</v>
      </c>
      <c r="B10" s="12"/>
      <c r="C10" s="14" t="s">
        <v>1174</v>
      </c>
      <c r="D10" s="14"/>
      <c r="E10" s="14"/>
    </row>
    <row r="12" customFormat="false" ht="15" hidden="false" customHeight="false" outlineLevel="0" collapsed="false">
      <c r="A12" s="25" t="s">
        <v>1175</v>
      </c>
    </row>
    <row r="13" customFormat="false" ht="31.5" hidden="false" customHeight="true" outlineLevel="0" collapsed="false">
      <c r="A13" s="11" t="s">
        <v>1080</v>
      </c>
      <c r="B13" s="11" t="s">
        <v>1176</v>
      </c>
      <c r="C13" s="11" t="s">
        <v>1177</v>
      </c>
      <c r="D13" s="11" t="s">
        <v>1178</v>
      </c>
      <c r="E13" s="11"/>
    </row>
    <row r="14" customFormat="false" ht="48" hidden="false" customHeight="true" outlineLevel="0" collapsed="false">
      <c r="A14" s="12" t="s">
        <v>999</v>
      </c>
      <c r="B14" s="14" t="s">
        <v>1179</v>
      </c>
      <c r="C14" s="14" t="s">
        <v>1180</v>
      </c>
      <c r="D14" s="14" t="s">
        <v>1181</v>
      </c>
      <c r="E14" s="14"/>
    </row>
    <row r="15" customFormat="false" ht="19.5" hidden="false" customHeight="true" outlineLevel="0" collapsed="false">
      <c r="A15" s="33" t="s">
        <v>999</v>
      </c>
      <c r="B15" s="34" t="s">
        <v>1182</v>
      </c>
      <c r="C15" s="34" t="s">
        <v>1183</v>
      </c>
      <c r="D15" s="34" t="s">
        <v>1040</v>
      </c>
      <c r="E15" s="34"/>
    </row>
    <row r="16" customFormat="false" ht="33.75" hidden="false" customHeight="true" outlineLevel="0" collapsed="false">
      <c r="A16" s="12" t="s">
        <v>1184</v>
      </c>
      <c r="B16" s="14" t="s">
        <v>1179</v>
      </c>
      <c r="C16" s="14" t="s">
        <v>1185</v>
      </c>
      <c r="D16" s="14" t="s">
        <v>1186</v>
      </c>
      <c r="E16" s="14"/>
    </row>
    <row r="17" customFormat="false" ht="19.5" hidden="false" customHeight="true" outlineLevel="0" collapsed="false">
      <c r="A17" s="33" t="s">
        <v>1184</v>
      </c>
      <c r="B17" s="34" t="s">
        <v>1182</v>
      </c>
      <c r="C17" s="34" t="s">
        <v>1187</v>
      </c>
      <c r="D17" s="34" t="s">
        <v>1040</v>
      </c>
      <c r="E17" s="34"/>
    </row>
    <row r="18" customFormat="false" ht="19.5" hidden="false" customHeight="true" outlineLevel="0" collapsed="false">
      <c r="A18" s="12" t="s">
        <v>1188</v>
      </c>
      <c r="B18" s="14" t="s">
        <v>1179</v>
      </c>
      <c r="C18" s="14" t="s">
        <v>1189</v>
      </c>
      <c r="D18" s="14" t="s">
        <v>1188</v>
      </c>
      <c r="E18" s="14"/>
    </row>
    <row r="19" customFormat="false" ht="19.5" hidden="false" customHeight="true" outlineLevel="0" collapsed="false">
      <c r="A19" s="33" t="s">
        <v>1188</v>
      </c>
      <c r="B19" s="34" t="s">
        <v>1182</v>
      </c>
      <c r="C19" s="34" t="s">
        <v>1190</v>
      </c>
      <c r="D19" s="34" t="s">
        <v>1040</v>
      </c>
      <c r="E19" s="34"/>
    </row>
    <row r="20" customFormat="false" ht="19.5" hidden="false" customHeight="true" outlineLevel="0" collapsed="false">
      <c r="A20" s="12" t="s">
        <v>1191</v>
      </c>
      <c r="B20" s="14" t="s">
        <v>1179</v>
      </c>
      <c r="C20" s="14" t="s">
        <v>1192</v>
      </c>
      <c r="D20" s="14" t="s">
        <v>1193</v>
      </c>
      <c r="E20" s="14"/>
    </row>
    <row r="21" customFormat="false" ht="33.75" hidden="false" customHeight="true" outlineLevel="0" collapsed="false">
      <c r="A21" s="33" t="s">
        <v>1191</v>
      </c>
      <c r="B21" s="34" t="s">
        <v>1182</v>
      </c>
      <c r="C21" s="34" t="s">
        <v>1194</v>
      </c>
      <c r="D21" s="34" t="s">
        <v>1195</v>
      </c>
      <c r="E21" s="34"/>
    </row>
    <row r="22" customFormat="false" ht="48" hidden="false" customHeight="true" outlineLevel="0" collapsed="false">
      <c r="A22" s="12" t="s">
        <v>1196</v>
      </c>
      <c r="B22" s="14" t="s">
        <v>1179</v>
      </c>
      <c r="C22" s="14" t="s">
        <v>1197</v>
      </c>
      <c r="D22" s="14" t="s">
        <v>1198</v>
      </c>
      <c r="E22" s="14"/>
    </row>
    <row r="23" customFormat="false" ht="19.5" hidden="false" customHeight="true" outlineLevel="0" collapsed="false">
      <c r="A23" s="33" t="s">
        <v>1196</v>
      </c>
      <c r="B23" s="34" t="s">
        <v>1182</v>
      </c>
      <c r="C23" s="34" t="s">
        <v>1199</v>
      </c>
      <c r="D23" s="34" t="s">
        <v>1040</v>
      </c>
      <c r="E23" s="34"/>
    </row>
    <row r="24" customFormat="false" ht="19.5" hidden="false" customHeight="true" outlineLevel="0" collapsed="false">
      <c r="A24" s="33" t="s">
        <v>1200</v>
      </c>
      <c r="B24" s="34" t="s">
        <v>1182</v>
      </c>
      <c r="C24" s="34" t="s">
        <v>1201</v>
      </c>
      <c r="D24" s="34" t="s">
        <v>900</v>
      </c>
      <c r="E24" s="34"/>
    </row>
    <row r="25" customFormat="false" ht="75.75" hidden="false" customHeight="true" outlineLevel="0" collapsed="false">
      <c r="A25" s="12" t="s">
        <v>1202</v>
      </c>
      <c r="B25" s="14" t="s">
        <v>1179</v>
      </c>
      <c r="C25" s="14" t="s">
        <v>1203</v>
      </c>
      <c r="D25" s="14" t="s">
        <v>1204</v>
      </c>
      <c r="E25" s="14"/>
    </row>
    <row r="26" customFormat="false" ht="33.75" hidden="false" customHeight="true" outlineLevel="0" collapsed="false">
      <c r="A26" s="12" t="s">
        <v>1205</v>
      </c>
      <c r="B26" s="14" t="s">
        <v>1179</v>
      </c>
      <c r="C26" s="14" t="s">
        <v>1206</v>
      </c>
      <c r="D26" s="14" t="s">
        <v>1207</v>
      </c>
      <c r="E26" s="14"/>
    </row>
    <row r="27" customFormat="false" ht="19.5" hidden="false" customHeight="true" outlineLevel="0" collapsed="false">
      <c r="A27" s="33" t="s">
        <v>1205</v>
      </c>
      <c r="B27" s="34" t="s">
        <v>1182</v>
      </c>
      <c r="C27" s="34" t="s">
        <v>1208</v>
      </c>
      <c r="D27" s="34" t="s">
        <v>1040</v>
      </c>
      <c r="E27" s="34"/>
    </row>
    <row r="28" customFormat="false" ht="19.5" hidden="false" customHeight="true" outlineLevel="0" collapsed="false">
      <c r="A28" s="33" t="s">
        <v>1209</v>
      </c>
      <c r="B28" s="34" t="s">
        <v>1182</v>
      </c>
      <c r="C28" s="34" t="s">
        <v>1210</v>
      </c>
      <c r="D28" s="34" t="s">
        <v>1211</v>
      </c>
      <c r="E28" s="34"/>
    </row>
    <row r="29" customFormat="false" ht="61.5" hidden="false" customHeight="true" outlineLevel="0" collapsed="false">
      <c r="A29" s="12" t="s">
        <v>1202</v>
      </c>
      <c r="B29" s="14" t="s">
        <v>1179</v>
      </c>
      <c r="C29" s="14" t="s">
        <v>1212</v>
      </c>
      <c r="D29" s="14" t="s">
        <v>1213</v>
      </c>
      <c r="E29" s="14"/>
    </row>
    <row r="30" customFormat="false" ht="19.5" hidden="false" customHeight="true" outlineLevel="0" collapsed="false">
      <c r="A30" s="33" t="s">
        <v>1009</v>
      </c>
      <c r="B30" s="34" t="s">
        <v>1182</v>
      </c>
      <c r="C30" s="34" t="s">
        <v>1214</v>
      </c>
      <c r="D30" s="34" t="s">
        <v>1215</v>
      </c>
      <c r="E30" s="34"/>
    </row>
    <row r="31" customFormat="false" ht="33.75" hidden="false" customHeight="true" outlineLevel="0" collapsed="false">
      <c r="A31" s="12" t="s">
        <v>1009</v>
      </c>
      <c r="B31" s="14" t="s">
        <v>1179</v>
      </c>
      <c r="C31" s="14" t="s">
        <v>1216</v>
      </c>
      <c r="D31" s="14" t="s">
        <v>1217</v>
      </c>
      <c r="E31" s="14"/>
    </row>
    <row r="33" customFormat="false" ht="15" hidden="false" customHeight="false" outlineLevel="0" collapsed="false">
      <c r="A33" s="25" t="s">
        <v>1218</v>
      </c>
    </row>
    <row r="34" customFormat="false" ht="31.5" hidden="false" customHeight="true" outlineLevel="0" collapsed="false">
      <c r="A34" s="11" t="s">
        <v>1219</v>
      </c>
      <c r="B34" s="11"/>
      <c r="C34" s="11" t="s">
        <v>1220</v>
      </c>
      <c r="D34" s="11" t="s">
        <v>1221</v>
      </c>
      <c r="E34" s="11" t="s">
        <v>1222</v>
      </c>
    </row>
    <row r="35" customFormat="false" ht="30" hidden="false" customHeight="true" outlineLevel="0" collapsed="false">
      <c r="A35" s="12" t="s">
        <v>1223</v>
      </c>
      <c r="B35" s="12"/>
      <c r="C35" s="14" t="s">
        <v>1224</v>
      </c>
      <c r="D35" s="22"/>
      <c r="E35" s="22"/>
    </row>
    <row r="36" customFormat="false" ht="30" hidden="false" customHeight="true" outlineLevel="0" collapsed="false">
      <c r="A36" s="12" t="s">
        <v>1225</v>
      </c>
      <c r="B36" s="12"/>
      <c r="C36" s="14" t="s">
        <v>1226</v>
      </c>
      <c r="D36" s="22"/>
      <c r="E36" s="22"/>
    </row>
    <row r="37" customFormat="false" ht="30" hidden="false" customHeight="true" outlineLevel="0" collapsed="false">
      <c r="A37" s="12" t="s">
        <v>1227</v>
      </c>
      <c r="B37" s="12"/>
      <c r="C37" s="14" t="s">
        <v>1228</v>
      </c>
      <c r="D37" s="22"/>
      <c r="E37" s="22"/>
    </row>
    <row r="38" customFormat="false" ht="30" hidden="false" customHeight="true" outlineLevel="0" collapsed="false">
      <c r="A38" s="12" t="s">
        <v>1229</v>
      </c>
      <c r="B38" s="12"/>
      <c r="C38" s="14" t="s">
        <v>1230</v>
      </c>
      <c r="D38" s="22"/>
      <c r="E38" s="22"/>
    </row>
    <row r="39" customFormat="false" ht="30" hidden="false" customHeight="true" outlineLevel="0" collapsed="false">
      <c r="A39" s="12" t="s">
        <v>1231</v>
      </c>
      <c r="B39" s="12"/>
      <c r="C39" s="14" t="s">
        <v>1232</v>
      </c>
      <c r="D39" s="22"/>
      <c r="E39" s="22"/>
    </row>
    <row r="40" customFormat="false" ht="30" hidden="false" customHeight="true" outlineLevel="0" collapsed="false">
      <c r="A40" s="12" t="s">
        <v>1233</v>
      </c>
      <c r="B40" s="12"/>
      <c r="C40" s="14" t="s">
        <v>1234</v>
      </c>
      <c r="D40" s="22"/>
      <c r="E40" s="22"/>
    </row>
    <row r="41" customFormat="false" ht="30" hidden="false" customHeight="true" outlineLevel="0" collapsed="false">
      <c r="A41" s="12" t="s">
        <v>1235</v>
      </c>
      <c r="B41" s="12"/>
      <c r="C41" s="14" t="s">
        <v>1236</v>
      </c>
      <c r="D41" s="22"/>
      <c r="E41" s="22"/>
    </row>
    <row r="42" customFormat="false" ht="30" hidden="false" customHeight="true" outlineLevel="0" collapsed="false">
      <c r="A42" s="12" t="s">
        <v>1237</v>
      </c>
      <c r="B42" s="12"/>
      <c r="C42" s="14" t="s">
        <v>1238</v>
      </c>
      <c r="D42" s="22"/>
      <c r="E42" s="22"/>
    </row>
    <row r="43" customFormat="false" ht="30" hidden="false" customHeight="true" outlineLevel="0" collapsed="false">
      <c r="A43" s="12" t="s">
        <v>1239</v>
      </c>
      <c r="B43" s="12"/>
      <c r="C43" s="14" t="s">
        <v>1240</v>
      </c>
      <c r="D43" s="22"/>
      <c r="E43" s="22"/>
    </row>
    <row r="44" customFormat="false" ht="30" hidden="false" customHeight="true" outlineLevel="0" collapsed="false">
      <c r="A44" s="12" t="s">
        <v>1241</v>
      </c>
      <c r="B44" s="12"/>
      <c r="C44" s="14" t="s">
        <v>1242</v>
      </c>
      <c r="D44" s="22"/>
      <c r="E44" s="22"/>
    </row>
    <row r="45" customFormat="false" ht="15" hidden="false" customHeight="false" outlineLevel="0" collapsed="false">
      <c r="C45" s="15" t="s">
        <v>1243</v>
      </c>
      <c r="E45" s="35" t="n">
        <f aca="false">SUM(E35:E44)</f>
        <v>0</v>
      </c>
    </row>
    <row r="46" customFormat="false" ht="15" hidden="false" customHeight="false" outlineLevel="0" collapsed="false">
      <c r="C46" s="15" t="s">
        <v>1244</v>
      </c>
      <c r="E46" s="36" t="str">
        <f aca="false">IF(COUNT(E35:E44)=0,"-",SUM(E35:E44)/(5*COUNT(E35:E44)))</f>
        <v>-</v>
      </c>
    </row>
    <row r="47" customFormat="false" ht="15" hidden="false" customHeight="false" outlineLevel="0" collapsed="false">
      <c r="C47" s="15" t="s">
        <v>1245</v>
      </c>
      <c r="E47" s="37" t="str">
        <f aca="false">IF(COUNT(E35:E44)=0,"-",IF(E46&gt;=0.8,"Pronto para campo",IF(E46&gt;=0.6,"Treinar 1 rodada","Repetir roleplay")))</f>
        <v>-</v>
      </c>
    </row>
    <row r="49" customFormat="false" ht="15" hidden="false" customHeight="false" outlineLevel="0" collapsed="false">
      <c r="A49" s="25" t="s">
        <v>1246</v>
      </c>
    </row>
    <row r="50" customFormat="false" ht="15" hidden="false" customHeight="true" outlineLevel="0" collapsed="false">
      <c r="A50" s="12" t="s">
        <v>1247</v>
      </c>
      <c r="B50" s="12"/>
      <c r="C50" s="14" t="s">
        <v>1248</v>
      </c>
      <c r="D50" s="14"/>
      <c r="E50" s="14"/>
    </row>
    <row r="51" customFormat="false" ht="15" hidden="false" customHeight="true" outlineLevel="0" collapsed="false">
      <c r="A51" s="12" t="s">
        <v>1249</v>
      </c>
      <c r="B51" s="12"/>
      <c r="C51" s="14" t="s">
        <v>1250</v>
      </c>
      <c r="D51" s="14"/>
      <c r="E51" s="14"/>
    </row>
    <row r="52" customFormat="false" ht="15" hidden="false" customHeight="true" outlineLevel="0" collapsed="false">
      <c r="A52" s="12" t="s">
        <v>1251</v>
      </c>
      <c r="B52" s="12"/>
      <c r="C52" s="14" t="s">
        <v>1252</v>
      </c>
      <c r="D52" s="14"/>
      <c r="E52" s="14"/>
    </row>
    <row r="53" customFormat="false" ht="15" hidden="false" customHeight="true" outlineLevel="0" collapsed="false">
      <c r="A53" s="12" t="s">
        <v>1253</v>
      </c>
      <c r="B53" s="12"/>
      <c r="C53" s="14" t="s">
        <v>1254</v>
      </c>
      <c r="D53" s="14"/>
      <c r="E53" s="14"/>
    </row>
    <row r="54" customFormat="false" ht="15" hidden="false" customHeight="true" outlineLevel="0" collapsed="false">
      <c r="A54" s="12" t="s">
        <v>1255</v>
      </c>
      <c r="B54" s="12"/>
      <c r="C54" s="14" t="s">
        <v>1256</v>
      </c>
      <c r="D54" s="14"/>
      <c r="E54" s="14"/>
    </row>
  </sheetData>
  <mergeCells count="27"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A10:B10"/>
    <mergeCell ref="C10:E10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50:B50"/>
    <mergeCell ref="A51:B51"/>
    <mergeCell ref="A52:B52"/>
    <mergeCell ref="A53:B53"/>
    <mergeCell ref="A54:B54"/>
  </mergeCells>
  <dataValidations count="1">
    <dataValidation allowBlank="true" errorStyle="stop" operator="between" showDropDown="false" showErrorMessage="false" showInputMessage="false" sqref="E35:E44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1340"/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4" min="3" style="0" width="60"/>
  </cols>
  <sheetData>
    <row r="1" customFormat="false" ht="33.75" hidden="false" customHeight="true" outlineLevel="0" collapsed="false">
      <c r="A1" s="1" t="s">
        <v>1257</v>
      </c>
      <c r="B1" s="2"/>
      <c r="C1" s="2"/>
      <c r="D1" s="2"/>
    </row>
    <row r="2" customFormat="false" ht="19.5" hidden="false" customHeight="true" outlineLevel="0" collapsed="false">
      <c r="A2" s="3" t="s">
        <v>1258</v>
      </c>
      <c r="B2" s="2"/>
      <c r="C2" s="2"/>
      <c r="D2" s="2"/>
    </row>
    <row r="3" customFormat="false" ht="31.5" hidden="false" customHeight="true" outlineLevel="0" collapsed="false">
      <c r="A3" s="11" t="s">
        <v>35</v>
      </c>
      <c r="B3" s="11" t="s">
        <v>1259</v>
      </c>
      <c r="C3" s="11" t="s">
        <v>1121</v>
      </c>
      <c r="D3" s="11" t="s">
        <v>1260</v>
      </c>
    </row>
    <row r="4" customFormat="false" ht="33.75" hidden="false" customHeight="true" outlineLevel="0" collapsed="false">
      <c r="A4" s="12" t="s">
        <v>1261</v>
      </c>
      <c r="B4" s="14" t="s">
        <v>1262</v>
      </c>
      <c r="C4" s="14" t="s">
        <v>1263</v>
      </c>
      <c r="D4" s="14" t="s">
        <v>1264</v>
      </c>
    </row>
    <row r="5" customFormat="false" ht="33.75" hidden="false" customHeight="true" outlineLevel="0" collapsed="false">
      <c r="A5" s="23" t="s">
        <v>1265</v>
      </c>
      <c r="B5" s="24" t="s">
        <v>1266</v>
      </c>
      <c r="C5" s="24" t="s">
        <v>1267</v>
      </c>
      <c r="D5" s="24" t="s">
        <v>1268</v>
      </c>
    </row>
    <row r="6" customFormat="false" ht="33.75" hidden="false" customHeight="true" outlineLevel="0" collapsed="false">
      <c r="A6" s="12" t="s">
        <v>1269</v>
      </c>
      <c r="B6" s="14" t="s">
        <v>1270</v>
      </c>
      <c r="C6" s="14" t="s">
        <v>1271</v>
      </c>
      <c r="D6" s="14" t="s">
        <v>1272</v>
      </c>
    </row>
    <row r="7" customFormat="false" ht="33.75" hidden="false" customHeight="true" outlineLevel="0" collapsed="false">
      <c r="A7" s="23" t="s">
        <v>1273</v>
      </c>
      <c r="B7" s="24" t="s">
        <v>1274</v>
      </c>
      <c r="C7" s="24" t="s">
        <v>1275</v>
      </c>
      <c r="D7" s="24" t="s">
        <v>1276</v>
      </c>
    </row>
    <row r="8" customFormat="false" ht="33.75" hidden="false" customHeight="true" outlineLevel="0" collapsed="false">
      <c r="A8" s="12" t="s">
        <v>1277</v>
      </c>
      <c r="B8" s="14" t="s">
        <v>1278</v>
      </c>
      <c r="C8" s="14" t="s">
        <v>1279</v>
      </c>
      <c r="D8" s="14" t="s">
        <v>1280</v>
      </c>
    </row>
    <row r="9" customFormat="false" ht="33.75" hidden="false" customHeight="true" outlineLevel="0" collapsed="false">
      <c r="A9" s="23" t="s">
        <v>1281</v>
      </c>
      <c r="B9" s="24" t="s">
        <v>1282</v>
      </c>
      <c r="C9" s="24" t="s">
        <v>1283</v>
      </c>
      <c r="D9" s="24" t="s">
        <v>1284</v>
      </c>
    </row>
    <row r="10" customFormat="false" ht="33.75" hidden="false" customHeight="true" outlineLevel="0" collapsed="false">
      <c r="A10" s="12" t="s">
        <v>1285</v>
      </c>
      <c r="B10" s="14" t="s">
        <v>1286</v>
      </c>
      <c r="C10" s="14" t="s">
        <v>1287</v>
      </c>
      <c r="D10" s="14" t="s">
        <v>1288</v>
      </c>
    </row>
    <row r="11" customFormat="false" ht="19.5" hidden="false" customHeight="true" outlineLevel="0" collapsed="false">
      <c r="A11" s="23" t="s">
        <v>1289</v>
      </c>
      <c r="B11" s="24" t="s">
        <v>1290</v>
      </c>
      <c r="C11" s="24" t="s">
        <v>1291</v>
      </c>
      <c r="D11" s="24" t="s">
        <v>1292</v>
      </c>
    </row>
    <row r="12" customFormat="false" ht="33.75" hidden="false" customHeight="true" outlineLevel="0" collapsed="false">
      <c r="A12" s="12" t="s">
        <v>1293</v>
      </c>
      <c r="B12" s="14" t="s">
        <v>1294</v>
      </c>
      <c r="C12" s="14" t="s">
        <v>1295</v>
      </c>
      <c r="D12" s="14" t="s">
        <v>1296</v>
      </c>
    </row>
    <row r="13" customFormat="false" ht="19.5" hidden="false" customHeight="true" outlineLevel="0" collapsed="false">
      <c r="A13" s="23" t="s">
        <v>1297</v>
      </c>
      <c r="B13" s="24" t="s">
        <v>1298</v>
      </c>
      <c r="C13" s="24" t="s">
        <v>1299</v>
      </c>
      <c r="D13" s="24" t="s">
        <v>1300</v>
      </c>
    </row>
    <row r="14" customFormat="false" ht="33.75" hidden="false" customHeight="true" outlineLevel="0" collapsed="false">
      <c r="A14" s="12" t="s">
        <v>1301</v>
      </c>
      <c r="B14" s="14" t="s">
        <v>1302</v>
      </c>
      <c r="C14" s="14" t="s">
        <v>1303</v>
      </c>
      <c r="D14" s="14" t="s">
        <v>1304</v>
      </c>
    </row>
    <row r="15" customFormat="false" ht="33.75" hidden="false" customHeight="true" outlineLevel="0" collapsed="false">
      <c r="A15" s="23" t="s">
        <v>1305</v>
      </c>
      <c r="B15" s="24" t="s">
        <v>1302</v>
      </c>
      <c r="C15" s="24" t="s">
        <v>1306</v>
      </c>
      <c r="D15" s="24" t="s">
        <v>1307</v>
      </c>
    </row>
    <row r="16" customFormat="false" ht="33.75" hidden="false" customHeight="true" outlineLevel="0" collapsed="false">
      <c r="A16" s="12" t="s">
        <v>1308</v>
      </c>
      <c r="B16" s="14" t="s">
        <v>1309</v>
      </c>
      <c r="C16" s="14" t="s">
        <v>1310</v>
      </c>
      <c r="D16" s="14" t="s">
        <v>1311</v>
      </c>
    </row>
    <row r="17" customFormat="false" ht="19.5" hidden="false" customHeight="true" outlineLevel="0" collapsed="false">
      <c r="A17" s="23" t="s">
        <v>1239</v>
      </c>
      <c r="B17" s="24" t="s">
        <v>1309</v>
      </c>
      <c r="C17" s="24" t="s">
        <v>1312</v>
      </c>
      <c r="D17" s="24" t="s">
        <v>1313</v>
      </c>
    </row>
    <row r="18" customFormat="false" ht="19.5" hidden="false" customHeight="true" outlineLevel="0" collapsed="false">
      <c r="A18" s="12" t="s">
        <v>1314</v>
      </c>
      <c r="B18" s="14" t="s">
        <v>1315</v>
      </c>
      <c r="C18" s="14" t="s">
        <v>1316</v>
      </c>
      <c r="D18" s="14" t="s">
        <v>1317</v>
      </c>
    </row>
    <row r="19" customFormat="false" ht="33.75" hidden="false" customHeight="true" outlineLevel="0" collapsed="false">
      <c r="A19" s="23" t="s">
        <v>1318</v>
      </c>
      <c r="B19" s="24" t="s">
        <v>1315</v>
      </c>
      <c r="C19" s="24" t="s">
        <v>1319</v>
      </c>
      <c r="D19" s="24" t="s">
        <v>1320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185B"/>
    <pageSetUpPr fitToPage="false"/>
  </sheetPr>
  <dimension ref="A1:M30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60"/>
    <col collapsed="false" customWidth="true" hidden="false" outlineLevel="0" max="6" min="6" style="0" width="26"/>
    <col collapsed="false" customWidth="true" hidden="false" outlineLevel="0" max="7" min="7" style="0" width="34"/>
    <col collapsed="false" customWidth="true" hidden="false" outlineLevel="0" max="8" min="8" style="0" width="20"/>
    <col collapsed="false" customWidth="true" hidden="false" outlineLevel="0" max="9" min="9" style="0" width="10"/>
    <col collapsed="false" customWidth="true" hidden="false" outlineLevel="0" max="10" min="10" style="0" width="20"/>
    <col collapsed="false" customWidth="true" hidden="false" outlineLevel="0" max="12" min="12" style="0" width="26"/>
    <col collapsed="false" customWidth="true" hidden="false" outlineLevel="0" max="13" min="13" style="0" width="10"/>
  </cols>
  <sheetData>
    <row r="1" customFormat="false" ht="33.75" hidden="false" customHeight="true" outlineLevel="0" collapsed="false">
      <c r="A1" s="1" t="s">
        <v>1321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9.5" hidden="false" customHeight="true" outlineLevel="0" collapsed="false">
      <c r="A2" s="3" t="s">
        <v>1322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1.5" hidden="false" customHeight="true" outlineLevel="0" collapsed="false">
      <c r="A4" s="11" t="s">
        <v>1323</v>
      </c>
      <c r="B4" s="11" t="s">
        <v>1324</v>
      </c>
      <c r="C4" s="11" t="s">
        <v>27</v>
      </c>
      <c r="D4" s="11" t="s">
        <v>1325</v>
      </c>
      <c r="E4" s="11" t="s">
        <v>1326</v>
      </c>
      <c r="F4" s="11" t="s">
        <v>1327</v>
      </c>
      <c r="G4" s="11" t="s">
        <v>1328</v>
      </c>
      <c r="H4" s="11" t="s">
        <v>102</v>
      </c>
      <c r="I4" s="11" t="s">
        <v>1329</v>
      </c>
      <c r="J4" s="11" t="s">
        <v>1330</v>
      </c>
      <c r="L4" s="6" t="s">
        <v>1331</v>
      </c>
    </row>
    <row r="5" customFormat="false" ht="45" hidden="false" customHeight="true" outlineLevel="0" collapsed="false">
      <c r="A5" s="38" t="n">
        <v>46314</v>
      </c>
      <c r="B5" s="14" t="s">
        <v>1332</v>
      </c>
      <c r="C5" s="14" t="s">
        <v>28</v>
      </c>
      <c r="D5" s="14" t="s">
        <v>340</v>
      </c>
      <c r="E5" s="14" t="s">
        <v>1333</v>
      </c>
      <c r="F5" s="14" t="s">
        <v>46</v>
      </c>
      <c r="G5" s="14" t="s">
        <v>1334</v>
      </c>
      <c r="H5" s="14" t="s">
        <v>1335</v>
      </c>
      <c r="I5" s="14" t="n">
        <v>3</v>
      </c>
      <c r="J5" s="14"/>
      <c r="L5" s="39" t="s">
        <v>1336</v>
      </c>
      <c r="M5" s="39" t="n">
        <f aca="false">COUNTIF($H$5:$H$305,L5)</f>
        <v>0</v>
      </c>
    </row>
    <row r="6" customFormat="false" ht="15" hidden="false" customHeight="false" outlineLevel="0" collapsed="false">
      <c r="A6" s="40"/>
      <c r="B6" s="22"/>
      <c r="C6" s="22"/>
      <c r="D6" s="22"/>
      <c r="E6" s="22"/>
      <c r="F6" s="22"/>
      <c r="G6" s="22"/>
      <c r="H6" s="22"/>
      <c r="I6" s="22"/>
      <c r="J6" s="22"/>
      <c r="L6" s="39" t="s">
        <v>1335</v>
      </c>
      <c r="M6" s="39" t="n">
        <f aca="false">COUNTIF($H$5:$H$305,L6)</f>
        <v>1</v>
      </c>
    </row>
    <row r="7" customFormat="false" ht="15" hidden="false" customHeight="false" outlineLevel="0" collapsed="false">
      <c r="A7" s="40"/>
      <c r="B7" s="22"/>
      <c r="C7" s="22"/>
      <c r="D7" s="22"/>
      <c r="E7" s="22"/>
      <c r="F7" s="22"/>
      <c r="G7" s="22"/>
      <c r="H7" s="22"/>
      <c r="I7" s="22"/>
      <c r="J7" s="22"/>
      <c r="L7" s="39" t="s">
        <v>1337</v>
      </c>
      <c r="M7" s="39" t="n">
        <f aca="false">COUNTIF($H$5:$H$305,L7)</f>
        <v>0</v>
      </c>
    </row>
    <row r="8" customFormat="false" ht="15" hidden="false" customHeight="false" outlineLevel="0" collapsed="false">
      <c r="A8" s="40"/>
      <c r="B8" s="22"/>
      <c r="C8" s="22"/>
      <c r="D8" s="22"/>
      <c r="E8" s="22"/>
      <c r="F8" s="22"/>
      <c r="G8" s="22"/>
      <c r="H8" s="22"/>
      <c r="I8" s="22"/>
      <c r="J8" s="22"/>
      <c r="L8" s="39" t="s">
        <v>1338</v>
      </c>
      <c r="M8" s="39" t="n">
        <f aca="false">COUNTIF($H$5:$H$305,L8)</f>
        <v>0</v>
      </c>
    </row>
    <row r="9" customFormat="false" ht="15" hidden="false" customHeight="false" outlineLevel="0" collapsed="false">
      <c r="A9" s="40"/>
      <c r="B9" s="22"/>
      <c r="C9" s="22"/>
      <c r="D9" s="22"/>
      <c r="E9" s="22"/>
      <c r="F9" s="22"/>
      <c r="G9" s="22"/>
      <c r="H9" s="22"/>
      <c r="I9" s="22"/>
      <c r="J9" s="22"/>
    </row>
    <row r="10" customFormat="false" ht="15" hidden="false" customHeight="false" outlineLevel="0" collapsed="false">
      <c r="A10" s="40"/>
      <c r="B10" s="22"/>
      <c r="C10" s="22"/>
      <c r="D10" s="22"/>
      <c r="E10" s="22"/>
      <c r="F10" s="22"/>
      <c r="G10" s="22"/>
      <c r="H10" s="22"/>
      <c r="I10" s="22"/>
      <c r="J10" s="22"/>
      <c r="L10" s="15" t="s">
        <v>1339</v>
      </c>
      <c r="M10" s="15" t="n">
        <f aca="false">COUNTA($E$5:$E$305)</f>
        <v>1</v>
      </c>
    </row>
    <row r="11" customFormat="false" ht="15" hidden="false" customHeight="false" outlineLevel="0" collapsed="false">
      <c r="A11" s="40"/>
      <c r="B11" s="22"/>
      <c r="C11" s="22"/>
      <c r="D11" s="22"/>
      <c r="E11" s="22"/>
      <c r="F11" s="22"/>
      <c r="G11" s="22"/>
      <c r="H11" s="22"/>
      <c r="I11" s="22"/>
      <c r="J11" s="22"/>
    </row>
    <row r="12" customFormat="false" ht="15" hidden="false" customHeight="false" outlineLevel="0" collapsed="false">
      <c r="A12" s="40"/>
      <c r="B12" s="22"/>
      <c r="C12" s="22"/>
      <c r="D12" s="22"/>
      <c r="E12" s="22"/>
      <c r="F12" s="22"/>
      <c r="G12" s="22"/>
      <c r="H12" s="22"/>
      <c r="I12" s="22"/>
      <c r="J12" s="22"/>
    </row>
    <row r="13" customFormat="false" ht="15" hidden="false" customHeight="false" outlineLevel="0" collapsed="false">
      <c r="A13" s="40"/>
      <c r="B13" s="22"/>
      <c r="C13" s="22"/>
      <c r="D13" s="22"/>
      <c r="E13" s="22"/>
      <c r="F13" s="22"/>
      <c r="G13" s="22"/>
      <c r="H13" s="22"/>
      <c r="I13" s="22"/>
      <c r="J13" s="22"/>
    </row>
    <row r="14" customFormat="false" ht="15" hidden="false" customHeight="false" outlineLevel="0" collapsed="false">
      <c r="A14" s="40"/>
      <c r="B14" s="22"/>
      <c r="C14" s="22"/>
      <c r="D14" s="22"/>
      <c r="E14" s="22"/>
      <c r="F14" s="22"/>
      <c r="G14" s="22"/>
      <c r="H14" s="22"/>
      <c r="I14" s="22"/>
      <c r="J14" s="22"/>
    </row>
    <row r="15" customFormat="false" ht="15" hidden="false" customHeight="false" outlineLevel="0" collapsed="false">
      <c r="A15" s="40"/>
      <c r="B15" s="22"/>
      <c r="C15" s="22"/>
      <c r="D15" s="22"/>
      <c r="E15" s="22"/>
      <c r="F15" s="22"/>
      <c r="G15" s="22"/>
      <c r="H15" s="22"/>
      <c r="I15" s="22"/>
      <c r="J15" s="22"/>
    </row>
    <row r="16" customFormat="false" ht="15" hidden="false" customHeight="false" outlineLevel="0" collapsed="false">
      <c r="A16" s="40"/>
      <c r="B16" s="22"/>
      <c r="C16" s="22"/>
      <c r="D16" s="22"/>
      <c r="E16" s="22"/>
      <c r="F16" s="22"/>
      <c r="G16" s="22"/>
      <c r="H16" s="22"/>
      <c r="I16" s="22"/>
      <c r="J16" s="22"/>
    </row>
    <row r="17" customFormat="false" ht="15" hidden="false" customHeight="false" outlineLevel="0" collapsed="false">
      <c r="A17" s="40"/>
      <c r="B17" s="22"/>
      <c r="C17" s="22"/>
      <c r="D17" s="22"/>
      <c r="E17" s="22"/>
      <c r="F17" s="22"/>
      <c r="G17" s="22"/>
      <c r="H17" s="22"/>
      <c r="I17" s="22"/>
      <c r="J17" s="22"/>
    </row>
    <row r="18" customFormat="false" ht="15" hidden="false" customHeight="false" outlineLevel="0" collapsed="false">
      <c r="A18" s="40"/>
      <c r="B18" s="22"/>
      <c r="C18" s="22"/>
      <c r="D18" s="22"/>
      <c r="E18" s="22"/>
      <c r="F18" s="22"/>
      <c r="G18" s="22"/>
      <c r="H18" s="22"/>
      <c r="I18" s="22"/>
      <c r="J18" s="22"/>
    </row>
    <row r="19" customFormat="false" ht="15" hidden="false" customHeight="false" outlineLevel="0" collapsed="false">
      <c r="A19" s="40"/>
      <c r="B19" s="22"/>
      <c r="C19" s="22"/>
      <c r="D19" s="22"/>
      <c r="E19" s="22"/>
      <c r="F19" s="22"/>
      <c r="G19" s="22"/>
      <c r="H19" s="22"/>
      <c r="I19" s="22"/>
      <c r="J19" s="22"/>
    </row>
    <row r="20" customFormat="false" ht="15" hidden="false" customHeight="false" outlineLevel="0" collapsed="false">
      <c r="A20" s="40"/>
      <c r="B20" s="22"/>
      <c r="C20" s="22"/>
      <c r="D20" s="22"/>
      <c r="E20" s="22"/>
      <c r="F20" s="22"/>
      <c r="G20" s="22"/>
      <c r="H20" s="22"/>
      <c r="I20" s="22"/>
      <c r="J20" s="22"/>
    </row>
    <row r="21" customFormat="false" ht="15" hidden="false" customHeight="false" outlineLevel="0" collapsed="false">
      <c r="A21" s="40"/>
      <c r="B21" s="22"/>
      <c r="C21" s="22"/>
      <c r="D21" s="22"/>
      <c r="E21" s="22"/>
      <c r="F21" s="22"/>
      <c r="G21" s="22"/>
      <c r="H21" s="22"/>
      <c r="I21" s="22"/>
      <c r="J21" s="22"/>
    </row>
    <row r="22" customFormat="false" ht="15" hidden="false" customHeight="false" outlineLevel="0" collapsed="false">
      <c r="A22" s="40"/>
      <c r="B22" s="22"/>
      <c r="C22" s="22"/>
      <c r="D22" s="22"/>
      <c r="E22" s="22"/>
      <c r="F22" s="22"/>
      <c r="G22" s="22"/>
      <c r="H22" s="22"/>
      <c r="I22" s="22"/>
      <c r="J22" s="22"/>
    </row>
    <row r="23" customFormat="false" ht="15" hidden="false" customHeight="false" outlineLevel="0" collapsed="false">
      <c r="A23" s="40"/>
      <c r="B23" s="22"/>
      <c r="C23" s="22"/>
      <c r="D23" s="22"/>
      <c r="E23" s="22"/>
      <c r="F23" s="22"/>
      <c r="G23" s="22"/>
      <c r="H23" s="22"/>
      <c r="I23" s="22"/>
      <c r="J23" s="22"/>
    </row>
    <row r="24" customFormat="false" ht="15" hidden="false" customHeight="false" outlineLevel="0" collapsed="false">
      <c r="A24" s="40"/>
      <c r="B24" s="22"/>
      <c r="C24" s="22"/>
      <c r="D24" s="22"/>
      <c r="E24" s="22"/>
      <c r="F24" s="22"/>
      <c r="G24" s="22"/>
      <c r="H24" s="22"/>
      <c r="I24" s="22"/>
      <c r="J24" s="22"/>
    </row>
    <row r="25" customFormat="false" ht="15" hidden="false" customHeight="false" outlineLevel="0" collapsed="false">
      <c r="A25" s="40"/>
      <c r="B25" s="22"/>
      <c r="C25" s="22"/>
      <c r="D25" s="22"/>
      <c r="E25" s="22"/>
      <c r="F25" s="22"/>
      <c r="G25" s="22"/>
      <c r="H25" s="22"/>
      <c r="I25" s="22"/>
      <c r="J25" s="22"/>
    </row>
    <row r="26" customFormat="false" ht="15" hidden="false" customHeight="false" outlineLevel="0" collapsed="false">
      <c r="A26" s="40"/>
      <c r="B26" s="22"/>
      <c r="C26" s="22"/>
      <c r="D26" s="22"/>
      <c r="E26" s="22"/>
      <c r="F26" s="22"/>
      <c r="G26" s="22"/>
      <c r="H26" s="22"/>
      <c r="I26" s="22"/>
      <c r="J26" s="22"/>
    </row>
    <row r="27" customFormat="false" ht="15" hidden="false" customHeight="false" outlineLevel="0" collapsed="false">
      <c r="A27" s="40"/>
      <c r="B27" s="22"/>
      <c r="C27" s="22"/>
      <c r="D27" s="22"/>
      <c r="E27" s="22"/>
      <c r="F27" s="22"/>
      <c r="G27" s="22"/>
      <c r="H27" s="22"/>
      <c r="I27" s="22"/>
      <c r="J27" s="22"/>
    </row>
    <row r="28" customFormat="false" ht="15" hidden="false" customHeight="false" outlineLevel="0" collapsed="false">
      <c r="A28" s="40"/>
      <c r="B28" s="22"/>
      <c r="C28" s="22"/>
      <c r="D28" s="22"/>
      <c r="E28" s="22"/>
      <c r="F28" s="22"/>
      <c r="G28" s="22"/>
      <c r="H28" s="22"/>
      <c r="I28" s="22"/>
      <c r="J28" s="22"/>
    </row>
    <row r="29" customFormat="false" ht="15" hidden="false" customHeight="false" outlineLevel="0" collapsed="false">
      <c r="A29" s="40"/>
      <c r="B29" s="22"/>
      <c r="C29" s="22"/>
      <c r="D29" s="22"/>
      <c r="E29" s="22"/>
      <c r="F29" s="22"/>
      <c r="G29" s="22"/>
      <c r="H29" s="22"/>
      <c r="I29" s="22"/>
      <c r="J29" s="22"/>
    </row>
    <row r="30" customFormat="false" ht="15" hidden="false" customHeight="false" outlineLevel="0" collapsed="false">
      <c r="A30" s="40"/>
      <c r="B30" s="22"/>
      <c r="C30" s="22"/>
      <c r="D30" s="22"/>
      <c r="E30" s="22"/>
      <c r="F30" s="22"/>
      <c r="G30" s="22"/>
      <c r="H30" s="22"/>
      <c r="I30" s="22"/>
      <c r="J30" s="22"/>
    </row>
    <row r="31" customFormat="false" ht="15" hidden="false" customHeight="false" outlineLevel="0" collapsed="false">
      <c r="A31" s="40"/>
      <c r="B31" s="22"/>
      <c r="C31" s="22"/>
      <c r="D31" s="22"/>
      <c r="E31" s="22"/>
      <c r="F31" s="22"/>
      <c r="G31" s="22"/>
      <c r="H31" s="22"/>
      <c r="I31" s="22"/>
      <c r="J31" s="22"/>
    </row>
    <row r="32" customFormat="false" ht="15" hidden="false" customHeight="false" outlineLevel="0" collapsed="false">
      <c r="A32" s="40"/>
      <c r="B32" s="22"/>
      <c r="C32" s="22"/>
      <c r="D32" s="22"/>
      <c r="E32" s="22"/>
      <c r="F32" s="22"/>
      <c r="G32" s="22"/>
      <c r="H32" s="22"/>
      <c r="I32" s="22"/>
      <c r="J32" s="22"/>
    </row>
    <row r="33" customFormat="false" ht="15" hidden="false" customHeight="false" outlineLevel="0" collapsed="false">
      <c r="A33" s="40"/>
      <c r="B33" s="22"/>
      <c r="C33" s="22"/>
      <c r="D33" s="22"/>
      <c r="E33" s="22"/>
      <c r="F33" s="22"/>
      <c r="G33" s="22"/>
      <c r="H33" s="22"/>
      <c r="I33" s="22"/>
      <c r="J33" s="22"/>
    </row>
    <row r="34" customFormat="false" ht="15" hidden="false" customHeight="false" outlineLevel="0" collapsed="false">
      <c r="A34" s="40"/>
      <c r="B34" s="22"/>
      <c r="C34" s="22"/>
      <c r="D34" s="22"/>
      <c r="E34" s="22"/>
      <c r="F34" s="22"/>
      <c r="G34" s="22"/>
      <c r="H34" s="22"/>
      <c r="I34" s="22"/>
      <c r="J34" s="22"/>
    </row>
    <row r="35" customFormat="false" ht="15" hidden="false" customHeight="false" outlineLevel="0" collapsed="false">
      <c r="A35" s="40"/>
      <c r="B35" s="22"/>
      <c r="C35" s="22"/>
      <c r="D35" s="22"/>
      <c r="E35" s="22"/>
      <c r="F35" s="22"/>
      <c r="G35" s="22"/>
      <c r="H35" s="22"/>
      <c r="I35" s="22"/>
      <c r="J35" s="22"/>
    </row>
    <row r="36" customFormat="false" ht="15" hidden="false" customHeight="false" outlineLevel="0" collapsed="false">
      <c r="A36" s="40"/>
      <c r="B36" s="22"/>
      <c r="C36" s="22"/>
      <c r="D36" s="22"/>
      <c r="E36" s="22"/>
      <c r="F36" s="22"/>
      <c r="G36" s="22"/>
      <c r="H36" s="22"/>
      <c r="I36" s="22"/>
      <c r="J36" s="22"/>
    </row>
    <row r="37" customFormat="false" ht="15" hidden="false" customHeight="false" outlineLevel="0" collapsed="false">
      <c r="A37" s="40"/>
      <c r="B37" s="22"/>
      <c r="C37" s="22"/>
      <c r="D37" s="22"/>
      <c r="E37" s="22"/>
      <c r="F37" s="22"/>
      <c r="G37" s="22"/>
      <c r="H37" s="22"/>
      <c r="I37" s="22"/>
      <c r="J37" s="22"/>
    </row>
    <row r="38" customFormat="false" ht="15" hidden="false" customHeight="false" outlineLevel="0" collapsed="false">
      <c r="A38" s="40"/>
      <c r="B38" s="22"/>
      <c r="C38" s="22"/>
      <c r="D38" s="22"/>
      <c r="E38" s="22"/>
      <c r="F38" s="22"/>
      <c r="G38" s="22"/>
      <c r="H38" s="22"/>
      <c r="I38" s="22"/>
      <c r="J38" s="22"/>
    </row>
    <row r="39" customFormat="false" ht="15" hidden="false" customHeight="false" outlineLevel="0" collapsed="false">
      <c r="A39" s="40"/>
      <c r="B39" s="22"/>
      <c r="C39" s="22"/>
      <c r="D39" s="22"/>
      <c r="E39" s="22"/>
      <c r="F39" s="22"/>
      <c r="G39" s="22"/>
      <c r="H39" s="22"/>
      <c r="I39" s="22"/>
      <c r="J39" s="22"/>
    </row>
    <row r="40" customFormat="false" ht="15" hidden="false" customHeight="false" outlineLevel="0" collapsed="false">
      <c r="A40" s="40"/>
      <c r="B40" s="22"/>
      <c r="C40" s="22"/>
      <c r="D40" s="22"/>
      <c r="E40" s="22"/>
      <c r="F40" s="22"/>
      <c r="G40" s="22"/>
      <c r="H40" s="22"/>
      <c r="I40" s="22"/>
      <c r="J40" s="22"/>
    </row>
    <row r="41" customFormat="false" ht="15" hidden="false" customHeight="false" outlineLevel="0" collapsed="false">
      <c r="A41" s="40"/>
      <c r="B41" s="22"/>
      <c r="C41" s="22"/>
      <c r="D41" s="22"/>
      <c r="E41" s="22"/>
      <c r="F41" s="22"/>
      <c r="G41" s="22"/>
      <c r="H41" s="22"/>
      <c r="I41" s="22"/>
      <c r="J41" s="22"/>
    </row>
    <row r="42" customFormat="false" ht="15" hidden="false" customHeight="false" outlineLevel="0" collapsed="false">
      <c r="A42" s="40"/>
      <c r="B42" s="22"/>
      <c r="C42" s="22"/>
      <c r="D42" s="22"/>
      <c r="E42" s="22"/>
      <c r="F42" s="22"/>
      <c r="G42" s="22"/>
      <c r="H42" s="22"/>
      <c r="I42" s="22"/>
      <c r="J42" s="22"/>
    </row>
    <row r="43" customFormat="false" ht="15" hidden="false" customHeight="false" outlineLevel="0" collapsed="false">
      <c r="A43" s="40"/>
      <c r="B43" s="22"/>
      <c r="C43" s="22"/>
      <c r="D43" s="22"/>
      <c r="E43" s="22"/>
      <c r="F43" s="22"/>
      <c r="G43" s="22"/>
      <c r="H43" s="22"/>
      <c r="I43" s="22"/>
      <c r="J43" s="22"/>
    </row>
    <row r="44" customFormat="false" ht="15" hidden="false" customHeight="false" outlineLevel="0" collapsed="false">
      <c r="A44" s="40"/>
      <c r="B44" s="22"/>
      <c r="C44" s="22"/>
      <c r="D44" s="22"/>
      <c r="E44" s="22"/>
      <c r="F44" s="22"/>
      <c r="G44" s="22"/>
      <c r="H44" s="22"/>
      <c r="I44" s="22"/>
      <c r="J44" s="22"/>
    </row>
    <row r="45" customFormat="false" ht="15" hidden="false" customHeight="false" outlineLevel="0" collapsed="false">
      <c r="A45" s="40"/>
      <c r="B45" s="22"/>
      <c r="C45" s="22"/>
      <c r="D45" s="22"/>
      <c r="E45" s="22"/>
      <c r="F45" s="22"/>
      <c r="G45" s="22"/>
      <c r="H45" s="22"/>
      <c r="I45" s="22"/>
      <c r="J45" s="22"/>
    </row>
    <row r="46" customFormat="false" ht="15" hidden="false" customHeight="false" outlineLevel="0" collapsed="false">
      <c r="A46" s="40"/>
      <c r="B46" s="22"/>
      <c r="C46" s="22"/>
      <c r="D46" s="22"/>
      <c r="E46" s="22"/>
      <c r="F46" s="22"/>
      <c r="G46" s="22"/>
      <c r="H46" s="22"/>
      <c r="I46" s="22"/>
      <c r="J46" s="22"/>
    </row>
    <row r="47" customFormat="false" ht="15" hidden="false" customHeight="false" outlineLevel="0" collapsed="false">
      <c r="A47" s="40"/>
      <c r="B47" s="22"/>
      <c r="C47" s="22"/>
      <c r="D47" s="22"/>
      <c r="E47" s="22"/>
      <c r="F47" s="22"/>
      <c r="G47" s="22"/>
      <c r="H47" s="22"/>
      <c r="I47" s="22"/>
      <c r="J47" s="22"/>
    </row>
    <row r="48" customFormat="false" ht="15" hidden="false" customHeight="false" outlineLevel="0" collapsed="false">
      <c r="A48" s="40"/>
      <c r="B48" s="22"/>
      <c r="C48" s="22"/>
      <c r="D48" s="22"/>
      <c r="E48" s="22"/>
      <c r="F48" s="22"/>
      <c r="G48" s="22"/>
      <c r="H48" s="22"/>
      <c r="I48" s="22"/>
      <c r="J48" s="22"/>
    </row>
    <row r="49" customFormat="false" ht="15" hidden="false" customHeight="false" outlineLevel="0" collapsed="false">
      <c r="A49" s="40"/>
      <c r="B49" s="22"/>
      <c r="C49" s="22"/>
      <c r="D49" s="22"/>
      <c r="E49" s="22"/>
      <c r="F49" s="22"/>
      <c r="G49" s="22"/>
      <c r="H49" s="22"/>
      <c r="I49" s="22"/>
      <c r="J49" s="22"/>
    </row>
    <row r="50" customFormat="false" ht="15" hidden="false" customHeight="false" outlineLevel="0" collapsed="false">
      <c r="A50" s="40"/>
      <c r="B50" s="22"/>
      <c r="C50" s="22"/>
      <c r="D50" s="22"/>
      <c r="E50" s="22"/>
      <c r="F50" s="22"/>
      <c r="G50" s="22"/>
      <c r="H50" s="22"/>
      <c r="I50" s="22"/>
      <c r="J50" s="22"/>
    </row>
    <row r="51" customFormat="false" ht="15" hidden="false" customHeight="false" outlineLevel="0" collapsed="false">
      <c r="A51" s="40"/>
      <c r="B51" s="22"/>
      <c r="C51" s="22"/>
      <c r="D51" s="22"/>
      <c r="E51" s="22"/>
      <c r="F51" s="22"/>
      <c r="G51" s="22"/>
      <c r="H51" s="22"/>
      <c r="I51" s="22"/>
      <c r="J51" s="22"/>
    </row>
    <row r="52" customFormat="false" ht="15" hidden="false" customHeight="false" outlineLevel="0" collapsed="false">
      <c r="A52" s="40"/>
      <c r="B52" s="22"/>
      <c r="C52" s="22"/>
      <c r="D52" s="22"/>
      <c r="E52" s="22"/>
      <c r="F52" s="22"/>
      <c r="G52" s="22"/>
      <c r="H52" s="22"/>
      <c r="I52" s="22"/>
      <c r="J52" s="22"/>
    </row>
    <row r="53" customFormat="false" ht="15" hidden="false" customHeight="false" outlineLevel="0" collapsed="false">
      <c r="A53" s="40"/>
      <c r="B53" s="22"/>
      <c r="C53" s="22"/>
      <c r="D53" s="22"/>
      <c r="E53" s="22"/>
      <c r="F53" s="22"/>
      <c r="G53" s="22"/>
      <c r="H53" s="22"/>
      <c r="I53" s="22"/>
      <c r="J53" s="22"/>
    </row>
    <row r="54" customFormat="false" ht="15" hidden="false" customHeight="false" outlineLevel="0" collapsed="false">
      <c r="A54" s="40"/>
      <c r="B54" s="22"/>
      <c r="C54" s="22"/>
      <c r="D54" s="22"/>
      <c r="E54" s="22"/>
      <c r="F54" s="22"/>
      <c r="G54" s="22"/>
      <c r="H54" s="22"/>
      <c r="I54" s="22"/>
      <c r="J54" s="22"/>
    </row>
    <row r="55" customFormat="false" ht="15" hidden="false" customHeight="false" outlineLevel="0" collapsed="false">
      <c r="A55" s="40"/>
      <c r="B55" s="22"/>
      <c r="C55" s="22"/>
      <c r="D55" s="22"/>
      <c r="E55" s="22"/>
      <c r="F55" s="22"/>
      <c r="G55" s="22"/>
      <c r="H55" s="22"/>
      <c r="I55" s="22"/>
      <c r="J55" s="22"/>
    </row>
    <row r="56" customFormat="false" ht="15" hidden="false" customHeight="false" outlineLevel="0" collapsed="false">
      <c r="A56" s="40"/>
      <c r="B56" s="22"/>
      <c r="C56" s="22"/>
      <c r="D56" s="22"/>
      <c r="E56" s="22"/>
      <c r="F56" s="22"/>
      <c r="G56" s="22"/>
      <c r="H56" s="22"/>
      <c r="I56" s="22"/>
      <c r="J56" s="22"/>
    </row>
    <row r="57" customFormat="false" ht="15" hidden="false" customHeight="false" outlineLevel="0" collapsed="false">
      <c r="A57" s="40"/>
      <c r="B57" s="22"/>
      <c r="C57" s="22"/>
      <c r="D57" s="22"/>
      <c r="E57" s="22"/>
      <c r="F57" s="22"/>
      <c r="G57" s="22"/>
      <c r="H57" s="22"/>
      <c r="I57" s="22"/>
      <c r="J57" s="22"/>
    </row>
    <row r="58" customFormat="false" ht="15" hidden="false" customHeight="false" outlineLevel="0" collapsed="false">
      <c r="A58" s="40"/>
      <c r="B58" s="22"/>
      <c r="C58" s="22"/>
      <c r="D58" s="22"/>
      <c r="E58" s="22"/>
      <c r="F58" s="22"/>
      <c r="G58" s="22"/>
      <c r="H58" s="22"/>
      <c r="I58" s="22"/>
      <c r="J58" s="22"/>
    </row>
    <row r="59" customFormat="false" ht="15" hidden="false" customHeight="false" outlineLevel="0" collapsed="false">
      <c r="A59" s="40"/>
      <c r="B59" s="22"/>
      <c r="C59" s="22"/>
      <c r="D59" s="22"/>
      <c r="E59" s="22"/>
      <c r="F59" s="22"/>
      <c r="G59" s="22"/>
      <c r="H59" s="22"/>
      <c r="I59" s="22"/>
      <c r="J59" s="22"/>
    </row>
    <row r="60" customFormat="false" ht="15" hidden="false" customHeight="false" outlineLevel="0" collapsed="false">
      <c r="A60" s="40"/>
      <c r="B60" s="22"/>
      <c r="C60" s="22"/>
      <c r="D60" s="22"/>
      <c r="E60" s="22"/>
      <c r="F60" s="22"/>
      <c r="G60" s="22"/>
      <c r="H60" s="22"/>
      <c r="I60" s="22"/>
      <c r="J60" s="22"/>
    </row>
    <row r="61" customFormat="false" ht="15" hidden="false" customHeight="false" outlineLevel="0" collapsed="false">
      <c r="A61" s="40"/>
      <c r="B61" s="22"/>
      <c r="C61" s="22"/>
      <c r="D61" s="22"/>
      <c r="E61" s="22"/>
      <c r="F61" s="22"/>
      <c r="G61" s="22"/>
      <c r="H61" s="22"/>
      <c r="I61" s="22"/>
      <c r="J61" s="22"/>
    </row>
    <row r="62" customFormat="false" ht="15" hidden="false" customHeight="false" outlineLevel="0" collapsed="false">
      <c r="A62" s="40"/>
      <c r="B62" s="22"/>
      <c r="C62" s="22"/>
      <c r="D62" s="22"/>
      <c r="E62" s="22"/>
      <c r="F62" s="22"/>
      <c r="G62" s="22"/>
      <c r="H62" s="22"/>
      <c r="I62" s="22"/>
      <c r="J62" s="22"/>
    </row>
    <row r="63" customFormat="false" ht="15" hidden="false" customHeight="false" outlineLevel="0" collapsed="false">
      <c r="A63" s="40"/>
      <c r="B63" s="22"/>
      <c r="C63" s="22"/>
      <c r="D63" s="22"/>
      <c r="E63" s="22"/>
      <c r="F63" s="22"/>
      <c r="G63" s="22"/>
      <c r="H63" s="22"/>
      <c r="I63" s="22"/>
      <c r="J63" s="22"/>
    </row>
    <row r="64" customFormat="false" ht="15" hidden="false" customHeight="false" outlineLevel="0" collapsed="false">
      <c r="A64" s="40"/>
      <c r="B64" s="22"/>
      <c r="C64" s="22"/>
      <c r="D64" s="22"/>
      <c r="E64" s="22"/>
      <c r="F64" s="22"/>
      <c r="G64" s="22"/>
      <c r="H64" s="22"/>
      <c r="I64" s="22"/>
      <c r="J64" s="22"/>
    </row>
    <row r="65" customFormat="false" ht="15" hidden="false" customHeight="false" outlineLevel="0" collapsed="false">
      <c r="A65" s="40"/>
      <c r="B65" s="22"/>
      <c r="C65" s="22"/>
      <c r="D65" s="22"/>
      <c r="E65" s="22"/>
      <c r="F65" s="22"/>
      <c r="G65" s="22"/>
      <c r="H65" s="22"/>
      <c r="I65" s="22"/>
      <c r="J65" s="22"/>
    </row>
    <row r="66" customFormat="false" ht="15" hidden="false" customHeight="false" outlineLevel="0" collapsed="false">
      <c r="A66" s="40"/>
      <c r="B66" s="22"/>
      <c r="C66" s="22"/>
      <c r="D66" s="22"/>
      <c r="E66" s="22"/>
      <c r="F66" s="22"/>
      <c r="G66" s="22"/>
      <c r="H66" s="22"/>
      <c r="I66" s="22"/>
      <c r="J66" s="22"/>
    </row>
    <row r="67" customFormat="false" ht="15" hidden="false" customHeight="false" outlineLevel="0" collapsed="false">
      <c r="A67" s="40"/>
      <c r="B67" s="22"/>
      <c r="C67" s="22"/>
      <c r="D67" s="22"/>
      <c r="E67" s="22"/>
      <c r="F67" s="22"/>
      <c r="G67" s="22"/>
      <c r="H67" s="22"/>
      <c r="I67" s="22"/>
      <c r="J67" s="22"/>
    </row>
    <row r="68" customFormat="false" ht="15" hidden="false" customHeight="false" outlineLevel="0" collapsed="false">
      <c r="A68" s="40"/>
      <c r="B68" s="22"/>
      <c r="C68" s="22"/>
      <c r="D68" s="22"/>
      <c r="E68" s="22"/>
      <c r="F68" s="22"/>
      <c r="G68" s="22"/>
      <c r="H68" s="22"/>
      <c r="I68" s="22"/>
      <c r="J68" s="22"/>
    </row>
    <row r="69" customFormat="false" ht="15" hidden="false" customHeight="false" outlineLevel="0" collapsed="false">
      <c r="A69" s="40"/>
      <c r="B69" s="22"/>
      <c r="C69" s="22"/>
      <c r="D69" s="22"/>
      <c r="E69" s="22"/>
      <c r="F69" s="22"/>
      <c r="G69" s="22"/>
      <c r="H69" s="22"/>
      <c r="I69" s="22"/>
      <c r="J69" s="22"/>
    </row>
    <row r="70" customFormat="false" ht="15" hidden="false" customHeight="false" outlineLevel="0" collapsed="false">
      <c r="A70" s="40"/>
      <c r="B70" s="22"/>
      <c r="C70" s="22"/>
      <c r="D70" s="22"/>
      <c r="E70" s="22"/>
      <c r="F70" s="22"/>
      <c r="G70" s="22"/>
      <c r="H70" s="22"/>
      <c r="I70" s="22"/>
      <c r="J70" s="22"/>
    </row>
    <row r="71" customFormat="false" ht="15" hidden="false" customHeight="false" outlineLevel="0" collapsed="false">
      <c r="A71" s="40"/>
      <c r="B71" s="22"/>
      <c r="C71" s="22"/>
      <c r="D71" s="22"/>
      <c r="E71" s="22"/>
      <c r="F71" s="22"/>
      <c r="G71" s="22"/>
      <c r="H71" s="22"/>
      <c r="I71" s="22"/>
      <c r="J71" s="22"/>
    </row>
    <row r="72" customFormat="false" ht="15" hidden="false" customHeight="false" outlineLevel="0" collapsed="false">
      <c r="A72" s="40"/>
      <c r="B72" s="22"/>
      <c r="C72" s="22"/>
      <c r="D72" s="22"/>
      <c r="E72" s="22"/>
      <c r="F72" s="22"/>
      <c r="G72" s="22"/>
      <c r="H72" s="22"/>
      <c r="I72" s="22"/>
      <c r="J72" s="22"/>
    </row>
    <row r="73" customFormat="false" ht="15" hidden="false" customHeight="false" outlineLevel="0" collapsed="false">
      <c r="A73" s="40"/>
      <c r="B73" s="22"/>
      <c r="C73" s="22"/>
      <c r="D73" s="22"/>
      <c r="E73" s="22"/>
      <c r="F73" s="22"/>
      <c r="G73" s="22"/>
      <c r="H73" s="22"/>
      <c r="I73" s="22"/>
      <c r="J73" s="22"/>
    </row>
    <row r="74" customFormat="false" ht="15" hidden="false" customHeight="false" outlineLevel="0" collapsed="false">
      <c r="A74" s="40"/>
      <c r="B74" s="22"/>
      <c r="C74" s="22"/>
      <c r="D74" s="22"/>
      <c r="E74" s="22"/>
      <c r="F74" s="22"/>
      <c r="G74" s="22"/>
      <c r="H74" s="22"/>
      <c r="I74" s="22"/>
      <c r="J74" s="22"/>
    </row>
    <row r="75" customFormat="false" ht="15" hidden="false" customHeight="false" outlineLevel="0" collapsed="false">
      <c r="A75" s="40"/>
      <c r="B75" s="22"/>
      <c r="C75" s="22"/>
      <c r="D75" s="22"/>
      <c r="E75" s="22"/>
      <c r="F75" s="22"/>
      <c r="G75" s="22"/>
      <c r="H75" s="22"/>
      <c r="I75" s="22"/>
      <c r="J75" s="22"/>
    </row>
    <row r="76" customFormat="false" ht="15" hidden="false" customHeight="false" outlineLevel="0" collapsed="false">
      <c r="A76" s="40"/>
      <c r="B76" s="22"/>
      <c r="C76" s="22"/>
      <c r="D76" s="22"/>
      <c r="E76" s="22"/>
      <c r="F76" s="22"/>
      <c r="G76" s="22"/>
      <c r="H76" s="22"/>
      <c r="I76" s="22"/>
      <c r="J76" s="22"/>
    </row>
    <row r="77" customFormat="false" ht="15" hidden="false" customHeight="false" outlineLevel="0" collapsed="false">
      <c r="A77" s="40"/>
      <c r="B77" s="22"/>
      <c r="C77" s="22"/>
      <c r="D77" s="22"/>
      <c r="E77" s="22"/>
      <c r="F77" s="22"/>
      <c r="G77" s="22"/>
      <c r="H77" s="22"/>
      <c r="I77" s="22"/>
      <c r="J77" s="22"/>
    </row>
    <row r="78" customFormat="false" ht="15" hidden="false" customHeight="false" outlineLevel="0" collapsed="false">
      <c r="A78" s="40"/>
      <c r="B78" s="22"/>
      <c r="C78" s="22"/>
      <c r="D78" s="22"/>
      <c r="E78" s="22"/>
      <c r="F78" s="22"/>
      <c r="G78" s="22"/>
      <c r="H78" s="22"/>
      <c r="I78" s="22"/>
      <c r="J78" s="22"/>
    </row>
    <row r="79" customFormat="false" ht="15" hidden="false" customHeight="false" outlineLevel="0" collapsed="false">
      <c r="A79" s="40"/>
      <c r="B79" s="22"/>
      <c r="C79" s="22"/>
      <c r="D79" s="22"/>
      <c r="E79" s="22"/>
      <c r="F79" s="22"/>
      <c r="G79" s="22"/>
      <c r="H79" s="22"/>
      <c r="I79" s="22"/>
      <c r="J79" s="22"/>
    </row>
    <row r="80" customFormat="false" ht="15" hidden="false" customHeight="false" outlineLevel="0" collapsed="false">
      <c r="A80" s="40"/>
      <c r="B80" s="22"/>
      <c r="C80" s="22"/>
      <c r="D80" s="22"/>
      <c r="E80" s="22"/>
      <c r="F80" s="22"/>
      <c r="G80" s="22"/>
      <c r="H80" s="22"/>
      <c r="I80" s="22"/>
      <c r="J80" s="22"/>
    </row>
    <row r="81" customFormat="false" ht="15" hidden="false" customHeight="false" outlineLevel="0" collapsed="false">
      <c r="A81" s="40"/>
      <c r="B81" s="22"/>
      <c r="C81" s="22"/>
      <c r="D81" s="22"/>
      <c r="E81" s="22"/>
      <c r="F81" s="22"/>
      <c r="G81" s="22"/>
      <c r="H81" s="22"/>
      <c r="I81" s="22"/>
      <c r="J81" s="22"/>
    </row>
    <row r="82" customFormat="false" ht="15" hidden="false" customHeight="false" outlineLevel="0" collapsed="false">
      <c r="A82" s="40"/>
      <c r="B82" s="22"/>
      <c r="C82" s="22"/>
      <c r="D82" s="22"/>
      <c r="E82" s="22"/>
      <c r="F82" s="22"/>
      <c r="G82" s="22"/>
      <c r="H82" s="22"/>
      <c r="I82" s="22"/>
      <c r="J82" s="22"/>
    </row>
    <row r="83" customFormat="false" ht="15" hidden="false" customHeight="false" outlineLevel="0" collapsed="false">
      <c r="A83" s="40"/>
      <c r="B83" s="22"/>
      <c r="C83" s="22"/>
      <c r="D83" s="22"/>
      <c r="E83" s="22"/>
      <c r="F83" s="22"/>
      <c r="G83" s="22"/>
      <c r="H83" s="22"/>
      <c r="I83" s="22"/>
      <c r="J83" s="22"/>
    </row>
    <row r="84" customFormat="false" ht="15" hidden="false" customHeight="false" outlineLevel="0" collapsed="false">
      <c r="A84" s="40"/>
      <c r="B84" s="22"/>
      <c r="C84" s="22"/>
      <c r="D84" s="22"/>
      <c r="E84" s="22"/>
      <c r="F84" s="22"/>
      <c r="G84" s="22"/>
      <c r="H84" s="22"/>
      <c r="I84" s="22"/>
      <c r="J84" s="22"/>
    </row>
    <row r="85" customFormat="false" ht="15" hidden="false" customHeight="false" outlineLevel="0" collapsed="false">
      <c r="A85" s="40"/>
      <c r="B85" s="22"/>
      <c r="C85" s="22"/>
      <c r="D85" s="22"/>
      <c r="E85" s="22"/>
      <c r="F85" s="22"/>
      <c r="G85" s="22"/>
      <c r="H85" s="22"/>
      <c r="I85" s="22"/>
      <c r="J85" s="22"/>
    </row>
    <row r="86" customFormat="false" ht="15" hidden="false" customHeight="false" outlineLevel="0" collapsed="false">
      <c r="A86" s="40"/>
      <c r="B86" s="22"/>
      <c r="C86" s="22"/>
      <c r="D86" s="22"/>
      <c r="E86" s="22"/>
      <c r="F86" s="22"/>
      <c r="G86" s="22"/>
      <c r="H86" s="22"/>
      <c r="I86" s="22"/>
      <c r="J86" s="22"/>
    </row>
    <row r="87" customFormat="false" ht="15" hidden="false" customHeight="false" outlineLevel="0" collapsed="false">
      <c r="A87" s="40"/>
      <c r="B87" s="22"/>
      <c r="C87" s="22"/>
      <c r="D87" s="22"/>
      <c r="E87" s="22"/>
      <c r="F87" s="22"/>
      <c r="G87" s="22"/>
      <c r="H87" s="22"/>
      <c r="I87" s="22"/>
      <c r="J87" s="22"/>
    </row>
    <row r="88" customFormat="false" ht="15" hidden="false" customHeight="false" outlineLevel="0" collapsed="false">
      <c r="A88" s="40"/>
      <c r="B88" s="22"/>
      <c r="C88" s="22"/>
      <c r="D88" s="22"/>
      <c r="E88" s="22"/>
      <c r="F88" s="22"/>
      <c r="G88" s="22"/>
      <c r="H88" s="22"/>
      <c r="I88" s="22"/>
      <c r="J88" s="22"/>
    </row>
    <row r="89" customFormat="false" ht="15" hidden="false" customHeight="false" outlineLevel="0" collapsed="false">
      <c r="A89" s="40"/>
      <c r="B89" s="22"/>
      <c r="C89" s="22"/>
      <c r="D89" s="22"/>
      <c r="E89" s="22"/>
      <c r="F89" s="22"/>
      <c r="G89" s="22"/>
      <c r="H89" s="22"/>
      <c r="I89" s="22"/>
      <c r="J89" s="22"/>
    </row>
    <row r="90" customFormat="false" ht="15" hidden="false" customHeight="false" outlineLevel="0" collapsed="false">
      <c r="A90" s="40"/>
      <c r="B90" s="22"/>
      <c r="C90" s="22"/>
      <c r="D90" s="22"/>
      <c r="E90" s="22"/>
      <c r="F90" s="22"/>
      <c r="G90" s="22"/>
      <c r="H90" s="22"/>
      <c r="I90" s="22"/>
      <c r="J90" s="22"/>
    </row>
    <row r="91" customFormat="false" ht="15" hidden="false" customHeight="false" outlineLevel="0" collapsed="false">
      <c r="A91" s="40"/>
      <c r="B91" s="22"/>
      <c r="C91" s="22"/>
      <c r="D91" s="22"/>
      <c r="E91" s="22"/>
      <c r="F91" s="22"/>
      <c r="G91" s="22"/>
      <c r="H91" s="22"/>
      <c r="I91" s="22"/>
      <c r="J91" s="22"/>
    </row>
    <row r="92" customFormat="false" ht="15" hidden="false" customHeight="false" outlineLevel="0" collapsed="false">
      <c r="A92" s="40"/>
      <c r="B92" s="22"/>
      <c r="C92" s="22"/>
      <c r="D92" s="22"/>
      <c r="E92" s="22"/>
      <c r="F92" s="22"/>
      <c r="G92" s="22"/>
      <c r="H92" s="22"/>
      <c r="I92" s="22"/>
      <c r="J92" s="22"/>
    </row>
    <row r="93" customFormat="false" ht="15" hidden="false" customHeight="false" outlineLevel="0" collapsed="false">
      <c r="A93" s="40"/>
      <c r="B93" s="22"/>
      <c r="C93" s="22"/>
      <c r="D93" s="22"/>
      <c r="E93" s="22"/>
      <c r="F93" s="22"/>
      <c r="G93" s="22"/>
      <c r="H93" s="22"/>
      <c r="I93" s="22"/>
      <c r="J93" s="22"/>
    </row>
    <row r="94" customFormat="false" ht="15" hidden="false" customHeight="false" outlineLevel="0" collapsed="false">
      <c r="A94" s="40"/>
      <c r="B94" s="22"/>
      <c r="C94" s="22"/>
      <c r="D94" s="22"/>
      <c r="E94" s="22"/>
      <c r="F94" s="22"/>
      <c r="G94" s="22"/>
      <c r="H94" s="22"/>
      <c r="I94" s="22"/>
      <c r="J94" s="22"/>
    </row>
    <row r="95" customFormat="false" ht="15" hidden="false" customHeight="false" outlineLevel="0" collapsed="false">
      <c r="A95" s="40"/>
      <c r="B95" s="22"/>
      <c r="C95" s="22"/>
      <c r="D95" s="22"/>
      <c r="E95" s="22"/>
      <c r="F95" s="22"/>
      <c r="G95" s="22"/>
      <c r="H95" s="22"/>
      <c r="I95" s="22"/>
      <c r="J95" s="22"/>
    </row>
    <row r="96" customFormat="false" ht="15" hidden="false" customHeight="false" outlineLevel="0" collapsed="false">
      <c r="A96" s="40"/>
      <c r="B96" s="22"/>
      <c r="C96" s="22"/>
      <c r="D96" s="22"/>
      <c r="E96" s="22"/>
      <c r="F96" s="22"/>
      <c r="G96" s="22"/>
      <c r="H96" s="22"/>
      <c r="I96" s="22"/>
      <c r="J96" s="22"/>
    </row>
    <row r="97" customFormat="false" ht="15" hidden="false" customHeight="false" outlineLevel="0" collapsed="false">
      <c r="A97" s="40"/>
      <c r="B97" s="22"/>
      <c r="C97" s="22"/>
      <c r="D97" s="22"/>
      <c r="E97" s="22"/>
      <c r="F97" s="22"/>
      <c r="G97" s="22"/>
      <c r="H97" s="22"/>
      <c r="I97" s="22"/>
      <c r="J97" s="22"/>
    </row>
    <row r="98" customFormat="false" ht="15" hidden="false" customHeight="false" outlineLevel="0" collapsed="false">
      <c r="A98" s="40"/>
      <c r="B98" s="22"/>
      <c r="C98" s="22"/>
      <c r="D98" s="22"/>
      <c r="E98" s="22"/>
      <c r="F98" s="22"/>
      <c r="G98" s="22"/>
      <c r="H98" s="22"/>
      <c r="I98" s="22"/>
      <c r="J98" s="22"/>
    </row>
    <row r="99" customFormat="false" ht="15" hidden="false" customHeight="false" outlineLevel="0" collapsed="false">
      <c r="A99" s="40"/>
      <c r="B99" s="22"/>
      <c r="C99" s="22"/>
      <c r="D99" s="22"/>
      <c r="E99" s="22"/>
      <c r="F99" s="22"/>
      <c r="G99" s="22"/>
      <c r="H99" s="22"/>
      <c r="I99" s="22"/>
      <c r="J99" s="22"/>
    </row>
    <row r="100" customFormat="false" ht="15" hidden="false" customHeight="false" outlineLevel="0" collapsed="false">
      <c r="A100" s="40"/>
      <c r="B100" s="22"/>
      <c r="C100" s="22"/>
      <c r="D100" s="22"/>
      <c r="E100" s="22"/>
      <c r="F100" s="22"/>
      <c r="G100" s="22"/>
      <c r="H100" s="22"/>
      <c r="I100" s="22"/>
      <c r="J100" s="22"/>
    </row>
    <row r="101" customFormat="false" ht="15" hidden="false" customHeight="false" outlineLevel="0" collapsed="false">
      <c r="A101" s="40"/>
      <c r="B101" s="22"/>
      <c r="C101" s="22"/>
      <c r="D101" s="22"/>
      <c r="E101" s="22"/>
      <c r="F101" s="22"/>
      <c r="G101" s="22"/>
      <c r="H101" s="22"/>
      <c r="I101" s="22"/>
      <c r="J101" s="22"/>
    </row>
    <row r="102" customFormat="false" ht="15" hidden="false" customHeight="false" outlineLevel="0" collapsed="false">
      <c r="A102" s="40"/>
      <c r="B102" s="22"/>
      <c r="C102" s="22"/>
      <c r="D102" s="22"/>
      <c r="E102" s="22"/>
      <c r="F102" s="22"/>
      <c r="G102" s="22"/>
      <c r="H102" s="22"/>
      <c r="I102" s="22"/>
      <c r="J102" s="22"/>
    </row>
    <row r="103" customFormat="false" ht="15" hidden="false" customHeight="false" outlineLevel="0" collapsed="false">
      <c r="A103" s="40"/>
      <c r="B103" s="22"/>
      <c r="C103" s="22"/>
      <c r="D103" s="22"/>
      <c r="E103" s="22"/>
      <c r="F103" s="22"/>
      <c r="G103" s="22"/>
      <c r="H103" s="22"/>
      <c r="I103" s="22"/>
      <c r="J103" s="22"/>
    </row>
    <row r="104" customFormat="false" ht="15" hidden="false" customHeight="false" outlineLevel="0" collapsed="false">
      <c r="A104" s="40"/>
      <c r="B104" s="22"/>
      <c r="C104" s="22"/>
      <c r="D104" s="22"/>
      <c r="E104" s="22"/>
      <c r="F104" s="22"/>
      <c r="G104" s="22"/>
      <c r="H104" s="22"/>
      <c r="I104" s="22"/>
      <c r="J104" s="22"/>
    </row>
    <row r="105" customFormat="false" ht="15" hidden="false" customHeight="false" outlineLevel="0" collapsed="false">
      <c r="A105" s="40"/>
      <c r="B105" s="22"/>
      <c r="C105" s="22"/>
      <c r="D105" s="22"/>
      <c r="E105" s="22"/>
      <c r="F105" s="22"/>
      <c r="G105" s="22"/>
      <c r="H105" s="22"/>
      <c r="I105" s="22"/>
      <c r="J105" s="22"/>
    </row>
    <row r="106" customFormat="false" ht="15" hidden="false" customHeight="false" outlineLevel="0" collapsed="false">
      <c r="A106" s="40"/>
      <c r="B106" s="22"/>
      <c r="C106" s="22"/>
      <c r="D106" s="22"/>
      <c r="E106" s="22"/>
      <c r="F106" s="22"/>
      <c r="G106" s="22"/>
      <c r="H106" s="22"/>
      <c r="I106" s="22"/>
      <c r="J106" s="22"/>
    </row>
    <row r="107" customFormat="false" ht="15" hidden="false" customHeight="false" outlineLevel="0" collapsed="false">
      <c r="A107" s="40"/>
      <c r="B107" s="22"/>
      <c r="C107" s="22"/>
      <c r="D107" s="22"/>
      <c r="E107" s="22"/>
      <c r="F107" s="22"/>
      <c r="G107" s="22"/>
      <c r="H107" s="22"/>
      <c r="I107" s="22"/>
      <c r="J107" s="22"/>
    </row>
    <row r="108" customFormat="false" ht="15" hidden="false" customHeight="false" outlineLevel="0" collapsed="false">
      <c r="A108" s="40"/>
      <c r="B108" s="22"/>
      <c r="C108" s="22"/>
      <c r="D108" s="22"/>
      <c r="E108" s="22"/>
      <c r="F108" s="22"/>
      <c r="G108" s="22"/>
      <c r="H108" s="22"/>
      <c r="I108" s="22"/>
      <c r="J108" s="22"/>
    </row>
    <row r="109" customFormat="false" ht="15" hidden="false" customHeight="false" outlineLevel="0" collapsed="false">
      <c r="A109" s="40"/>
      <c r="B109" s="22"/>
      <c r="C109" s="22"/>
      <c r="D109" s="22"/>
      <c r="E109" s="22"/>
      <c r="F109" s="22"/>
      <c r="G109" s="22"/>
      <c r="H109" s="22"/>
      <c r="I109" s="22"/>
      <c r="J109" s="22"/>
    </row>
    <row r="110" customFormat="false" ht="15" hidden="false" customHeight="false" outlineLevel="0" collapsed="false">
      <c r="A110" s="40"/>
      <c r="B110" s="22"/>
      <c r="C110" s="22"/>
      <c r="D110" s="22"/>
      <c r="E110" s="22"/>
      <c r="F110" s="22"/>
      <c r="G110" s="22"/>
      <c r="H110" s="22"/>
      <c r="I110" s="22"/>
      <c r="J110" s="22"/>
    </row>
    <row r="111" customFormat="false" ht="15" hidden="false" customHeight="false" outlineLevel="0" collapsed="false">
      <c r="A111" s="40"/>
      <c r="B111" s="22"/>
      <c r="C111" s="22"/>
      <c r="D111" s="22"/>
      <c r="E111" s="22"/>
      <c r="F111" s="22"/>
      <c r="G111" s="22"/>
      <c r="H111" s="22"/>
      <c r="I111" s="22"/>
      <c r="J111" s="22"/>
    </row>
    <row r="112" customFormat="false" ht="15" hidden="false" customHeight="false" outlineLevel="0" collapsed="false">
      <c r="A112" s="40"/>
      <c r="B112" s="22"/>
      <c r="C112" s="22"/>
      <c r="D112" s="22"/>
      <c r="E112" s="22"/>
      <c r="F112" s="22"/>
      <c r="G112" s="22"/>
      <c r="H112" s="22"/>
      <c r="I112" s="22"/>
      <c r="J112" s="22"/>
    </row>
    <row r="113" customFormat="false" ht="15" hidden="false" customHeight="false" outlineLevel="0" collapsed="false">
      <c r="A113" s="40"/>
      <c r="B113" s="22"/>
      <c r="C113" s="22"/>
      <c r="D113" s="22"/>
      <c r="E113" s="22"/>
      <c r="F113" s="22"/>
      <c r="G113" s="22"/>
      <c r="H113" s="22"/>
      <c r="I113" s="22"/>
      <c r="J113" s="22"/>
    </row>
    <row r="114" customFormat="false" ht="15" hidden="false" customHeight="false" outlineLevel="0" collapsed="false">
      <c r="A114" s="40"/>
      <c r="B114" s="22"/>
      <c r="C114" s="22"/>
      <c r="D114" s="22"/>
      <c r="E114" s="22"/>
      <c r="F114" s="22"/>
      <c r="G114" s="22"/>
      <c r="H114" s="22"/>
      <c r="I114" s="22"/>
      <c r="J114" s="22"/>
    </row>
    <row r="115" customFormat="false" ht="15" hidden="false" customHeight="false" outlineLevel="0" collapsed="false">
      <c r="A115" s="40"/>
      <c r="B115" s="22"/>
      <c r="C115" s="22"/>
      <c r="D115" s="22"/>
      <c r="E115" s="22"/>
      <c r="F115" s="22"/>
      <c r="G115" s="22"/>
      <c r="H115" s="22"/>
      <c r="I115" s="22"/>
      <c r="J115" s="22"/>
    </row>
    <row r="116" customFormat="false" ht="15" hidden="false" customHeight="false" outlineLevel="0" collapsed="false">
      <c r="A116" s="40"/>
      <c r="B116" s="22"/>
      <c r="C116" s="22"/>
      <c r="D116" s="22"/>
      <c r="E116" s="22"/>
      <c r="F116" s="22"/>
      <c r="G116" s="22"/>
      <c r="H116" s="22"/>
      <c r="I116" s="22"/>
      <c r="J116" s="22"/>
    </row>
    <row r="117" customFormat="false" ht="15" hidden="false" customHeight="false" outlineLevel="0" collapsed="false">
      <c r="A117" s="40"/>
      <c r="B117" s="22"/>
      <c r="C117" s="22"/>
      <c r="D117" s="22"/>
      <c r="E117" s="22"/>
      <c r="F117" s="22"/>
      <c r="G117" s="22"/>
      <c r="H117" s="22"/>
      <c r="I117" s="22"/>
      <c r="J117" s="22"/>
    </row>
    <row r="118" customFormat="false" ht="15" hidden="false" customHeight="false" outlineLevel="0" collapsed="false">
      <c r="A118" s="40"/>
      <c r="B118" s="22"/>
      <c r="C118" s="22"/>
      <c r="D118" s="22"/>
      <c r="E118" s="22"/>
      <c r="F118" s="22"/>
      <c r="G118" s="22"/>
      <c r="H118" s="22"/>
      <c r="I118" s="22"/>
      <c r="J118" s="22"/>
    </row>
    <row r="119" customFormat="false" ht="15" hidden="false" customHeight="false" outlineLevel="0" collapsed="false">
      <c r="A119" s="40"/>
      <c r="B119" s="22"/>
      <c r="C119" s="22"/>
      <c r="D119" s="22"/>
      <c r="E119" s="22"/>
      <c r="F119" s="22"/>
      <c r="G119" s="22"/>
      <c r="H119" s="22"/>
      <c r="I119" s="22"/>
      <c r="J119" s="22"/>
    </row>
    <row r="120" customFormat="false" ht="15" hidden="false" customHeight="false" outlineLevel="0" collapsed="false">
      <c r="A120" s="40"/>
      <c r="B120" s="22"/>
      <c r="C120" s="22"/>
      <c r="D120" s="22"/>
      <c r="E120" s="22"/>
      <c r="F120" s="22"/>
      <c r="G120" s="22"/>
      <c r="H120" s="22"/>
      <c r="I120" s="22"/>
      <c r="J120" s="22"/>
    </row>
    <row r="121" customFormat="false" ht="15" hidden="false" customHeight="false" outlineLevel="0" collapsed="false">
      <c r="A121" s="40"/>
      <c r="B121" s="22"/>
      <c r="C121" s="22"/>
      <c r="D121" s="22"/>
      <c r="E121" s="22"/>
      <c r="F121" s="22"/>
      <c r="G121" s="22"/>
      <c r="H121" s="22"/>
      <c r="I121" s="22"/>
      <c r="J121" s="22"/>
    </row>
    <row r="122" customFormat="false" ht="15" hidden="false" customHeight="false" outlineLevel="0" collapsed="false">
      <c r="A122" s="40"/>
      <c r="B122" s="22"/>
      <c r="C122" s="22"/>
      <c r="D122" s="22"/>
      <c r="E122" s="22"/>
      <c r="F122" s="22"/>
      <c r="G122" s="22"/>
      <c r="H122" s="22"/>
      <c r="I122" s="22"/>
      <c r="J122" s="22"/>
    </row>
    <row r="123" customFormat="false" ht="15" hidden="false" customHeight="false" outlineLevel="0" collapsed="false">
      <c r="A123" s="40"/>
      <c r="B123" s="22"/>
      <c r="C123" s="22"/>
      <c r="D123" s="22"/>
      <c r="E123" s="22"/>
      <c r="F123" s="22"/>
      <c r="G123" s="22"/>
      <c r="H123" s="22"/>
      <c r="I123" s="22"/>
      <c r="J123" s="22"/>
    </row>
    <row r="124" customFormat="false" ht="15" hidden="false" customHeight="false" outlineLevel="0" collapsed="false">
      <c r="A124" s="40"/>
      <c r="B124" s="22"/>
      <c r="C124" s="22"/>
      <c r="D124" s="22"/>
      <c r="E124" s="22"/>
      <c r="F124" s="22"/>
      <c r="G124" s="22"/>
      <c r="H124" s="22"/>
      <c r="I124" s="22"/>
      <c r="J124" s="22"/>
    </row>
    <row r="125" customFormat="false" ht="15" hidden="false" customHeight="false" outlineLevel="0" collapsed="false">
      <c r="A125" s="40"/>
      <c r="B125" s="22"/>
      <c r="C125" s="22"/>
      <c r="D125" s="22"/>
      <c r="E125" s="22"/>
      <c r="F125" s="22"/>
      <c r="G125" s="22"/>
      <c r="H125" s="22"/>
      <c r="I125" s="22"/>
      <c r="J125" s="22"/>
    </row>
    <row r="126" customFormat="false" ht="15" hidden="false" customHeight="false" outlineLevel="0" collapsed="false">
      <c r="A126" s="40"/>
      <c r="B126" s="22"/>
      <c r="C126" s="22"/>
      <c r="D126" s="22"/>
      <c r="E126" s="22"/>
      <c r="F126" s="22"/>
      <c r="G126" s="22"/>
      <c r="H126" s="22"/>
      <c r="I126" s="22"/>
      <c r="J126" s="22"/>
    </row>
    <row r="127" customFormat="false" ht="15" hidden="false" customHeight="false" outlineLevel="0" collapsed="false">
      <c r="A127" s="40"/>
      <c r="B127" s="22"/>
      <c r="C127" s="22"/>
      <c r="D127" s="22"/>
      <c r="E127" s="22"/>
      <c r="F127" s="22"/>
      <c r="G127" s="22"/>
      <c r="H127" s="22"/>
      <c r="I127" s="22"/>
      <c r="J127" s="22"/>
    </row>
    <row r="128" customFormat="false" ht="15" hidden="false" customHeight="false" outlineLevel="0" collapsed="false">
      <c r="A128" s="40"/>
      <c r="B128" s="22"/>
      <c r="C128" s="22"/>
      <c r="D128" s="22"/>
      <c r="E128" s="22"/>
      <c r="F128" s="22"/>
      <c r="G128" s="22"/>
      <c r="H128" s="22"/>
      <c r="I128" s="22"/>
      <c r="J128" s="22"/>
    </row>
    <row r="129" customFormat="false" ht="15" hidden="false" customHeight="false" outlineLevel="0" collapsed="false">
      <c r="A129" s="40"/>
      <c r="B129" s="22"/>
      <c r="C129" s="22"/>
      <c r="D129" s="22"/>
      <c r="E129" s="22"/>
      <c r="F129" s="22"/>
      <c r="G129" s="22"/>
      <c r="H129" s="22"/>
      <c r="I129" s="22"/>
      <c r="J129" s="22"/>
    </row>
    <row r="130" customFormat="false" ht="15" hidden="false" customHeight="false" outlineLevel="0" collapsed="false">
      <c r="A130" s="40"/>
      <c r="B130" s="22"/>
      <c r="C130" s="22"/>
      <c r="D130" s="22"/>
      <c r="E130" s="22"/>
      <c r="F130" s="22"/>
      <c r="G130" s="22"/>
      <c r="H130" s="22"/>
      <c r="I130" s="22"/>
      <c r="J130" s="22"/>
    </row>
    <row r="131" customFormat="false" ht="15" hidden="false" customHeight="false" outlineLevel="0" collapsed="false">
      <c r="A131" s="40"/>
      <c r="B131" s="22"/>
      <c r="C131" s="22"/>
      <c r="D131" s="22"/>
      <c r="E131" s="22"/>
      <c r="F131" s="22"/>
      <c r="G131" s="22"/>
      <c r="H131" s="22"/>
      <c r="I131" s="22"/>
      <c r="J131" s="22"/>
    </row>
    <row r="132" customFormat="false" ht="15" hidden="false" customHeight="false" outlineLevel="0" collapsed="false">
      <c r="A132" s="40"/>
      <c r="B132" s="22"/>
      <c r="C132" s="22"/>
      <c r="D132" s="22"/>
      <c r="E132" s="22"/>
      <c r="F132" s="22"/>
      <c r="G132" s="22"/>
      <c r="H132" s="22"/>
      <c r="I132" s="22"/>
      <c r="J132" s="22"/>
    </row>
    <row r="133" customFormat="false" ht="15" hidden="false" customHeight="false" outlineLevel="0" collapsed="false">
      <c r="A133" s="40"/>
      <c r="B133" s="22"/>
      <c r="C133" s="22"/>
      <c r="D133" s="22"/>
      <c r="E133" s="22"/>
      <c r="F133" s="22"/>
      <c r="G133" s="22"/>
      <c r="H133" s="22"/>
      <c r="I133" s="22"/>
      <c r="J133" s="22"/>
    </row>
    <row r="134" customFormat="false" ht="15" hidden="false" customHeight="false" outlineLevel="0" collapsed="false">
      <c r="A134" s="40"/>
      <c r="B134" s="22"/>
      <c r="C134" s="22"/>
      <c r="D134" s="22"/>
      <c r="E134" s="22"/>
      <c r="F134" s="22"/>
      <c r="G134" s="22"/>
      <c r="H134" s="22"/>
      <c r="I134" s="22"/>
      <c r="J134" s="22"/>
    </row>
    <row r="135" customFormat="false" ht="15" hidden="false" customHeight="false" outlineLevel="0" collapsed="false">
      <c r="A135" s="40"/>
      <c r="B135" s="22"/>
      <c r="C135" s="22"/>
      <c r="D135" s="22"/>
      <c r="E135" s="22"/>
      <c r="F135" s="22"/>
      <c r="G135" s="22"/>
      <c r="H135" s="22"/>
      <c r="I135" s="22"/>
      <c r="J135" s="22"/>
    </row>
    <row r="136" customFormat="false" ht="15" hidden="false" customHeight="false" outlineLevel="0" collapsed="false">
      <c r="A136" s="40"/>
      <c r="B136" s="22"/>
      <c r="C136" s="22"/>
      <c r="D136" s="22"/>
      <c r="E136" s="22"/>
      <c r="F136" s="22"/>
      <c r="G136" s="22"/>
      <c r="H136" s="22"/>
      <c r="I136" s="22"/>
      <c r="J136" s="22"/>
    </row>
    <row r="137" customFormat="false" ht="15" hidden="false" customHeight="false" outlineLevel="0" collapsed="false">
      <c r="A137" s="40"/>
      <c r="B137" s="22"/>
      <c r="C137" s="22"/>
      <c r="D137" s="22"/>
      <c r="E137" s="22"/>
      <c r="F137" s="22"/>
      <c r="G137" s="22"/>
      <c r="H137" s="22"/>
      <c r="I137" s="22"/>
      <c r="J137" s="22"/>
    </row>
    <row r="138" customFormat="false" ht="15" hidden="false" customHeight="false" outlineLevel="0" collapsed="false">
      <c r="A138" s="40"/>
      <c r="B138" s="22"/>
      <c r="C138" s="22"/>
      <c r="D138" s="22"/>
      <c r="E138" s="22"/>
      <c r="F138" s="22"/>
      <c r="G138" s="22"/>
      <c r="H138" s="22"/>
      <c r="I138" s="22"/>
      <c r="J138" s="22"/>
    </row>
    <row r="139" customFormat="false" ht="15" hidden="false" customHeight="false" outlineLevel="0" collapsed="false">
      <c r="A139" s="40"/>
      <c r="B139" s="22"/>
      <c r="C139" s="22"/>
      <c r="D139" s="22"/>
      <c r="E139" s="22"/>
      <c r="F139" s="22"/>
      <c r="G139" s="22"/>
      <c r="H139" s="22"/>
      <c r="I139" s="22"/>
      <c r="J139" s="22"/>
    </row>
    <row r="140" customFormat="false" ht="15" hidden="false" customHeight="false" outlineLevel="0" collapsed="false">
      <c r="A140" s="40"/>
      <c r="B140" s="22"/>
      <c r="C140" s="22"/>
      <c r="D140" s="22"/>
      <c r="E140" s="22"/>
      <c r="F140" s="22"/>
      <c r="G140" s="22"/>
      <c r="H140" s="22"/>
      <c r="I140" s="22"/>
      <c r="J140" s="22"/>
    </row>
    <row r="141" customFormat="false" ht="15" hidden="false" customHeight="false" outlineLevel="0" collapsed="false">
      <c r="A141" s="40"/>
      <c r="B141" s="22"/>
      <c r="C141" s="22"/>
      <c r="D141" s="22"/>
      <c r="E141" s="22"/>
      <c r="F141" s="22"/>
      <c r="G141" s="22"/>
      <c r="H141" s="22"/>
      <c r="I141" s="22"/>
      <c r="J141" s="22"/>
    </row>
    <row r="142" customFormat="false" ht="15" hidden="false" customHeight="false" outlineLevel="0" collapsed="false">
      <c r="A142" s="40"/>
      <c r="B142" s="22"/>
      <c r="C142" s="22"/>
      <c r="D142" s="22"/>
      <c r="E142" s="22"/>
      <c r="F142" s="22"/>
      <c r="G142" s="22"/>
      <c r="H142" s="22"/>
      <c r="I142" s="22"/>
      <c r="J142" s="22"/>
    </row>
    <row r="143" customFormat="false" ht="15" hidden="false" customHeight="false" outlineLevel="0" collapsed="false">
      <c r="A143" s="40"/>
      <c r="B143" s="22"/>
      <c r="C143" s="22"/>
      <c r="D143" s="22"/>
      <c r="E143" s="22"/>
      <c r="F143" s="22"/>
      <c r="G143" s="22"/>
      <c r="H143" s="22"/>
      <c r="I143" s="22"/>
      <c r="J143" s="22"/>
    </row>
    <row r="144" customFormat="false" ht="15" hidden="false" customHeight="false" outlineLevel="0" collapsed="false">
      <c r="A144" s="40"/>
      <c r="B144" s="22"/>
      <c r="C144" s="22"/>
      <c r="D144" s="22"/>
      <c r="E144" s="22"/>
      <c r="F144" s="22"/>
      <c r="G144" s="22"/>
      <c r="H144" s="22"/>
      <c r="I144" s="22"/>
      <c r="J144" s="22"/>
    </row>
    <row r="145" customFormat="false" ht="15" hidden="false" customHeight="false" outlineLevel="0" collapsed="false">
      <c r="A145" s="40"/>
      <c r="B145" s="22"/>
      <c r="C145" s="22"/>
      <c r="D145" s="22"/>
      <c r="E145" s="22"/>
      <c r="F145" s="22"/>
      <c r="G145" s="22"/>
      <c r="H145" s="22"/>
      <c r="I145" s="22"/>
      <c r="J145" s="22"/>
    </row>
    <row r="146" customFormat="false" ht="15" hidden="false" customHeight="false" outlineLevel="0" collapsed="false">
      <c r="A146" s="40"/>
      <c r="B146" s="22"/>
      <c r="C146" s="22"/>
      <c r="D146" s="22"/>
      <c r="E146" s="22"/>
      <c r="F146" s="22"/>
      <c r="G146" s="22"/>
      <c r="H146" s="22"/>
      <c r="I146" s="22"/>
      <c r="J146" s="22"/>
    </row>
    <row r="147" customFormat="false" ht="15" hidden="false" customHeight="false" outlineLevel="0" collapsed="false">
      <c r="A147" s="40"/>
      <c r="B147" s="22"/>
      <c r="C147" s="22"/>
      <c r="D147" s="22"/>
      <c r="E147" s="22"/>
      <c r="F147" s="22"/>
      <c r="G147" s="22"/>
      <c r="H147" s="22"/>
      <c r="I147" s="22"/>
      <c r="J147" s="22"/>
    </row>
    <row r="148" customFormat="false" ht="15" hidden="false" customHeight="false" outlineLevel="0" collapsed="false">
      <c r="A148" s="40"/>
      <c r="B148" s="22"/>
      <c r="C148" s="22"/>
      <c r="D148" s="22"/>
      <c r="E148" s="22"/>
      <c r="F148" s="22"/>
      <c r="G148" s="22"/>
      <c r="H148" s="22"/>
      <c r="I148" s="22"/>
      <c r="J148" s="22"/>
    </row>
    <row r="149" customFormat="false" ht="15" hidden="false" customHeight="false" outlineLevel="0" collapsed="false">
      <c r="A149" s="40"/>
      <c r="B149" s="22"/>
      <c r="C149" s="22"/>
      <c r="D149" s="22"/>
      <c r="E149" s="22"/>
      <c r="F149" s="22"/>
      <c r="G149" s="22"/>
      <c r="H149" s="22"/>
      <c r="I149" s="22"/>
      <c r="J149" s="22"/>
    </row>
    <row r="150" customFormat="false" ht="15" hidden="false" customHeight="false" outlineLevel="0" collapsed="false">
      <c r="A150" s="40"/>
      <c r="B150" s="22"/>
      <c r="C150" s="22"/>
      <c r="D150" s="22"/>
      <c r="E150" s="22"/>
      <c r="F150" s="22"/>
      <c r="G150" s="22"/>
      <c r="H150" s="22"/>
      <c r="I150" s="22"/>
      <c r="J150" s="22"/>
    </row>
    <row r="151" customFormat="false" ht="15" hidden="false" customHeight="false" outlineLevel="0" collapsed="false">
      <c r="A151" s="40"/>
      <c r="B151" s="22"/>
      <c r="C151" s="22"/>
      <c r="D151" s="22"/>
      <c r="E151" s="22"/>
      <c r="F151" s="22"/>
      <c r="G151" s="22"/>
      <c r="H151" s="22"/>
      <c r="I151" s="22"/>
      <c r="J151" s="22"/>
    </row>
    <row r="152" customFormat="false" ht="15" hidden="false" customHeight="false" outlineLevel="0" collapsed="false">
      <c r="A152" s="40"/>
      <c r="B152" s="22"/>
      <c r="C152" s="22"/>
      <c r="D152" s="22"/>
      <c r="E152" s="22"/>
      <c r="F152" s="22"/>
      <c r="G152" s="22"/>
      <c r="H152" s="22"/>
      <c r="I152" s="22"/>
      <c r="J152" s="22"/>
    </row>
    <row r="153" customFormat="false" ht="15" hidden="false" customHeight="false" outlineLevel="0" collapsed="false">
      <c r="A153" s="40"/>
      <c r="B153" s="22"/>
      <c r="C153" s="22"/>
      <c r="D153" s="22"/>
      <c r="E153" s="22"/>
      <c r="F153" s="22"/>
      <c r="G153" s="22"/>
      <c r="H153" s="22"/>
      <c r="I153" s="22"/>
      <c r="J153" s="22"/>
    </row>
    <row r="154" customFormat="false" ht="15" hidden="false" customHeight="false" outlineLevel="0" collapsed="false">
      <c r="A154" s="40"/>
      <c r="B154" s="22"/>
      <c r="C154" s="22"/>
      <c r="D154" s="22"/>
      <c r="E154" s="22"/>
      <c r="F154" s="22"/>
      <c r="G154" s="22"/>
      <c r="H154" s="22"/>
      <c r="I154" s="22"/>
      <c r="J154" s="22"/>
    </row>
    <row r="155" customFormat="false" ht="15" hidden="false" customHeight="false" outlineLevel="0" collapsed="false">
      <c r="A155" s="40"/>
      <c r="B155" s="22"/>
      <c r="C155" s="22"/>
      <c r="D155" s="22"/>
      <c r="E155" s="22"/>
      <c r="F155" s="22"/>
      <c r="G155" s="22"/>
      <c r="H155" s="22"/>
      <c r="I155" s="22"/>
      <c r="J155" s="22"/>
    </row>
    <row r="156" customFormat="false" ht="15" hidden="false" customHeight="false" outlineLevel="0" collapsed="false">
      <c r="A156" s="40"/>
      <c r="B156" s="22"/>
      <c r="C156" s="22"/>
      <c r="D156" s="22"/>
      <c r="E156" s="22"/>
      <c r="F156" s="22"/>
      <c r="G156" s="22"/>
      <c r="H156" s="22"/>
      <c r="I156" s="22"/>
      <c r="J156" s="22"/>
    </row>
    <row r="157" customFormat="false" ht="15" hidden="false" customHeight="false" outlineLevel="0" collapsed="false">
      <c r="A157" s="40"/>
      <c r="B157" s="22"/>
      <c r="C157" s="22"/>
      <c r="D157" s="22"/>
      <c r="E157" s="22"/>
      <c r="F157" s="22"/>
      <c r="G157" s="22"/>
      <c r="H157" s="22"/>
      <c r="I157" s="22"/>
      <c r="J157" s="22"/>
    </row>
    <row r="158" customFormat="false" ht="15" hidden="false" customHeight="false" outlineLevel="0" collapsed="false">
      <c r="A158" s="40"/>
      <c r="B158" s="22"/>
      <c r="C158" s="22"/>
      <c r="D158" s="22"/>
      <c r="E158" s="22"/>
      <c r="F158" s="22"/>
      <c r="G158" s="22"/>
      <c r="H158" s="22"/>
      <c r="I158" s="22"/>
      <c r="J158" s="22"/>
    </row>
    <row r="159" customFormat="false" ht="15" hidden="false" customHeight="false" outlineLevel="0" collapsed="false">
      <c r="A159" s="40"/>
      <c r="B159" s="22"/>
      <c r="C159" s="22"/>
      <c r="D159" s="22"/>
      <c r="E159" s="22"/>
      <c r="F159" s="22"/>
      <c r="G159" s="22"/>
      <c r="H159" s="22"/>
      <c r="I159" s="22"/>
      <c r="J159" s="22"/>
    </row>
    <row r="160" customFormat="false" ht="15" hidden="false" customHeight="false" outlineLevel="0" collapsed="false">
      <c r="A160" s="40"/>
      <c r="B160" s="22"/>
      <c r="C160" s="22"/>
      <c r="D160" s="22"/>
      <c r="E160" s="22"/>
      <c r="F160" s="22"/>
      <c r="G160" s="22"/>
      <c r="H160" s="22"/>
      <c r="I160" s="22"/>
      <c r="J160" s="22"/>
    </row>
    <row r="161" customFormat="false" ht="15" hidden="false" customHeight="false" outlineLevel="0" collapsed="false">
      <c r="A161" s="40"/>
      <c r="B161" s="22"/>
      <c r="C161" s="22"/>
      <c r="D161" s="22"/>
      <c r="E161" s="22"/>
      <c r="F161" s="22"/>
      <c r="G161" s="22"/>
      <c r="H161" s="22"/>
      <c r="I161" s="22"/>
      <c r="J161" s="22"/>
    </row>
    <row r="162" customFormat="false" ht="15" hidden="false" customHeight="false" outlineLevel="0" collapsed="false">
      <c r="A162" s="40"/>
      <c r="B162" s="22"/>
      <c r="C162" s="22"/>
      <c r="D162" s="22"/>
      <c r="E162" s="22"/>
      <c r="F162" s="22"/>
      <c r="G162" s="22"/>
      <c r="H162" s="22"/>
      <c r="I162" s="22"/>
      <c r="J162" s="22"/>
    </row>
    <row r="163" customFormat="false" ht="15" hidden="false" customHeight="false" outlineLevel="0" collapsed="false">
      <c r="A163" s="40"/>
      <c r="B163" s="22"/>
      <c r="C163" s="22"/>
      <c r="D163" s="22"/>
      <c r="E163" s="22"/>
      <c r="F163" s="22"/>
      <c r="G163" s="22"/>
      <c r="H163" s="22"/>
      <c r="I163" s="22"/>
      <c r="J163" s="22"/>
    </row>
    <row r="164" customFormat="false" ht="15" hidden="false" customHeight="false" outlineLevel="0" collapsed="false">
      <c r="A164" s="40"/>
      <c r="B164" s="22"/>
      <c r="C164" s="22"/>
      <c r="D164" s="22"/>
      <c r="E164" s="22"/>
      <c r="F164" s="22"/>
      <c r="G164" s="22"/>
      <c r="H164" s="22"/>
      <c r="I164" s="22"/>
      <c r="J164" s="22"/>
    </row>
    <row r="165" customFormat="false" ht="15" hidden="false" customHeight="false" outlineLevel="0" collapsed="false">
      <c r="A165" s="40"/>
      <c r="B165" s="22"/>
      <c r="C165" s="22"/>
      <c r="D165" s="22"/>
      <c r="E165" s="22"/>
      <c r="F165" s="22"/>
      <c r="G165" s="22"/>
      <c r="H165" s="22"/>
      <c r="I165" s="22"/>
      <c r="J165" s="22"/>
    </row>
    <row r="166" customFormat="false" ht="15" hidden="false" customHeight="false" outlineLevel="0" collapsed="false">
      <c r="A166" s="40"/>
      <c r="B166" s="22"/>
      <c r="C166" s="22"/>
      <c r="D166" s="22"/>
      <c r="E166" s="22"/>
      <c r="F166" s="22"/>
      <c r="G166" s="22"/>
      <c r="H166" s="22"/>
      <c r="I166" s="22"/>
      <c r="J166" s="22"/>
    </row>
    <row r="167" customFormat="false" ht="15" hidden="false" customHeight="false" outlineLevel="0" collapsed="false">
      <c r="A167" s="40"/>
      <c r="B167" s="22"/>
      <c r="C167" s="22"/>
      <c r="D167" s="22"/>
      <c r="E167" s="22"/>
      <c r="F167" s="22"/>
      <c r="G167" s="22"/>
      <c r="H167" s="22"/>
      <c r="I167" s="22"/>
      <c r="J167" s="22"/>
    </row>
    <row r="168" customFormat="false" ht="15" hidden="false" customHeight="false" outlineLevel="0" collapsed="false">
      <c r="A168" s="40"/>
      <c r="B168" s="22"/>
      <c r="C168" s="22"/>
      <c r="D168" s="22"/>
      <c r="E168" s="22"/>
      <c r="F168" s="22"/>
      <c r="G168" s="22"/>
      <c r="H168" s="22"/>
      <c r="I168" s="22"/>
      <c r="J168" s="22"/>
    </row>
    <row r="169" customFormat="false" ht="15" hidden="false" customHeight="false" outlineLevel="0" collapsed="false">
      <c r="A169" s="40"/>
      <c r="B169" s="22"/>
      <c r="C169" s="22"/>
      <c r="D169" s="22"/>
      <c r="E169" s="22"/>
      <c r="F169" s="22"/>
      <c r="G169" s="22"/>
      <c r="H169" s="22"/>
      <c r="I169" s="22"/>
      <c r="J169" s="22"/>
    </row>
    <row r="170" customFormat="false" ht="15" hidden="false" customHeight="false" outlineLevel="0" collapsed="false">
      <c r="A170" s="40"/>
      <c r="B170" s="22"/>
      <c r="C170" s="22"/>
      <c r="D170" s="22"/>
      <c r="E170" s="22"/>
      <c r="F170" s="22"/>
      <c r="G170" s="22"/>
      <c r="H170" s="22"/>
      <c r="I170" s="22"/>
      <c r="J170" s="22"/>
    </row>
    <row r="171" customFormat="false" ht="15" hidden="false" customHeight="false" outlineLevel="0" collapsed="false">
      <c r="A171" s="40"/>
      <c r="B171" s="22"/>
      <c r="C171" s="22"/>
      <c r="D171" s="22"/>
      <c r="E171" s="22"/>
      <c r="F171" s="22"/>
      <c r="G171" s="22"/>
      <c r="H171" s="22"/>
      <c r="I171" s="22"/>
      <c r="J171" s="22"/>
    </row>
    <row r="172" customFormat="false" ht="15" hidden="false" customHeight="false" outlineLevel="0" collapsed="false">
      <c r="A172" s="40"/>
      <c r="B172" s="22"/>
      <c r="C172" s="22"/>
      <c r="D172" s="22"/>
      <c r="E172" s="22"/>
      <c r="F172" s="22"/>
      <c r="G172" s="22"/>
      <c r="H172" s="22"/>
      <c r="I172" s="22"/>
      <c r="J172" s="22"/>
    </row>
    <row r="173" customFormat="false" ht="15" hidden="false" customHeight="false" outlineLevel="0" collapsed="false">
      <c r="A173" s="40"/>
      <c r="B173" s="22"/>
      <c r="C173" s="22"/>
      <c r="D173" s="22"/>
      <c r="E173" s="22"/>
      <c r="F173" s="22"/>
      <c r="G173" s="22"/>
      <c r="H173" s="22"/>
      <c r="I173" s="22"/>
      <c r="J173" s="22"/>
    </row>
    <row r="174" customFormat="false" ht="15" hidden="false" customHeight="false" outlineLevel="0" collapsed="false">
      <c r="A174" s="40"/>
      <c r="B174" s="22"/>
      <c r="C174" s="22"/>
      <c r="D174" s="22"/>
      <c r="E174" s="22"/>
      <c r="F174" s="22"/>
      <c r="G174" s="22"/>
      <c r="H174" s="22"/>
      <c r="I174" s="22"/>
      <c r="J174" s="22"/>
    </row>
    <row r="175" customFormat="false" ht="15" hidden="false" customHeight="false" outlineLevel="0" collapsed="false">
      <c r="A175" s="40"/>
      <c r="B175" s="22"/>
      <c r="C175" s="22"/>
      <c r="D175" s="22"/>
      <c r="E175" s="22"/>
      <c r="F175" s="22"/>
      <c r="G175" s="22"/>
      <c r="H175" s="22"/>
      <c r="I175" s="22"/>
      <c r="J175" s="22"/>
    </row>
    <row r="176" customFormat="false" ht="15" hidden="false" customHeight="false" outlineLevel="0" collapsed="false">
      <c r="A176" s="40"/>
      <c r="B176" s="22"/>
      <c r="C176" s="22"/>
      <c r="D176" s="22"/>
      <c r="E176" s="22"/>
      <c r="F176" s="22"/>
      <c r="G176" s="22"/>
      <c r="H176" s="22"/>
      <c r="I176" s="22"/>
      <c r="J176" s="22"/>
    </row>
    <row r="177" customFormat="false" ht="15" hidden="false" customHeight="false" outlineLevel="0" collapsed="false">
      <c r="A177" s="40"/>
      <c r="B177" s="22"/>
      <c r="C177" s="22"/>
      <c r="D177" s="22"/>
      <c r="E177" s="22"/>
      <c r="F177" s="22"/>
      <c r="G177" s="22"/>
      <c r="H177" s="22"/>
      <c r="I177" s="22"/>
      <c r="J177" s="22"/>
    </row>
    <row r="178" customFormat="false" ht="15" hidden="false" customHeight="false" outlineLevel="0" collapsed="false">
      <c r="A178" s="40"/>
      <c r="B178" s="22"/>
      <c r="C178" s="22"/>
      <c r="D178" s="22"/>
      <c r="E178" s="22"/>
      <c r="F178" s="22"/>
      <c r="G178" s="22"/>
      <c r="H178" s="22"/>
      <c r="I178" s="22"/>
      <c r="J178" s="22"/>
    </row>
    <row r="179" customFormat="false" ht="15" hidden="false" customHeight="false" outlineLevel="0" collapsed="false">
      <c r="A179" s="40"/>
      <c r="B179" s="22"/>
      <c r="C179" s="22"/>
      <c r="D179" s="22"/>
      <c r="E179" s="22"/>
      <c r="F179" s="22"/>
      <c r="G179" s="22"/>
      <c r="H179" s="22"/>
      <c r="I179" s="22"/>
      <c r="J179" s="22"/>
    </row>
    <row r="180" customFormat="false" ht="15" hidden="false" customHeight="false" outlineLevel="0" collapsed="false">
      <c r="A180" s="40"/>
      <c r="B180" s="22"/>
      <c r="C180" s="22"/>
      <c r="D180" s="22"/>
      <c r="E180" s="22"/>
      <c r="F180" s="22"/>
      <c r="G180" s="22"/>
      <c r="H180" s="22"/>
      <c r="I180" s="22"/>
      <c r="J180" s="22"/>
    </row>
    <row r="181" customFormat="false" ht="15" hidden="false" customHeight="false" outlineLevel="0" collapsed="false">
      <c r="A181" s="40"/>
      <c r="B181" s="22"/>
      <c r="C181" s="22"/>
      <c r="D181" s="22"/>
      <c r="E181" s="22"/>
      <c r="F181" s="22"/>
      <c r="G181" s="22"/>
      <c r="H181" s="22"/>
      <c r="I181" s="22"/>
      <c r="J181" s="22"/>
    </row>
    <row r="182" customFormat="false" ht="15" hidden="false" customHeight="false" outlineLevel="0" collapsed="false">
      <c r="A182" s="40"/>
      <c r="B182" s="22"/>
      <c r="C182" s="22"/>
      <c r="D182" s="22"/>
      <c r="E182" s="22"/>
      <c r="F182" s="22"/>
      <c r="G182" s="22"/>
      <c r="H182" s="22"/>
      <c r="I182" s="22"/>
      <c r="J182" s="22"/>
    </row>
    <row r="183" customFormat="false" ht="15" hidden="false" customHeight="false" outlineLevel="0" collapsed="false">
      <c r="A183" s="40"/>
      <c r="B183" s="22"/>
      <c r="C183" s="22"/>
      <c r="D183" s="22"/>
      <c r="E183" s="22"/>
      <c r="F183" s="22"/>
      <c r="G183" s="22"/>
      <c r="H183" s="22"/>
      <c r="I183" s="22"/>
      <c r="J183" s="22"/>
    </row>
    <row r="184" customFormat="false" ht="15" hidden="false" customHeight="false" outlineLevel="0" collapsed="false">
      <c r="A184" s="40"/>
      <c r="B184" s="22"/>
      <c r="C184" s="22"/>
      <c r="D184" s="22"/>
      <c r="E184" s="22"/>
      <c r="F184" s="22"/>
      <c r="G184" s="22"/>
      <c r="H184" s="22"/>
      <c r="I184" s="22"/>
      <c r="J184" s="22"/>
    </row>
    <row r="185" customFormat="false" ht="15" hidden="false" customHeight="false" outlineLevel="0" collapsed="false">
      <c r="A185" s="40"/>
      <c r="B185" s="22"/>
      <c r="C185" s="22"/>
      <c r="D185" s="22"/>
      <c r="E185" s="22"/>
      <c r="F185" s="22"/>
      <c r="G185" s="22"/>
      <c r="H185" s="22"/>
      <c r="I185" s="22"/>
      <c r="J185" s="22"/>
    </row>
    <row r="186" customFormat="false" ht="15" hidden="false" customHeight="false" outlineLevel="0" collapsed="false">
      <c r="A186" s="40"/>
      <c r="B186" s="22"/>
      <c r="C186" s="22"/>
      <c r="D186" s="22"/>
      <c r="E186" s="22"/>
      <c r="F186" s="22"/>
      <c r="G186" s="22"/>
      <c r="H186" s="22"/>
      <c r="I186" s="22"/>
      <c r="J186" s="22"/>
    </row>
    <row r="187" customFormat="false" ht="15" hidden="false" customHeight="false" outlineLevel="0" collapsed="false">
      <c r="A187" s="40"/>
      <c r="B187" s="22"/>
      <c r="C187" s="22"/>
      <c r="D187" s="22"/>
      <c r="E187" s="22"/>
      <c r="F187" s="22"/>
      <c r="G187" s="22"/>
      <c r="H187" s="22"/>
      <c r="I187" s="22"/>
      <c r="J187" s="22"/>
    </row>
    <row r="188" customFormat="false" ht="15" hidden="false" customHeight="false" outlineLevel="0" collapsed="false">
      <c r="A188" s="40"/>
      <c r="B188" s="22"/>
      <c r="C188" s="22"/>
      <c r="D188" s="22"/>
      <c r="E188" s="22"/>
      <c r="F188" s="22"/>
      <c r="G188" s="22"/>
      <c r="H188" s="22"/>
      <c r="I188" s="22"/>
      <c r="J188" s="22"/>
    </row>
    <row r="189" customFormat="false" ht="15" hidden="false" customHeight="false" outlineLevel="0" collapsed="false">
      <c r="A189" s="40"/>
      <c r="B189" s="22"/>
      <c r="C189" s="22"/>
      <c r="D189" s="22"/>
      <c r="E189" s="22"/>
      <c r="F189" s="22"/>
      <c r="G189" s="22"/>
      <c r="H189" s="22"/>
      <c r="I189" s="22"/>
      <c r="J189" s="22"/>
    </row>
    <row r="190" customFormat="false" ht="15" hidden="false" customHeight="false" outlineLevel="0" collapsed="false">
      <c r="A190" s="40"/>
      <c r="B190" s="22"/>
      <c r="C190" s="22"/>
      <c r="D190" s="22"/>
      <c r="E190" s="22"/>
      <c r="F190" s="22"/>
      <c r="G190" s="22"/>
      <c r="H190" s="22"/>
      <c r="I190" s="22"/>
      <c r="J190" s="22"/>
    </row>
    <row r="191" customFormat="false" ht="15" hidden="false" customHeight="false" outlineLevel="0" collapsed="false">
      <c r="A191" s="40"/>
      <c r="B191" s="22"/>
      <c r="C191" s="22"/>
      <c r="D191" s="22"/>
      <c r="E191" s="22"/>
      <c r="F191" s="22"/>
      <c r="G191" s="22"/>
      <c r="H191" s="22"/>
      <c r="I191" s="22"/>
      <c r="J191" s="22"/>
    </row>
    <row r="192" customFormat="false" ht="15" hidden="false" customHeight="false" outlineLevel="0" collapsed="false">
      <c r="A192" s="40"/>
      <c r="B192" s="22"/>
      <c r="C192" s="22"/>
      <c r="D192" s="22"/>
      <c r="E192" s="22"/>
      <c r="F192" s="22"/>
      <c r="G192" s="22"/>
      <c r="H192" s="22"/>
      <c r="I192" s="22"/>
      <c r="J192" s="22"/>
    </row>
    <row r="193" customFormat="false" ht="15" hidden="false" customHeight="false" outlineLevel="0" collapsed="false">
      <c r="A193" s="40"/>
      <c r="B193" s="22"/>
      <c r="C193" s="22"/>
      <c r="D193" s="22"/>
      <c r="E193" s="22"/>
      <c r="F193" s="22"/>
      <c r="G193" s="22"/>
      <c r="H193" s="22"/>
      <c r="I193" s="22"/>
      <c r="J193" s="22"/>
    </row>
    <row r="194" customFormat="false" ht="15" hidden="false" customHeight="false" outlineLevel="0" collapsed="false">
      <c r="A194" s="40"/>
      <c r="B194" s="22"/>
      <c r="C194" s="22"/>
      <c r="D194" s="22"/>
      <c r="E194" s="22"/>
      <c r="F194" s="22"/>
      <c r="G194" s="22"/>
      <c r="H194" s="22"/>
      <c r="I194" s="22"/>
      <c r="J194" s="22"/>
    </row>
    <row r="195" customFormat="false" ht="15" hidden="false" customHeight="false" outlineLevel="0" collapsed="false">
      <c r="A195" s="40"/>
      <c r="B195" s="22"/>
      <c r="C195" s="22"/>
      <c r="D195" s="22"/>
      <c r="E195" s="22"/>
      <c r="F195" s="22"/>
      <c r="G195" s="22"/>
      <c r="H195" s="22"/>
      <c r="I195" s="22"/>
      <c r="J195" s="22"/>
    </row>
    <row r="196" customFormat="false" ht="15" hidden="false" customHeight="false" outlineLevel="0" collapsed="false">
      <c r="A196" s="40"/>
      <c r="B196" s="22"/>
      <c r="C196" s="22"/>
      <c r="D196" s="22"/>
      <c r="E196" s="22"/>
      <c r="F196" s="22"/>
      <c r="G196" s="22"/>
      <c r="H196" s="22"/>
      <c r="I196" s="22"/>
      <c r="J196" s="22"/>
    </row>
    <row r="197" customFormat="false" ht="15" hidden="false" customHeight="false" outlineLevel="0" collapsed="false">
      <c r="A197" s="40"/>
      <c r="B197" s="22"/>
      <c r="C197" s="22"/>
      <c r="D197" s="22"/>
      <c r="E197" s="22"/>
      <c r="F197" s="22"/>
      <c r="G197" s="22"/>
      <c r="H197" s="22"/>
      <c r="I197" s="22"/>
      <c r="J197" s="22"/>
    </row>
    <row r="198" customFormat="false" ht="15" hidden="false" customHeight="false" outlineLevel="0" collapsed="false">
      <c r="A198" s="40"/>
      <c r="B198" s="22"/>
      <c r="C198" s="22"/>
      <c r="D198" s="22"/>
      <c r="E198" s="22"/>
      <c r="F198" s="22"/>
      <c r="G198" s="22"/>
      <c r="H198" s="22"/>
      <c r="I198" s="22"/>
      <c r="J198" s="22"/>
    </row>
    <row r="199" customFormat="false" ht="15" hidden="false" customHeight="false" outlineLevel="0" collapsed="false">
      <c r="A199" s="40"/>
      <c r="B199" s="22"/>
      <c r="C199" s="22"/>
      <c r="D199" s="22"/>
      <c r="E199" s="22"/>
      <c r="F199" s="22"/>
      <c r="G199" s="22"/>
      <c r="H199" s="22"/>
      <c r="I199" s="22"/>
      <c r="J199" s="22"/>
    </row>
    <row r="200" customFormat="false" ht="15" hidden="false" customHeight="false" outlineLevel="0" collapsed="false">
      <c r="A200" s="40"/>
      <c r="B200" s="22"/>
      <c r="C200" s="22"/>
      <c r="D200" s="22"/>
      <c r="E200" s="22"/>
      <c r="F200" s="22"/>
      <c r="G200" s="22"/>
      <c r="H200" s="22"/>
      <c r="I200" s="22"/>
      <c r="J200" s="22"/>
    </row>
    <row r="201" customFormat="false" ht="15" hidden="false" customHeight="false" outlineLevel="0" collapsed="false">
      <c r="A201" s="40"/>
      <c r="B201" s="22"/>
      <c r="C201" s="22"/>
      <c r="D201" s="22"/>
      <c r="E201" s="22"/>
      <c r="F201" s="22"/>
      <c r="G201" s="22"/>
      <c r="H201" s="22"/>
      <c r="I201" s="22"/>
      <c r="J201" s="22"/>
    </row>
    <row r="202" customFormat="false" ht="15" hidden="false" customHeight="false" outlineLevel="0" collapsed="false">
      <c r="A202" s="40"/>
      <c r="B202" s="22"/>
      <c r="C202" s="22"/>
      <c r="D202" s="22"/>
      <c r="E202" s="22"/>
      <c r="F202" s="22"/>
      <c r="G202" s="22"/>
      <c r="H202" s="22"/>
      <c r="I202" s="22"/>
      <c r="J202" s="22"/>
    </row>
    <row r="203" customFormat="false" ht="15" hidden="false" customHeight="false" outlineLevel="0" collapsed="false">
      <c r="A203" s="40"/>
      <c r="B203" s="22"/>
      <c r="C203" s="22"/>
      <c r="D203" s="22"/>
      <c r="E203" s="22"/>
      <c r="F203" s="22"/>
      <c r="G203" s="22"/>
      <c r="H203" s="22"/>
      <c r="I203" s="22"/>
      <c r="J203" s="22"/>
    </row>
    <row r="204" customFormat="false" ht="15" hidden="false" customHeight="false" outlineLevel="0" collapsed="false">
      <c r="A204" s="40"/>
      <c r="B204" s="22"/>
      <c r="C204" s="22"/>
      <c r="D204" s="22"/>
      <c r="E204" s="22"/>
      <c r="F204" s="22"/>
      <c r="G204" s="22"/>
      <c r="H204" s="22"/>
      <c r="I204" s="22"/>
      <c r="J204" s="22"/>
    </row>
    <row r="205" customFormat="false" ht="15" hidden="false" customHeight="false" outlineLevel="0" collapsed="false">
      <c r="A205" s="40"/>
      <c r="B205" s="22"/>
      <c r="C205" s="22"/>
      <c r="D205" s="22"/>
      <c r="E205" s="22"/>
      <c r="F205" s="22"/>
      <c r="G205" s="22"/>
      <c r="H205" s="22"/>
      <c r="I205" s="22"/>
      <c r="J205" s="22"/>
    </row>
    <row r="206" customFormat="false" ht="15" hidden="false" customHeight="false" outlineLevel="0" collapsed="false">
      <c r="A206" s="40"/>
      <c r="B206" s="22"/>
      <c r="C206" s="22"/>
      <c r="D206" s="22"/>
      <c r="E206" s="22"/>
      <c r="F206" s="22"/>
      <c r="G206" s="22"/>
      <c r="H206" s="22"/>
      <c r="I206" s="22"/>
      <c r="J206" s="22"/>
    </row>
    <row r="207" customFormat="false" ht="15" hidden="false" customHeight="false" outlineLevel="0" collapsed="false">
      <c r="A207" s="40"/>
      <c r="B207" s="22"/>
      <c r="C207" s="22"/>
      <c r="D207" s="22"/>
      <c r="E207" s="22"/>
      <c r="F207" s="22"/>
      <c r="G207" s="22"/>
      <c r="H207" s="22"/>
      <c r="I207" s="22"/>
      <c r="J207" s="22"/>
    </row>
    <row r="208" customFormat="false" ht="15" hidden="false" customHeight="false" outlineLevel="0" collapsed="false">
      <c r="A208" s="40"/>
      <c r="B208" s="22"/>
      <c r="C208" s="22"/>
      <c r="D208" s="22"/>
      <c r="E208" s="22"/>
      <c r="F208" s="22"/>
      <c r="G208" s="22"/>
      <c r="H208" s="22"/>
      <c r="I208" s="22"/>
      <c r="J208" s="22"/>
    </row>
    <row r="209" customFormat="false" ht="15" hidden="false" customHeight="false" outlineLevel="0" collapsed="false">
      <c r="A209" s="40"/>
      <c r="B209" s="22"/>
      <c r="C209" s="22"/>
      <c r="D209" s="22"/>
      <c r="E209" s="22"/>
      <c r="F209" s="22"/>
      <c r="G209" s="22"/>
      <c r="H209" s="22"/>
      <c r="I209" s="22"/>
      <c r="J209" s="22"/>
    </row>
    <row r="210" customFormat="false" ht="15" hidden="false" customHeight="false" outlineLevel="0" collapsed="false">
      <c r="A210" s="40"/>
      <c r="B210" s="22"/>
      <c r="C210" s="22"/>
      <c r="D210" s="22"/>
      <c r="E210" s="22"/>
      <c r="F210" s="22"/>
      <c r="G210" s="22"/>
      <c r="H210" s="22"/>
      <c r="I210" s="22"/>
      <c r="J210" s="22"/>
    </row>
    <row r="211" customFormat="false" ht="15" hidden="false" customHeight="false" outlineLevel="0" collapsed="false">
      <c r="A211" s="40"/>
      <c r="B211" s="22"/>
      <c r="C211" s="22"/>
      <c r="D211" s="22"/>
      <c r="E211" s="22"/>
      <c r="F211" s="22"/>
      <c r="G211" s="22"/>
      <c r="H211" s="22"/>
      <c r="I211" s="22"/>
      <c r="J211" s="22"/>
    </row>
    <row r="212" customFormat="false" ht="15" hidden="false" customHeight="false" outlineLevel="0" collapsed="false">
      <c r="A212" s="40"/>
      <c r="B212" s="22"/>
      <c r="C212" s="22"/>
      <c r="D212" s="22"/>
      <c r="E212" s="22"/>
      <c r="F212" s="22"/>
      <c r="G212" s="22"/>
      <c r="H212" s="22"/>
      <c r="I212" s="22"/>
      <c r="J212" s="22"/>
    </row>
    <row r="213" customFormat="false" ht="15" hidden="false" customHeight="false" outlineLevel="0" collapsed="false">
      <c r="A213" s="40"/>
      <c r="B213" s="22"/>
      <c r="C213" s="22"/>
      <c r="D213" s="22"/>
      <c r="E213" s="22"/>
      <c r="F213" s="22"/>
      <c r="G213" s="22"/>
      <c r="H213" s="22"/>
      <c r="I213" s="22"/>
      <c r="J213" s="22"/>
    </row>
    <row r="214" customFormat="false" ht="15" hidden="false" customHeight="false" outlineLevel="0" collapsed="false">
      <c r="A214" s="40"/>
      <c r="B214" s="22"/>
      <c r="C214" s="22"/>
      <c r="D214" s="22"/>
      <c r="E214" s="22"/>
      <c r="F214" s="22"/>
      <c r="G214" s="22"/>
      <c r="H214" s="22"/>
      <c r="I214" s="22"/>
      <c r="J214" s="22"/>
    </row>
    <row r="215" customFormat="false" ht="15" hidden="false" customHeight="false" outlineLevel="0" collapsed="false">
      <c r="A215" s="40"/>
      <c r="B215" s="22"/>
      <c r="C215" s="22"/>
      <c r="D215" s="22"/>
      <c r="E215" s="22"/>
      <c r="F215" s="22"/>
      <c r="G215" s="22"/>
      <c r="H215" s="22"/>
      <c r="I215" s="22"/>
      <c r="J215" s="22"/>
    </row>
    <row r="216" customFormat="false" ht="15" hidden="false" customHeight="false" outlineLevel="0" collapsed="false">
      <c r="A216" s="40"/>
      <c r="B216" s="22"/>
      <c r="C216" s="22"/>
      <c r="D216" s="22"/>
      <c r="E216" s="22"/>
      <c r="F216" s="22"/>
      <c r="G216" s="22"/>
      <c r="H216" s="22"/>
      <c r="I216" s="22"/>
      <c r="J216" s="22"/>
    </row>
    <row r="217" customFormat="false" ht="15" hidden="false" customHeight="false" outlineLevel="0" collapsed="false">
      <c r="A217" s="40"/>
      <c r="B217" s="22"/>
      <c r="C217" s="22"/>
      <c r="D217" s="22"/>
      <c r="E217" s="22"/>
      <c r="F217" s="22"/>
      <c r="G217" s="22"/>
      <c r="H217" s="22"/>
      <c r="I217" s="22"/>
      <c r="J217" s="22"/>
    </row>
    <row r="218" customFormat="false" ht="15" hidden="false" customHeight="false" outlineLevel="0" collapsed="false">
      <c r="A218" s="40"/>
      <c r="B218" s="22"/>
      <c r="C218" s="22"/>
      <c r="D218" s="22"/>
      <c r="E218" s="22"/>
      <c r="F218" s="22"/>
      <c r="G218" s="22"/>
      <c r="H218" s="22"/>
      <c r="I218" s="22"/>
      <c r="J218" s="22"/>
    </row>
    <row r="219" customFormat="false" ht="15" hidden="false" customHeight="false" outlineLevel="0" collapsed="false">
      <c r="A219" s="40"/>
      <c r="B219" s="22"/>
      <c r="C219" s="22"/>
      <c r="D219" s="22"/>
      <c r="E219" s="22"/>
      <c r="F219" s="22"/>
      <c r="G219" s="22"/>
      <c r="H219" s="22"/>
      <c r="I219" s="22"/>
      <c r="J219" s="22"/>
    </row>
    <row r="220" customFormat="false" ht="15" hidden="false" customHeight="false" outlineLevel="0" collapsed="false">
      <c r="A220" s="40"/>
      <c r="B220" s="22"/>
      <c r="C220" s="22"/>
      <c r="D220" s="22"/>
      <c r="E220" s="22"/>
      <c r="F220" s="22"/>
      <c r="G220" s="22"/>
      <c r="H220" s="22"/>
      <c r="I220" s="22"/>
      <c r="J220" s="22"/>
    </row>
    <row r="221" customFormat="false" ht="15" hidden="false" customHeight="false" outlineLevel="0" collapsed="false">
      <c r="A221" s="40"/>
      <c r="B221" s="22"/>
      <c r="C221" s="22"/>
      <c r="D221" s="22"/>
      <c r="E221" s="22"/>
      <c r="F221" s="22"/>
      <c r="G221" s="22"/>
      <c r="H221" s="22"/>
      <c r="I221" s="22"/>
      <c r="J221" s="22"/>
    </row>
    <row r="222" customFormat="false" ht="15" hidden="false" customHeight="false" outlineLevel="0" collapsed="false">
      <c r="A222" s="40"/>
      <c r="B222" s="22"/>
      <c r="C222" s="22"/>
      <c r="D222" s="22"/>
      <c r="E222" s="22"/>
      <c r="F222" s="22"/>
      <c r="G222" s="22"/>
      <c r="H222" s="22"/>
      <c r="I222" s="22"/>
      <c r="J222" s="22"/>
    </row>
    <row r="223" customFormat="false" ht="15" hidden="false" customHeight="false" outlineLevel="0" collapsed="false">
      <c r="A223" s="40"/>
      <c r="B223" s="22"/>
      <c r="C223" s="22"/>
      <c r="D223" s="22"/>
      <c r="E223" s="22"/>
      <c r="F223" s="22"/>
      <c r="G223" s="22"/>
      <c r="H223" s="22"/>
      <c r="I223" s="22"/>
      <c r="J223" s="22"/>
    </row>
    <row r="224" customFormat="false" ht="15" hidden="false" customHeight="false" outlineLevel="0" collapsed="false">
      <c r="A224" s="40"/>
      <c r="B224" s="22"/>
      <c r="C224" s="22"/>
      <c r="D224" s="22"/>
      <c r="E224" s="22"/>
      <c r="F224" s="22"/>
      <c r="G224" s="22"/>
      <c r="H224" s="22"/>
      <c r="I224" s="22"/>
      <c r="J224" s="22"/>
    </row>
    <row r="225" customFormat="false" ht="15" hidden="false" customHeight="false" outlineLevel="0" collapsed="false">
      <c r="A225" s="40"/>
      <c r="B225" s="22"/>
      <c r="C225" s="22"/>
      <c r="D225" s="22"/>
      <c r="E225" s="22"/>
      <c r="F225" s="22"/>
      <c r="G225" s="22"/>
      <c r="H225" s="22"/>
      <c r="I225" s="22"/>
      <c r="J225" s="22"/>
    </row>
    <row r="226" customFormat="false" ht="15" hidden="false" customHeight="false" outlineLevel="0" collapsed="false">
      <c r="A226" s="40"/>
      <c r="B226" s="22"/>
      <c r="C226" s="22"/>
      <c r="D226" s="22"/>
      <c r="E226" s="22"/>
      <c r="F226" s="22"/>
      <c r="G226" s="22"/>
      <c r="H226" s="22"/>
      <c r="I226" s="22"/>
      <c r="J226" s="22"/>
    </row>
    <row r="227" customFormat="false" ht="15" hidden="false" customHeight="false" outlineLevel="0" collapsed="false">
      <c r="A227" s="40"/>
      <c r="B227" s="22"/>
      <c r="C227" s="22"/>
      <c r="D227" s="22"/>
      <c r="E227" s="22"/>
      <c r="F227" s="22"/>
      <c r="G227" s="22"/>
      <c r="H227" s="22"/>
      <c r="I227" s="22"/>
      <c r="J227" s="22"/>
    </row>
    <row r="228" customFormat="false" ht="15" hidden="false" customHeight="false" outlineLevel="0" collapsed="false">
      <c r="A228" s="40"/>
      <c r="B228" s="22"/>
      <c r="C228" s="22"/>
      <c r="D228" s="22"/>
      <c r="E228" s="22"/>
      <c r="F228" s="22"/>
      <c r="G228" s="22"/>
      <c r="H228" s="22"/>
      <c r="I228" s="22"/>
      <c r="J228" s="22"/>
    </row>
    <row r="229" customFormat="false" ht="15" hidden="false" customHeight="false" outlineLevel="0" collapsed="false">
      <c r="A229" s="40"/>
      <c r="B229" s="22"/>
      <c r="C229" s="22"/>
      <c r="D229" s="22"/>
      <c r="E229" s="22"/>
      <c r="F229" s="22"/>
      <c r="G229" s="22"/>
      <c r="H229" s="22"/>
      <c r="I229" s="22"/>
      <c r="J229" s="22"/>
    </row>
    <row r="230" customFormat="false" ht="15" hidden="false" customHeight="false" outlineLevel="0" collapsed="false">
      <c r="A230" s="40"/>
      <c r="B230" s="22"/>
      <c r="C230" s="22"/>
      <c r="D230" s="22"/>
      <c r="E230" s="22"/>
      <c r="F230" s="22"/>
      <c r="G230" s="22"/>
      <c r="H230" s="22"/>
      <c r="I230" s="22"/>
      <c r="J230" s="22"/>
    </row>
    <row r="231" customFormat="false" ht="15" hidden="false" customHeight="false" outlineLevel="0" collapsed="false">
      <c r="A231" s="40"/>
      <c r="B231" s="22"/>
      <c r="C231" s="22"/>
      <c r="D231" s="22"/>
      <c r="E231" s="22"/>
      <c r="F231" s="22"/>
      <c r="G231" s="22"/>
      <c r="H231" s="22"/>
      <c r="I231" s="22"/>
      <c r="J231" s="22"/>
    </row>
    <row r="232" customFormat="false" ht="15" hidden="false" customHeight="false" outlineLevel="0" collapsed="false">
      <c r="A232" s="40"/>
      <c r="B232" s="22"/>
      <c r="C232" s="22"/>
      <c r="D232" s="22"/>
      <c r="E232" s="22"/>
      <c r="F232" s="22"/>
      <c r="G232" s="22"/>
      <c r="H232" s="22"/>
      <c r="I232" s="22"/>
      <c r="J232" s="22"/>
    </row>
    <row r="233" customFormat="false" ht="15" hidden="false" customHeight="false" outlineLevel="0" collapsed="false">
      <c r="A233" s="40"/>
      <c r="B233" s="22"/>
      <c r="C233" s="22"/>
      <c r="D233" s="22"/>
      <c r="E233" s="22"/>
      <c r="F233" s="22"/>
      <c r="G233" s="22"/>
      <c r="H233" s="22"/>
      <c r="I233" s="22"/>
      <c r="J233" s="22"/>
    </row>
    <row r="234" customFormat="false" ht="15" hidden="false" customHeight="false" outlineLevel="0" collapsed="false">
      <c r="A234" s="40"/>
      <c r="B234" s="22"/>
      <c r="C234" s="22"/>
      <c r="D234" s="22"/>
      <c r="E234" s="22"/>
      <c r="F234" s="22"/>
      <c r="G234" s="22"/>
      <c r="H234" s="22"/>
      <c r="I234" s="22"/>
      <c r="J234" s="22"/>
    </row>
    <row r="235" customFormat="false" ht="15" hidden="false" customHeight="false" outlineLevel="0" collapsed="false">
      <c r="A235" s="40"/>
      <c r="B235" s="22"/>
      <c r="C235" s="22"/>
      <c r="D235" s="22"/>
      <c r="E235" s="22"/>
      <c r="F235" s="22"/>
      <c r="G235" s="22"/>
      <c r="H235" s="22"/>
      <c r="I235" s="22"/>
      <c r="J235" s="22"/>
    </row>
    <row r="236" customFormat="false" ht="15" hidden="false" customHeight="false" outlineLevel="0" collapsed="false">
      <c r="A236" s="40"/>
      <c r="B236" s="22"/>
      <c r="C236" s="22"/>
      <c r="D236" s="22"/>
      <c r="E236" s="22"/>
      <c r="F236" s="22"/>
      <c r="G236" s="22"/>
      <c r="H236" s="22"/>
      <c r="I236" s="22"/>
      <c r="J236" s="22"/>
    </row>
    <row r="237" customFormat="false" ht="15" hidden="false" customHeight="false" outlineLevel="0" collapsed="false">
      <c r="A237" s="40"/>
      <c r="B237" s="22"/>
      <c r="C237" s="22"/>
      <c r="D237" s="22"/>
      <c r="E237" s="22"/>
      <c r="F237" s="22"/>
      <c r="G237" s="22"/>
      <c r="H237" s="22"/>
      <c r="I237" s="22"/>
      <c r="J237" s="22"/>
    </row>
    <row r="238" customFormat="false" ht="15" hidden="false" customHeight="false" outlineLevel="0" collapsed="false">
      <c r="A238" s="40"/>
      <c r="B238" s="22"/>
      <c r="C238" s="22"/>
      <c r="D238" s="22"/>
      <c r="E238" s="22"/>
      <c r="F238" s="22"/>
      <c r="G238" s="22"/>
      <c r="H238" s="22"/>
      <c r="I238" s="22"/>
      <c r="J238" s="22"/>
    </row>
    <row r="239" customFormat="false" ht="15" hidden="false" customHeight="false" outlineLevel="0" collapsed="false">
      <c r="A239" s="40"/>
      <c r="B239" s="22"/>
      <c r="C239" s="22"/>
      <c r="D239" s="22"/>
      <c r="E239" s="22"/>
      <c r="F239" s="22"/>
      <c r="G239" s="22"/>
      <c r="H239" s="22"/>
      <c r="I239" s="22"/>
      <c r="J239" s="22"/>
    </row>
    <row r="240" customFormat="false" ht="15" hidden="false" customHeight="false" outlineLevel="0" collapsed="false">
      <c r="A240" s="40"/>
      <c r="B240" s="22"/>
      <c r="C240" s="22"/>
      <c r="D240" s="22"/>
      <c r="E240" s="22"/>
      <c r="F240" s="22"/>
      <c r="G240" s="22"/>
      <c r="H240" s="22"/>
      <c r="I240" s="22"/>
      <c r="J240" s="22"/>
    </row>
    <row r="241" customFormat="false" ht="15" hidden="false" customHeight="false" outlineLevel="0" collapsed="false">
      <c r="A241" s="40"/>
      <c r="B241" s="22"/>
      <c r="C241" s="22"/>
      <c r="D241" s="22"/>
      <c r="E241" s="22"/>
      <c r="F241" s="22"/>
      <c r="G241" s="22"/>
      <c r="H241" s="22"/>
      <c r="I241" s="22"/>
      <c r="J241" s="22"/>
    </row>
    <row r="242" customFormat="false" ht="15" hidden="false" customHeight="false" outlineLevel="0" collapsed="false">
      <c r="A242" s="40"/>
      <c r="B242" s="22"/>
      <c r="C242" s="22"/>
      <c r="D242" s="22"/>
      <c r="E242" s="22"/>
      <c r="F242" s="22"/>
      <c r="G242" s="22"/>
      <c r="H242" s="22"/>
      <c r="I242" s="22"/>
      <c r="J242" s="22"/>
    </row>
    <row r="243" customFormat="false" ht="15" hidden="false" customHeight="false" outlineLevel="0" collapsed="false">
      <c r="A243" s="40"/>
      <c r="B243" s="22"/>
      <c r="C243" s="22"/>
      <c r="D243" s="22"/>
      <c r="E243" s="22"/>
      <c r="F243" s="22"/>
      <c r="G243" s="22"/>
      <c r="H243" s="22"/>
      <c r="I243" s="22"/>
      <c r="J243" s="22"/>
    </row>
    <row r="244" customFormat="false" ht="15" hidden="false" customHeight="false" outlineLevel="0" collapsed="false">
      <c r="A244" s="40"/>
      <c r="B244" s="22"/>
      <c r="C244" s="22"/>
      <c r="D244" s="22"/>
      <c r="E244" s="22"/>
      <c r="F244" s="22"/>
      <c r="G244" s="22"/>
      <c r="H244" s="22"/>
      <c r="I244" s="22"/>
      <c r="J244" s="22"/>
    </row>
    <row r="245" customFormat="false" ht="15" hidden="false" customHeight="false" outlineLevel="0" collapsed="false">
      <c r="A245" s="40"/>
      <c r="B245" s="22"/>
      <c r="C245" s="22"/>
      <c r="D245" s="22"/>
      <c r="E245" s="22"/>
      <c r="F245" s="22"/>
      <c r="G245" s="22"/>
      <c r="H245" s="22"/>
      <c r="I245" s="22"/>
      <c r="J245" s="22"/>
    </row>
    <row r="246" customFormat="false" ht="15" hidden="false" customHeight="false" outlineLevel="0" collapsed="false">
      <c r="A246" s="40"/>
      <c r="B246" s="22"/>
      <c r="C246" s="22"/>
      <c r="D246" s="22"/>
      <c r="E246" s="22"/>
      <c r="F246" s="22"/>
      <c r="G246" s="22"/>
      <c r="H246" s="22"/>
      <c r="I246" s="22"/>
      <c r="J246" s="22"/>
    </row>
    <row r="247" customFormat="false" ht="15" hidden="false" customHeight="false" outlineLevel="0" collapsed="false">
      <c r="A247" s="40"/>
      <c r="B247" s="22"/>
      <c r="C247" s="22"/>
      <c r="D247" s="22"/>
      <c r="E247" s="22"/>
      <c r="F247" s="22"/>
      <c r="G247" s="22"/>
      <c r="H247" s="22"/>
      <c r="I247" s="22"/>
      <c r="J247" s="22"/>
    </row>
    <row r="248" customFormat="false" ht="15" hidden="false" customHeight="false" outlineLevel="0" collapsed="false">
      <c r="A248" s="40"/>
      <c r="B248" s="22"/>
      <c r="C248" s="22"/>
      <c r="D248" s="22"/>
      <c r="E248" s="22"/>
      <c r="F248" s="22"/>
      <c r="G248" s="22"/>
      <c r="H248" s="22"/>
      <c r="I248" s="22"/>
      <c r="J248" s="22"/>
    </row>
    <row r="249" customFormat="false" ht="15" hidden="false" customHeight="false" outlineLevel="0" collapsed="false">
      <c r="A249" s="40"/>
      <c r="B249" s="22"/>
      <c r="C249" s="22"/>
      <c r="D249" s="22"/>
      <c r="E249" s="22"/>
      <c r="F249" s="22"/>
      <c r="G249" s="22"/>
      <c r="H249" s="22"/>
      <c r="I249" s="22"/>
      <c r="J249" s="22"/>
    </row>
    <row r="250" customFormat="false" ht="15" hidden="false" customHeight="false" outlineLevel="0" collapsed="false">
      <c r="A250" s="40"/>
      <c r="B250" s="22"/>
      <c r="C250" s="22"/>
      <c r="D250" s="22"/>
      <c r="E250" s="22"/>
      <c r="F250" s="22"/>
      <c r="G250" s="22"/>
      <c r="H250" s="22"/>
      <c r="I250" s="22"/>
      <c r="J250" s="22"/>
    </row>
    <row r="251" customFormat="false" ht="15" hidden="false" customHeight="false" outlineLevel="0" collapsed="false">
      <c r="A251" s="40"/>
      <c r="B251" s="22"/>
      <c r="C251" s="22"/>
      <c r="D251" s="22"/>
      <c r="E251" s="22"/>
      <c r="F251" s="22"/>
      <c r="G251" s="22"/>
      <c r="H251" s="22"/>
      <c r="I251" s="22"/>
      <c r="J251" s="22"/>
    </row>
    <row r="252" customFormat="false" ht="15" hidden="false" customHeight="false" outlineLevel="0" collapsed="false">
      <c r="A252" s="40"/>
      <c r="B252" s="22"/>
      <c r="C252" s="22"/>
      <c r="D252" s="22"/>
      <c r="E252" s="22"/>
      <c r="F252" s="22"/>
      <c r="G252" s="22"/>
      <c r="H252" s="22"/>
      <c r="I252" s="22"/>
      <c r="J252" s="22"/>
    </row>
    <row r="253" customFormat="false" ht="15" hidden="false" customHeight="false" outlineLevel="0" collapsed="false">
      <c r="A253" s="40"/>
      <c r="B253" s="22"/>
      <c r="C253" s="22"/>
      <c r="D253" s="22"/>
      <c r="E253" s="22"/>
      <c r="F253" s="22"/>
      <c r="G253" s="22"/>
      <c r="H253" s="22"/>
      <c r="I253" s="22"/>
      <c r="J253" s="22"/>
    </row>
    <row r="254" customFormat="false" ht="15" hidden="false" customHeight="false" outlineLevel="0" collapsed="false">
      <c r="A254" s="40"/>
      <c r="B254" s="22"/>
      <c r="C254" s="22"/>
      <c r="D254" s="22"/>
      <c r="E254" s="22"/>
      <c r="F254" s="22"/>
      <c r="G254" s="22"/>
      <c r="H254" s="22"/>
      <c r="I254" s="22"/>
      <c r="J254" s="22"/>
    </row>
    <row r="255" customFormat="false" ht="15" hidden="false" customHeight="false" outlineLevel="0" collapsed="false">
      <c r="A255" s="40"/>
      <c r="B255" s="22"/>
      <c r="C255" s="22"/>
      <c r="D255" s="22"/>
      <c r="E255" s="22"/>
      <c r="F255" s="22"/>
      <c r="G255" s="22"/>
      <c r="H255" s="22"/>
      <c r="I255" s="22"/>
      <c r="J255" s="22"/>
    </row>
    <row r="256" customFormat="false" ht="15" hidden="false" customHeight="false" outlineLevel="0" collapsed="false">
      <c r="A256" s="40"/>
      <c r="B256" s="22"/>
      <c r="C256" s="22"/>
      <c r="D256" s="22"/>
      <c r="E256" s="22"/>
      <c r="F256" s="22"/>
      <c r="G256" s="22"/>
      <c r="H256" s="22"/>
      <c r="I256" s="22"/>
      <c r="J256" s="22"/>
    </row>
    <row r="257" customFormat="false" ht="15" hidden="false" customHeight="false" outlineLevel="0" collapsed="false">
      <c r="A257" s="40"/>
      <c r="B257" s="22"/>
      <c r="C257" s="22"/>
      <c r="D257" s="22"/>
      <c r="E257" s="22"/>
      <c r="F257" s="22"/>
      <c r="G257" s="22"/>
      <c r="H257" s="22"/>
      <c r="I257" s="22"/>
      <c r="J257" s="22"/>
    </row>
    <row r="258" customFormat="false" ht="15" hidden="false" customHeight="false" outlineLevel="0" collapsed="false">
      <c r="A258" s="40"/>
      <c r="B258" s="22"/>
      <c r="C258" s="22"/>
      <c r="D258" s="22"/>
      <c r="E258" s="22"/>
      <c r="F258" s="22"/>
      <c r="G258" s="22"/>
      <c r="H258" s="22"/>
      <c r="I258" s="22"/>
      <c r="J258" s="22"/>
    </row>
    <row r="259" customFormat="false" ht="15" hidden="false" customHeight="false" outlineLevel="0" collapsed="false">
      <c r="A259" s="40"/>
      <c r="B259" s="22"/>
      <c r="C259" s="22"/>
      <c r="D259" s="22"/>
      <c r="E259" s="22"/>
      <c r="F259" s="22"/>
      <c r="G259" s="22"/>
      <c r="H259" s="22"/>
      <c r="I259" s="22"/>
      <c r="J259" s="22"/>
    </row>
    <row r="260" customFormat="false" ht="15" hidden="false" customHeight="false" outlineLevel="0" collapsed="false">
      <c r="A260" s="40"/>
      <c r="B260" s="22"/>
      <c r="C260" s="22"/>
      <c r="D260" s="22"/>
      <c r="E260" s="22"/>
      <c r="F260" s="22"/>
      <c r="G260" s="22"/>
      <c r="H260" s="22"/>
      <c r="I260" s="22"/>
      <c r="J260" s="22"/>
    </row>
    <row r="261" customFormat="false" ht="15" hidden="false" customHeight="false" outlineLevel="0" collapsed="false">
      <c r="A261" s="40"/>
      <c r="B261" s="22"/>
      <c r="C261" s="22"/>
      <c r="D261" s="22"/>
      <c r="E261" s="22"/>
      <c r="F261" s="22"/>
      <c r="G261" s="22"/>
      <c r="H261" s="22"/>
      <c r="I261" s="22"/>
      <c r="J261" s="22"/>
    </row>
    <row r="262" customFormat="false" ht="15" hidden="false" customHeight="false" outlineLevel="0" collapsed="false">
      <c r="A262" s="40"/>
      <c r="B262" s="22"/>
      <c r="C262" s="22"/>
      <c r="D262" s="22"/>
      <c r="E262" s="22"/>
      <c r="F262" s="22"/>
      <c r="G262" s="22"/>
      <c r="H262" s="22"/>
      <c r="I262" s="22"/>
      <c r="J262" s="22"/>
    </row>
    <row r="263" customFormat="false" ht="15" hidden="false" customHeight="false" outlineLevel="0" collapsed="false">
      <c r="A263" s="40"/>
      <c r="B263" s="22"/>
      <c r="C263" s="22"/>
      <c r="D263" s="22"/>
      <c r="E263" s="22"/>
      <c r="F263" s="22"/>
      <c r="G263" s="22"/>
      <c r="H263" s="22"/>
      <c r="I263" s="22"/>
      <c r="J263" s="22"/>
    </row>
    <row r="264" customFormat="false" ht="15" hidden="false" customHeight="false" outlineLevel="0" collapsed="false">
      <c r="A264" s="40"/>
      <c r="B264" s="22"/>
      <c r="C264" s="22"/>
      <c r="D264" s="22"/>
      <c r="E264" s="22"/>
      <c r="F264" s="22"/>
      <c r="G264" s="22"/>
      <c r="H264" s="22"/>
      <c r="I264" s="22"/>
      <c r="J264" s="22"/>
    </row>
    <row r="265" customFormat="false" ht="15" hidden="false" customHeight="false" outlineLevel="0" collapsed="false">
      <c r="A265" s="40"/>
      <c r="B265" s="22"/>
      <c r="C265" s="22"/>
      <c r="D265" s="22"/>
      <c r="E265" s="22"/>
      <c r="F265" s="22"/>
      <c r="G265" s="22"/>
      <c r="H265" s="22"/>
      <c r="I265" s="22"/>
      <c r="J265" s="22"/>
    </row>
    <row r="266" customFormat="false" ht="15" hidden="false" customHeight="false" outlineLevel="0" collapsed="false">
      <c r="A266" s="40"/>
      <c r="B266" s="22"/>
      <c r="C266" s="22"/>
      <c r="D266" s="22"/>
      <c r="E266" s="22"/>
      <c r="F266" s="22"/>
      <c r="G266" s="22"/>
      <c r="H266" s="22"/>
      <c r="I266" s="22"/>
      <c r="J266" s="22"/>
    </row>
    <row r="267" customFormat="false" ht="15" hidden="false" customHeight="false" outlineLevel="0" collapsed="false">
      <c r="A267" s="40"/>
      <c r="B267" s="22"/>
      <c r="C267" s="22"/>
      <c r="D267" s="22"/>
      <c r="E267" s="22"/>
      <c r="F267" s="22"/>
      <c r="G267" s="22"/>
      <c r="H267" s="22"/>
      <c r="I267" s="22"/>
      <c r="J267" s="22"/>
    </row>
    <row r="268" customFormat="false" ht="15" hidden="false" customHeight="false" outlineLevel="0" collapsed="false">
      <c r="A268" s="40"/>
      <c r="B268" s="22"/>
      <c r="C268" s="22"/>
      <c r="D268" s="22"/>
      <c r="E268" s="22"/>
      <c r="F268" s="22"/>
      <c r="G268" s="22"/>
      <c r="H268" s="22"/>
      <c r="I268" s="22"/>
      <c r="J268" s="22"/>
    </row>
    <row r="269" customFormat="false" ht="15" hidden="false" customHeight="false" outlineLevel="0" collapsed="false">
      <c r="A269" s="40"/>
      <c r="B269" s="22"/>
      <c r="C269" s="22"/>
      <c r="D269" s="22"/>
      <c r="E269" s="22"/>
      <c r="F269" s="22"/>
      <c r="G269" s="22"/>
      <c r="H269" s="22"/>
      <c r="I269" s="22"/>
      <c r="J269" s="22"/>
    </row>
    <row r="270" customFormat="false" ht="15" hidden="false" customHeight="false" outlineLevel="0" collapsed="false">
      <c r="A270" s="40"/>
      <c r="B270" s="22"/>
      <c r="C270" s="22"/>
      <c r="D270" s="22"/>
      <c r="E270" s="22"/>
      <c r="F270" s="22"/>
      <c r="G270" s="22"/>
      <c r="H270" s="22"/>
      <c r="I270" s="22"/>
      <c r="J270" s="22"/>
    </row>
    <row r="271" customFormat="false" ht="15" hidden="false" customHeight="false" outlineLevel="0" collapsed="false">
      <c r="A271" s="40"/>
      <c r="B271" s="22"/>
      <c r="C271" s="22"/>
      <c r="D271" s="22"/>
      <c r="E271" s="22"/>
      <c r="F271" s="22"/>
      <c r="G271" s="22"/>
      <c r="H271" s="22"/>
      <c r="I271" s="22"/>
      <c r="J271" s="22"/>
    </row>
    <row r="272" customFormat="false" ht="15" hidden="false" customHeight="false" outlineLevel="0" collapsed="false">
      <c r="A272" s="40"/>
      <c r="B272" s="22"/>
      <c r="C272" s="22"/>
      <c r="D272" s="22"/>
      <c r="E272" s="22"/>
      <c r="F272" s="22"/>
      <c r="G272" s="22"/>
      <c r="H272" s="22"/>
      <c r="I272" s="22"/>
      <c r="J272" s="22"/>
    </row>
    <row r="273" customFormat="false" ht="15" hidden="false" customHeight="false" outlineLevel="0" collapsed="false">
      <c r="A273" s="40"/>
      <c r="B273" s="22"/>
      <c r="C273" s="22"/>
      <c r="D273" s="22"/>
      <c r="E273" s="22"/>
      <c r="F273" s="22"/>
      <c r="G273" s="22"/>
      <c r="H273" s="22"/>
      <c r="I273" s="22"/>
      <c r="J273" s="22"/>
    </row>
    <row r="274" customFormat="false" ht="15" hidden="false" customHeight="false" outlineLevel="0" collapsed="false">
      <c r="A274" s="40"/>
      <c r="B274" s="22"/>
      <c r="C274" s="22"/>
      <c r="D274" s="22"/>
      <c r="E274" s="22"/>
      <c r="F274" s="22"/>
      <c r="G274" s="22"/>
      <c r="H274" s="22"/>
      <c r="I274" s="22"/>
      <c r="J274" s="22"/>
    </row>
    <row r="275" customFormat="false" ht="15" hidden="false" customHeight="false" outlineLevel="0" collapsed="false">
      <c r="A275" s="40"/>
      <c r="B275" s="22"/>
      <c r="C275" s="22"/>
      <c r="D275" s="22"/>
      <c r="E275" s="22"/>
      <c r="F275" s="22"/>
      <c r="G275" s="22"/>
      <c r="H275" s="22"/>
      <c r="I275" s="22"/>
      <c r="J275" s="22"/>
    </row>
    <row r="276" customFormat="false" ht="15" hidden="false" customHeight="false" outlineLevel="0" collapsed="false">
      <c r="A276" s="40"/>
      <c r="B276" s="22"/>
      <c r="C276" s="22"/>
      <c r="D276" s="22"/>
      <c r="E276" s="22"/>
      <c r="F276" s="22"/>
      <c r="G276" s="22"/>
      <c r="H276" s="22"/>
      <c r="I276" s="22"/>
      <c r="J276" s="22"/>
    </row>
    <row r="277" customFormat="false" ht="15" hidden="false" customHeight="false" outlineLevel="0" collapsed="false">
      <c r="A277" s="40"/>
      <c r="B277" s="22"/>
      <c r="C277" s="22"/>
      <c r="D277" s="22"/>
      <c r="E277" s="22"/>
      <c r="F277" s="22"/>
      <c r="G277" s="22"/>
      <c r="H277" s="22"/>
      <c r="I277" s="22"/>
      <c r="J277" s="22"/>
    </row>
    <row r="278" customFormat="false" ht="15" hidden="false" customHeight="false" outlineLevel="0" collapsed="false">
      <c r="A278" s="40"/>
      <c r="B278" s="22"/>
      <c r="C278" s="22"/>
      <c r="D278" s="22"/>
      <c r="E278" s="22"/>
      <c r="F278" s="22"/>
      <c r="G278" s="22"/>
      <c r="H278" s="22"/>
      <c r="I278" s="22"/>
      <c r="J278" s="22"/>
    </row>
    <row r="279" customFormat="false" ht="15" hidden="false" customHeight="false" outlineLevel="0" collapsed="false">
      <c r="A279" s="40"/>
      <c r="B279" s="22"/>
      <c r="C279" s="22"/>
      <c r="D279" s="22"/>
      <c r="E279" s="22"/>
      <c r="F279" s="22"/>
      <c r="G279" s="22"/>
      <c r="H279" s="22"/>
      <c r="I279" s="22"/>
      <c r="J279" s="22"/>
    </row>
    <row r="280" customFormat="false" ht="15" hidden="false" customHeight="false" outlineLevel="0" collapsed="false">
      <c r="A280" s="40"/>
      <c r="B280" s="22"/>
      <c r="C280" s="22"/>
      <c r="D280" s="22"/>
      <c r="E280" s="22"/>
      <c r="F280" s="22"/>
      <c r="G280" s="22"/>
      <c r="H280" s="22"/>
      <c r="I280" s="22"/>
      <c r="J280" s="22"/>
    </row>
    <row r="281" customFormat="false" ht="15" hidden="false" customHeight="false" outlineLevel="0" collapsed="false">
      <c r="A281" s="40"/>
      <c r="B281" s="22"/>
      <c r="C281" s="22"/>
      <c r="D281" s="22"/>
      <c r="E281" s="22"/>
      <c r="F281" s="22"/>
      <c r="G281" s="22"/>
      <c r="H281" s="22"/>
      <c r="I281" s="22"/>
      <c r="J281" s="22"/>
    </row>
    <row r="282" customFormat="false" ht="15" hidden="false" customHeight="false" outlineLevel="0" collapsed="false">
      <c r="A282" s="40"/>
      <c r="B282" s="22"/>
      <c r="C282" s="22"/>
      <c r="D282" s="22"/>
      <c r="E282" s="22"/>
      <c r="F282" s="22"/>
      <c r="G282" s="22"/>
      <c r="H282" s="22"/>
      <c r="I282" s="22"/>
      <c r="J282" s="22"/>
    </row>
    <row r="283" customFormat="false" ht="15" hidden="false" customHeight="false" outlineLevel="0" collapsed="false">
      <c r="A283" s="40"/>
      <c r="B283" s="22"/>
      <c r="C283" s="22"/>
      <c r="D283" s="22"/>
      <c r="E283" s="22"/>
      <c r="F283" s="22"/>
      <c r="G283" s="22"/>
      <c r="H283" s="22"/>
      <c r="I283" s="22"/>
      <c r="J283" s="22"/>
    </row>
    <row r="284" customFormat="false" ht="15" hidden="false" customHeight="false" outlineLevel="0" collapsed="false">
      <c r="A284" s="40"/>
      <c r="B284" s="22"/>
      <c r="C284" s="22"/>
      <c r="D284" s="22"/>
      <c r="E284" s="22"/>
      <c r="F284" s="22"/>
      <c r="G284" s="22"/>
      <c r="H284" s="22"/>
      <c r="I284" s="22"/>
      <c r="J284" s="22"/>
    </row>
    <row r="285" customFormat="false" ht="15" hidden="false" customHeight="false" outlineLevel="0" collapsed="false">
      <c r="A285" s="40"/>
      <c r="B285" s="22"/>
      <c r="C285" s="22"/>
      <c r="D285" s="22"/>
      <c r="E285" s="22"/>
      <c r="F285" s="22"/>
      <c r="G285" s="22"/>
      <c r="H285" s="22"/>
      <c r="I285" s="22"/>
      <c r="J285" s="22"/>
    </row>
    <row r="286" customFormat="false" ht="15" hidden="false" customHeight="false" outlineLevel="0" collapsed="false">
      <c r="A286" s="40"/>
      <c r="B286" s="22"/>
      <c r="C286" s="22"/>
      <c r="D286" s="22"/>
      <c r="E286" s="22"/>
      <c r="F286" s="22"/>
      <c r="G286" s="22"/>
      <c r="H286" s="22"/>
      <c r="I286" s="22"/>
      <c r="J286" s="22"/>
    </row>
    <row r="287" customFormat="false" ht="15" hidden="false" customHeight="false" outlineLevel="0" collapsed="false">
      <c r="A287" s="40"/>
      <c r="B287" s="22"/>
      <c r="C287" s="22"/>
      <c r="D287" s="22"/>
      <c r="E287" s="22"/>
      <c r="F287" s="22"/>
      <c r="G287" s="22"/>
      <c r="H287" s="22"/>
      <c r="I287" s="22"/>
      <c r="J287" s="22"/>
    </row>
    <row r="288" customFormat="false" ht="15" hidden="false" customHeight="false" outlineLevel="0" collapsed="false">
      <c r="A288" s="40"/>
      <c r="B288" s="22"/>
      <c r="C288" s="22"/>
      <c r="D288" s="22"/>
      <c r="E288" s="22"/>
      <c r="F288" s="22"/>
      <c r="G288" s="22"/>
      <c r="H288" s="22"/>
      <c r="I288" s="22"/>
      <c r="J288" s="22"/>
    </row>
    <row r="289" customFormat="false" ht="15" hidden="false" customHeight="false" outlineLevel="0" collapsed="false">
      <c r="A289" s="40"/>
      <c r="B289" s="22"/>
      <c r="C289" s="22"/>
      <c r="D289" s="22"/>
      <c r="E289" s="22"/>
      <c r="F289" s="22"/>
      <c r="G289" s="22"/>
      <c r="H289" s="22"/>
      <c r="I289" s="22"/>
      <c r="J289" s="22"/>
    </row>
    <row r="290" customFormat="false" ht="15" hidden="false" customHeight="false" outlineLevel="0" collapsed="false">
      <c r="A290" s="40"/>
      <c r="B290" s="22"/>
      <c r="C290" s="22"/>
      <c r="D290" s="22"/>
      <c r="E290" s="22"/>
      <c r="F290" s="22"/>
      <c r="G290" s="22"/>
      <c r="H290" s="22"/>
      <c r="I290" s="22"/>
      <c r="J290" s="22"/>
    </row>
    <row r="291" customFormat="false" ht="15" hidden="false" customHeight="false" outlineLevel="0" collapsed="false">
      <c r="A291" s="40"/>
      <c r="B291" s="22"/>
      <c r="C291" s="22"/>
      <c r="D291" s="22"/>
      <c r="E291" s="22"/>
      <c r="F291" s="22"/>
      <c r="G291" s="22"/>
      <c r="H291" s="22"/>
      <c r="I291" s="22"/>
      <c r="J291" s="22"/>
    </row>
    <row r="292" customFormat="false" ht="15" hidden="false" customHeight="false" outlineLevel="0" collapsed="false">
      <c r="A292" s="40"/>
      <c r="B292" s="22"/>
      <c r="C292" s="22"/>
      <c r="D292" s="22"/>
      <c r="E292" s="22"/>
      <c r="F292" s="22"/>
      <c r="G292" s="22"/>
      <c r="H292" s="22"/>
      <c r="I292" s="22"/>
      <c r="J292" s="22"/>
    </row>
    <row r="293" customFormat="false" ht="15" hidden="false" customHeight="false" outlineLevel="0" collapsed="false">
      <c r="A293" s="40"/>
      <c r="B293" s="22"/>
      <c r="C293" s="22"/>
      <c r="D293" s="22"/>
      <c r="E293" s="22"/>
      <c r="F293" s="22"/>
      <c r="G293" s="22"/>
      <c r="H293" s="22"/>
      <c r="I293" s="22"/>
      <c r="J293" s="22"/>
    </row>
    <row r="294" customFormat="false" ht="15" hidden="false" customHeight="false" outlineLevel="0" collapsed="false">
      <c r="A294" s="40"/>
      <c r="B294" s="22"/>
      <c r="C294" s="22"/>
      <c r="D294" s="22"/>
      <c r="E294" s="22"/>
      <c r="F294" s="22"/>
      <c r="G294" s="22"/>
      <c r="H294" s="22"/>
      <c r="I294" s="22"/>
      <c r="J294" s="22"/>
    </row>
    <row r="295" customFormat="false" ht="15" hidden="false" customHeight="false" outlineLevel="0" collapsed="false">
      <c r="A295" s="40"/>
      <c r="B295" s="22"/>
      <c r="C295" s="22"/>
      <c r="D295" s="22"/>
      <c r="E295" s="22"/>
      <c r="F295" s="22"/>
      <c r="G295" s="22"/>
      <c r="H295" s="22"/>
      <c r="I295" s="22"/>
      <c r="J295" s="22"/>
    </row>
    <row r="296" customFormat="false" ht="15" hidden="false" customHeight="false" outlineLevel="0" collapsed="false">
      <c r="A296" s="40"/>
      <c r="B296" s="22"/>
      <c r="C296" s="22"/>
      <c r="D296" s="22"/>
      <c r="E296" s="22"/>
      <c r="F296" s="22"/>
      <c r="G296" s="22"/>
      <c r="H296" s="22"/>
      <c r="I296" s="22"/>
      <c r="J296" s="22"/>
    </row>
    <row r="297" customFormat="false" ht="15" hidden="false" customHeight="false" outlineLevel="0" collapsed="false">
      <c r="A297" s="40"/>
      <c r="B297" s="22"/>
      <c r="C297" s="22"/>
      <c r="D297" s="22"/>
      <c r="E297" s="22"/>
      <c r="F297" s="22"/>
      <c r="G297" s="22"/>
      <c r="H297" s="22"/>
      <c r="I297" s="22"/>
      <c r="J297" s="22"/>
    </row>
    <row r="298" customFormat="false" ht="15" hidden="false" customHeight="false" outlineLevel="0" collapsed="false">
      <c r="A298" s="40"/>
      <c r="B298" s="22"/>
      <c r="C298" s="22"/>
      <c r="D298" s="22"/>
      <c r="E298" s="22"/>
      <c r="F298" s="22"/>
      <c r="G298" s="22"/>
      <c r="H298" s="22"/>
      <c r="I298" s="22"/>
      <c r="J298" s="22"/>
    </row>
    <row r="299" customFormat="false" ht="15" hidden="false" customHeight="false" outlineLevel="0" collapsed="false">
      <c r="A299" s="40"/>
      <c r="B299" s="22"/>
      <c r="C299" s="22"/>
      <c r="D299" s="22"/>
      <c r="E299" s="22"/>
      <c r="F299" s="22"/>
      <c r="G299" s="22"/>
      <c r="H299" s="22"/>
      <c r="I299" s="22"/>
      <c r="J299" s="22"/>
    </row>
    <row r="300" customFormat="false" ht="15" hidden="false" customHeight="false" outlineLevel="0" collapsed="false">
      <c r="A300" s="40"/>
      <c r="B300" s="22"/>
      <c r="C300" s="22"/>
      <c r="D300" s="22"/>
      <c r="E300" s="22"/>
      <c r="F300" s="22"/>
      <c r="G300" s="22"/>
      <c r="H300" s="22"/>
      <c r="I300" s="22"/>
      <c r="J300" s="22"/>
    </row>
    <row r="301" customFormat="false" ht="15" hidden="false" customHeight="false" outlineLevel="0" collapsed="false">
      <c r="A301" s="40"/>
      <c r="B301" s="22"/>
      <c r="C301" s="22"/>
      <c r="D301" s="22"/>
      <c r="E301" s="22"/>
      <c r="F301" s="22"/>
      <c r="G301" s="22"/>
      <c r="H301" s="22"/>
      <c r="I301" s="22"/>
      <c r="J301" s="22"/>
    </row>
    <row r="302" customFormat="false" ht="15" hidden="false" customHeight="false" outlineLevel="0" collapsed="false">
      <c r="A302" s="40"/>
      <c r="B302" s="22"/>
      <c r="C302" s="22"/>
      <c r="D302" s="22"/>
      <c r="E302" s="22"/>
      <c r="F302" s="22"/>
      <c r="G302" s="22"/>
      <c r="H302" s="22"/>
      <c r="I302" s="22"/>
      <c r="J302" s="22"/>
    </row>
    <row r="303" customFormat="false" ht="15" hidden="false" customHeight="false" outlineLevel="0" collapsed="false">
      <c r="A303" s="40"/>
      <c r="B303" s="22"/>
      <c r="C303" s="22"/>
      <c r="D303" s="22"/>
      <c r="E303" s="22"/>
      <c r="F303" s="22"/>
      <c r="G303" s="22"/>
      <c r="H303" s="22"/>
      <c r="I303" s="22"/>
      <c r="J303" s="22"/>
    </row>
    <row r="304" customFormat="false" ht="15" hidden="false" customHeight="false" outlineLevel="0" collapsed="false">
      <c r="A304" s="40"/>
      <c r="B304" s="22"/>
      <c r="C304" s="22"/>
      <c r="D304" s="22"/>
      <c r="E304" s="22"/>
      <c r="F304" s="22"/>
      <c r="G304" s="22"/>
      <c r="H304" s="22"/>
      <c r="I304" s="22"/>
      <c r="J304" s="22"/>
    </row>
    <row r="305" customFormat="false" ht="15" hidden="false" customHeight="false" outlineLevel="0" collapsed="false">
      <c r="A305" s="40"/>
      <c r="B305" s="22"/>
      <c r="C305" s="22"/>
      <c r="D305" s="22"/>
      <c r="E305" s="22"/>
      <c r="F305" s="22"/>
      <c r="G305" s="22"/>
      <c r="H305" s="22"/>
      <c r="I305" s="22"/>
      <c r="J305" s="22"/>
    </row>
  </sheetData>
  <autoFilter ref="A4:J305"/>
  <conditionalFormatting sqref="A5:J305">
    <cfRule type="expression" priority="2" aboveAverage="0" equalAverage="0" bottom="0" percent="0" rank="0" text="" dxfId="7">
      <formula>$H5="Aprovada (levar à matriz)"</formula>
    </cfRule>
    <cfRule type="expression" priority="3" aboveAverage="0" equalAverage="0" bottom="0" percent="0" rank="0" text="" dxfId="8">
      <formula>$H5="Descartada"</formula>
    </cfRule>
  </conditionalFormatting>
  <dataValidations count="5">
    <dataValidation allowBlank="true" errorStyle="stop" operator="between" showDropDown="false" showErrorMessage="false" showInputMessage="false" sqref="C5:C305" type="list">
      <formula1>Listas!$A$2:$A$60</formula1>
      <formula2>0</formula2>
    </dataValidation>
    <dataValidation allowBlank="true" errorStyle="stop" operator="between" showDropDown="false" showErrorMessage="false" showInputMessage="false" sqref="D5:D305" type="list">
      <formula1>Listas!$B$2:$B$20</formula1>
      <formula2>0</formula2>
    </dataValidation>
    <dataValidation allowBlank="true" errorStyle="stop" operator="between" showDropDown="false" showErrorMessage="false" showInputMessage="false" sqref="F5:F305" type="list">
      <formula1>Listas!$C$2:$C$20</formula1>
      <formula2>0</formula2>
    </dataValidation>
    <dataValidation allowBlank="true" errorStyle="stop" operator="between" showDropDown="false" showErrorMessage="false" showInputMessage="false" sqref="H5:H305" type="list">
      <formula1>Listas!$D$2:$D$10</formula1>
      <formula2>0</formula2>
    </dataValidation>
    <dataValidation allowBlank="true" errorStyle="stop" operator="greaterThanOrEqual" showDropDown="false" showErrorMessage="false" showInputMessage="false" sqref="I5:I305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D6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34"/>
  </cols>
  <sheetData>
    <row r="1" customFormat="false" ht="15" hidden="false" customHeight="false" outlineLevel="0" collapsed="false">
      <c r="A1" s="41" t="s">
        <v>1340</v>
      </c>
      <c r="B1" s="41" t="s">
        <v>1341</v>
      </c>
      <c r="C1" s="41" t="s">
        <v>1342</v>
      </c>
      <c r="D1" s="41" t="s">
        <v>102</v>
      </c>
    </row>
    <row r="2" customFormat="false" ht="15" hidden="false" customHeight="false" outlineLevel="0" collapsed="false">
      <c r="A2" s="39" t="str">
        <f aca="false">IF(Nichos!A4="","",Nichos!A4)</f>
        <v>Varejo de Moda e Vitrines</v>
      </c>
      <c r="B2" s="39" t="s">
        <v>340</v>
      </c>
      <c r="C2" s="39" t="s">
        <v>46</v>
      </c>
      <c r="D2" s="39" t="s">
        <v>1336</v>
      </c>
    </row>
    <row r="3" customFormat="false" ht="15" hidden="false" customHeight="false" outlineLevel="0" collapsed="false">
      <c r="A3" s="39" t="str">
        <f aca="false">IF(Nichos!A5="","",Nichos!A5)</f>
        <v>Supermercados, Atacarejos e Home Centers</v>
      </c>
      <c r="B3" s="39" t="s">
        <v>1343</v>
      </c>
      <c r="C3" s="39" t="s">
        <v>52</v>
      </c>
      <c r="D3" s="39" t="s">
        <v>1335</v>
      </c>
    </row>
    <row r="4" customFormat="false" ht="15" hidden="false" customHeight="false" outlineLevel="0" collapsed="false">
      <c r="A4" s="39" t="str">
        <f aca="false">IF(Nichos!A6="","",Nichos!A6)</f>
        <v>Farmácias e Drogarias</v>
      </c>
      <c r="B4" s="39" t="s">
        <v>345</v>
      </c>
      <c r="C4" s="39" t="s">
        <v>58</v>
      </c>
      <c r="D4" s="39" t="s">
        <v>1337</v>
      </c>
    </row>
    <row r="5" customFormat="false" ht="15" hidden="false" customHeight="false" outlineLevel="0" collapsed="false">
      <c r="A5" s="39" t="str">
        <f aca="false">IF(Nichos!A7="","",Nichos!A7)</f>
        <v>Postos de Combustível e Conveniência</v>
      </c>
      <c r="B5" s="39" t="s">
        <v>1344</v>
      </c>
      <c r="C5" s="39" t="s">
        <v>64</v>
      </c>
      <c r="D5" s="39" t="s">
        <v>1338</v>
      </c>
    </row>
    <row r="6" customFormat="false" ht="15" hidden="false" customHeight="false" outlineLevel="0" collapsed="false">
      <c r="A6" s="39" t="str">
        <f aca="false">IF(Nichos!A8="","",Nichos!A8)</f>
        <v>DOOH e Investidores de Mídia</v>
      </c>
      <c r="B6" s="39" t="s">
        <v>1345</v>
      </c>
      <c r="C6" s="39" t="s">
        <v>70</v>
      </c>
      <c r="D6" s="39"/>
    </row>
    <row r="7" customFormat="false" ht="15" hidden="false" customHeight="false" outlineLevel="0" collapsed="false">
      <c r="A7" s="39" t="str">
        <f aca="false">IF(Nichos!A9="","",Nichos!A9)</f>
        <v>Shopping Centers</v>
      </c>
      <c r="B7" s="39" t="s">
        <v>1346</v>
      </c>
      <c r="C7" s="39" t="s">
        <v>76</v>
      </c>
      <c r="D7" s="39"/>
    </row>
    <row r="8" customFormat="false" ht="15" hidden="false" customHeight="false" outlineLevel="0" collapsed="false">
      <c r="A8" s="39" t="str">
        <f aca="false">IF(Nichos!A10="","",Nichos!A10)</f>
        <v>Concessionárias de Veículos</v>
      </c>
      <c r="B8" s="39" t="s">
        <v>341</v>
      </c>
      <c r="C8" s="39" t="s">
        <v>82</v>
      </c>
      <c r="D8" s="39"/>
    </row>
    <row r="9" customFormat="false" ht="15" hidden="false" customHeight="false" outlineLevel="0" collapsed="false">
      <c r="A9" s="39" t="str">
        <f aca="false">IF(Nichos!A11="","",Nichos!A11)</f>
        <v>Construtoras e Stands de Vendas</v>
      </c>
      <c r="B9" s="39" t="s">
        <v>1347</v>
      </c>
      <c r="C9" s="39" t="s">
        <v>88</v>
      </c>
      <c r="D9" s="39"/>
    </row>
    <row r="10" customFormat="false" ht="15" hidden="false" customHeight="false" outlineLevel="0" collapsed="false">
      <c r="A10" s="39" t="str">
        <f aca="false">IF(Nichos!A12="","",Nichos!A12)</f>
        <v>Franquias e Redes</v>
      </c>
      <c r="B10" s="39"/>
      <c r="C10" s="39"/>
      <c r="D10" s="39"/>
    </row>
    <row r="11" customFormat="false" ht="15" hidden="false" customHeight="false" outlineLevel="0" collapsed="false">
      <c r="A11" s="39" t="str">
        <f aca="false">IF(Nichos!A13="","",Nichos!A13)</f>
        <v>Bares, Restaurantes e Food Service</v>
      </c>
      <c r="B11" s="39"/>
      <c r="C11" s="39"/>
      <c r="D11" s="39"/>
    </row>
    <row r="12" customFormat="false" ht="15" hidden="false" customHeight="false" outlineLevel="0" collapsed="false">
      <c r="A12" s="39" t="str">
        <f aca="false">IF(Nichos!A14="","",Nichos!A14)</f>
        <v>Igrejas e Centros Religiosos</v>
      </c>
      <c r="B12" s="39"/>
      <c r="C12" s="39"/>
      <c r="D12" s="39"/>
    </row>
    <row r="13" customFormat="false" ht="15" hidden="false" customHeight="false" outlineLevel="0" collapsed="false">
      <c r="A13" s="39" t="str">
        <f aca="false">IF(Nichos!A15="","",Nichos!A15)</f>
        <v>Hotéis, Parques, Clubes e Piscinas</v>
      </c>
      <c r="B13" s="39"/>
      <c r="C13" s="39"/>
      <c r="D13" s="39"/>
    </row>
    <row r="14" customFormat="false" ht="15" hidden="false" customHeight="false" outlineLevel="0" collapsed="false">
      <c r="A14" s="39" t="str">
        <f aca="false">IF(Nichos!A16="","",Nichos!A16)</f>
        <v>Eventos, Agências e Produtoras</v>
      </c>
      <c r="B14" s="39"/>
      <c r="C14" s="39"/>
      <c r="D14" s="39"/>
    </row>
    <row r="15" customFormat="false" ht="15" hidden="false" customHeight="false" outlineLevel="0" collapsed="false">
      <c r="A15" s="39" t="str">
        <f aca="false">IF(Nichos!A17="","",Nichos!A17)</f>
        <v>Corporativo (Comunicação Interna e Recepções)</v>
      </c>
      <c r="B15" s="39"/>
      <c r="C15" s="39"/>
      <c r="D15" s="39"/>
    </row>
    <row r="16" customFormat="false" ht="15" hidden="false" customHeight="false" outlineLevel="0" collapsed="false">
      <c r="A16" s="39" t="str">
        <f aca="false">IF(Nichos!A18="","",Nichos!A18)</f>
        <v>Educação (Escolas, Faculdades e Universidades)</v>
      </c>
      <c r="B16" s="39"/>
      <c r="C16" s="39"/>
      <c r="D16" s="39"/>
    </row>
    <row r="17" customFormat="false" ht="15" hidden="false" customHeight="false" outlineLevel="0" collapsed="false">
      <c r="A17" s="39" t="str">
        <f aca="false">IF(Nichos!A19="","",Nichos!A19)</f>
        <v>Saúde (Hospitais, Clínicas e Laboratórios)</v>
      </c>
      <c r="B17" s="39"/>
      <c r="C17" s="39"/>
      <c r="D17" s="39"/>
    </row>
    <row r="18" customFormat="false" ht="15" hidden="false" customHeight="false" outlineLevel="0" collapsed="false">
      <c r="A18" s="39" t="str">
        <f aca="false">IF(Nichos!A20="","",Nichos!A20)</f>
        <v>Arenas, Estádios, Academias e Esportes</v>
      </c>
      <c r="B18" s="39"/>
      <c r="C18" s="39"/>
      <c r="D18" s="39"/>
    </row>
    <row r="19" customFormat="false" ht="15" hidden="false" customHeight="false" outlineLevel="0" collapsed="false">
      <c r="A19" s="39" t="str">
        <f aca="false">IF(Nichos!A21="","",Nichos!A21)</f>
        <v>Poder Público e Mobiliário Urbano</v>
      </c>
      <c r="B19" s="39"/>
      <c r="C19" s="39"/>
      <c r="D19" s="39"/>
    </row>
    <row r="20" customFormat="false" ht="15" hidden="false" customHeight="false" outlineLevel="0" collapsed="false">
      <c r="A20" s="39" t="str">
        <f aca="false">IF(Nichos!A22="","",Nichos!A22)</f>
        <v/>
      </c>
      <c r="B20" s="39"/>
      <c r="C20" s="39"/>
      <c r="D20" s="39"/>
    </row>
    <row r="21" customFormat="false" ht="15" hidden="false" customHeight="false" outlineLevel="0" collapsed="false">
      <c r="A21" s="39" t="str">
        <f aca="false">IF(Nichos!A23="","",Nichos!A23)</f>
        <v/>
      </c>
      <c r="B21" s="39"/>
      <c r="C21" s="39"/>
      <c r="D21" s="39"/>
    </row>
    <row r="22" customFormat="false" ht="15" hidden="false" customHeight="false" outlineLevel="0" collapsed="false">
      <c r="A22" s="39" t="str">
        <f aca="false">IF(Nichos!A24="","",Nichos!A24)</f>
        <v/>
      </c>
      <c r="B22" s="39"/>
      <c r="C22" s="39"/>
      <c r="D22" s="39"/>
    </row>
    <row r="23" customFormat="false" ht="15" hidden="false" customHeight="false" outlineLevel="0" collapsed="false">
      <c r="A23" s="39" t="str">
        <f aca="false">IF(Nichos!A25="","",Nichos!A25)</f>
        <v/>
      </c>
      <c r="B23" s="39"/>
      <c r="C23" s="39"/>
      <c r="D23" s="39"/>
    </row>
    <row r="24" customFormat="false" ht="15" hidden="false" customHeight="false" outlineLevel="0" collapsed="false">
      <c r="A24" s="39" t="str">
        <f aca="false">IF(Nichos!A26="","",Nichos!A26)</f>
        <v/>
      </c>
      <c r="B24" s="39"/>
      <c r="C24" s="39"/>
      <c r="D24" s="39"/>
    </row>
    <row r="25" customFormat="false" ht="15" hidden="false" customHeight="false" outlineLevel="0" collapsed="false">
      <c r="A25" s="39" t="str">
        <f aca="false">IF(Nichos!A27="","",Nichos!A27)</f>
        <v/>
      </c>
      <c r="B25" s="39"/>
      <c r="C25" s="39"/>
      <c r="D25" s="39"/>
    </row>
    <row r="26" customFormat="false" ht="15" hidden="false" customHeight="false" outlineLevel="0" collapsed="false">
      <c r="A26" s="39" t="str">
        <f aca="false">IF(Nichos!A28="","",Nichos!A28)</f>
        <v/>
      </c>
      <c r="B26" s="39"/>
      <c r="C26" s="39"/>
      <c r="D26" s="39"/>
    </row>
    <row r="27" customFormat="false" ht="15" hidden="false" customHeight="false" outlineLevel="0" collapsed="false">
      <c r="A27" s="39" t="str">
        <f aca="false">IF(Nichos!A29="","",Nichos!A29)</f>
        <v/>
      </c>
      <c r="B27" s="39"/>
      <c r="C27" s="39"/>
      <c r="D27" s="39"/>
    </row>
    <row r="28" customFormat="false" ht="15" hidden="false" customHeight="false" outlineLevel="0" collapsed="false">
      <c r="A28" s="39" t="str">
        <f aca="false">IF(Nichos!A30="","",Nichos!A30)</f>
        <v/>
      </c>
      <c r="B28" s="39"/>
      <c r="C28" s="39"/>
      <c r="D28" s="39"/>
    </row>
    <row r="29" customFormat="false" ht="15" hidden="false" customHeight="false" outlineLevel="0" collapsed="false">
      <c r="A29" s="39" t="str">
        <f aca="false">IF(Nichos!A31="","",Nichos!A31)</f>
        <v/>
      </c>
      <c r="B29" s="39"/>
      <c r="C29" s="39"/>
      <c r="D29" s="39"/>
    </row>
    <row r="30" customFormat="false" ht="15" hidden="false" customHeight="false" outlineLevel="0" collapsed="false">
      <c r="A30" s="39" t="str">
        <f aca="false">IF(Nichos!A32="","",Nichos!A32)</f>
        <v/>
      </c>
      <c r="B30" s="39"/>
      <c r="C30" s="39"/>
      <c r="D30" s="39"/>
    </row>
    <row r="31" customFormat="false" ht="15" hidden="false" customHeight="false" outlineLevel="0" collapsed="false">
      <c r="A31" s="39" t="str">
        <f aca="false">IF(Nichos!A33="","",Nichos!A33)</f>
        <v/>
      </c>
      <c r="B31" s="39"/>
      <c r="C31" s="39"/>
      <c r="D31" s="39"/>
    </row>
    <row r="32" customFormat="false" ht="15" hidden="false" customHeight="false" outlineLevel="0" collapsed="false">
      <c r="A32" s="39" t="str">
        <f aca="false">IF(Nichos!A34="","",Nichos!A34)</f>
        <v/>
      </c>
      <c r="B32" s="39"/>
      <c r="C32" s="39"/>
      <c r="D32" s="39"/>
    </row>
    <row r="33" customFormat="false" ht="15" hidden="false" customHeight="false" outlineLevel="0" collapsed="false">
      <c r="A33" s="39" t="str">
        <f aca="false">IF(Nichos!A35="","",Nichos!A35)</f>
        <v/>
      </c>
      <c r="B33" s="39"/>
      <c r="C33" s="39"/>
      <c r="D33" s="39"/>
    </row>
    <row r="34" customFormat="false" ht="15" hidden="false" customHeight="false" outlineLevel="0" collapsed="false">
      <c r="A34" s="39" t="str">
        <f aca="false">IF(Nichos!A36="","",Nichos!A36)</f>
        <v/>
      </c>
      <c r="B34" s="39"/>
      <c r="C34" s="39"/>
      <c r="D34" s="39"/>
    </row>
    <row r="35" customFormat="false" ht="15" hidden="false" customHeight="false" outlineLevel="0" collapsed="false">
      <c r="A35" s="39" t="str">
        <f aca="false">IF(Nichos!A37="","",Nichos!A37)</f>
        <v/>
      </c>
      <c r="B35" s="39"/>
      <c r="C35" s="39"/>
      <c r="D35" s="39"/>
    </row>
    <row r="36" customFormat="false" ht="15" hidden="false" customHeight="false" outlineLevel="0" collapsed="false">
      <c r="A36" s="39" t="str">
        <f aca="false">IF(Nichos!A38="","",Nichos!A38)</f>
        <v/>
      </c>
      <c r="B36" s="39"/>
      <c r="C36" s="39"/>
      <c r="D36" s="39"/>
    </row>
    <row r="37" customFormat="false" ht="15" hidden="false" customHeight="false" outlineLevel="0" collapsed="false">
      <c r="A37" s="39" t="str">
        <f aca="false">IF(Nichos!A39="","",Nichos!A39)</f>
        <v/>
      </c>
      <c r="B37" s="39"/>
      <c r="C37" s="39"/>
      <c r="D37" s="39"/>
    </row>
    <row r="38" customFormat="false" ht="15" hidden="false" customHeight="false" outlineLevel="0" collapsed="false">
      <c r="A38" s="39" t="str">
        <f aca="false">IF(Nichos!A40="","",Nichos!A40)</f>
        <v/>
      </c>
      <c r="B38" s="39"/>
      <c r="C38" s="39"/>
      <c r="D38" s="39"/>
    </row>
    <row r="39" customFormat="false" ht="15" hidden="false" customHeight="false" outlineLevel="0" collapsed="false">
      <c r="A39" s="39" t="str">
        <f aca="false">IF(Nichos!A41="","",Nichos!A41)</f>
        <v/>
      </c>
      <c r="B39" s="39"/>
      <c r="C39" s="39"/>
      <c r="D39" s="39"/>
    </row>
    <row r="40" customFormat="false" ht="15" hidden="false" customHeight="false" outlineLevel="0" collapsed="false">
      <c r="A40" s="39" t="str">
        <f aca="false">IF(Nichos!A42="","",Nichos!A42)</f>
        <v/>
      </c>
      <c r="B40" s="39"/>
      <c r="C40" s="39"/>
      <c r="D40" s="39"/>
    </row>
    <row r="41" customFormat="false" ht="15" hidden="false" customHeight="false" outlineLevel="0" collapsed="false">
      <c r="A41" s="39" t="str">
        <f aca="false">IF(Nichos!A43="","",Nichos!A43)</f>
        <v/>
      </c>
      <c r="B41" s="39"/>
      <c r="C41" s="39"/>
      <c r="D41" s="39"/>
    </row>
    <row r="42" customFormat="false" ht="15" hidden="false" customHeight="false" outlineLevel="0" collapsed="false">
      <c r="A42" s="39" t="str">
        <f aca="false">IF(Nichos!A44="","",Nichos!A44)</f>
        <v/>
      </c>
      <c r="B42" s="39"/>
      <c r="C42" s="39"/>
      <c r="D42" s="39"/>
    </row>
    <row r="43" customFormat="false" ht="15" hidden="false" customHeight="false" outlineLevel="0" collapsed="false">
      <c r="A43" s="39" t="str">
        <f aca="false">IF(Nichos!A45="","",Nichos!A45)</f>
        <v/>
      </c>
      <c r="B43" s="39"/>
      <c r="C43" s="39"/>
      <c r="D43" s="39"/>
    </row>
    <row r="44" customFormat="false" ht="15" hidden="false" customHeight="false" outlineLevel="0" collapsed="false">
      <c r="A44" s="39" t="str">
        <f aca="false">IF(Nichos!A46="","",Nichos!A46)</f>
        <v/>
      </c>
      <c r="B44" s="39"/>
      <c r="C44" s="39"/>
      <c r="D44" s="39"/>
    </row>
    <row r="45" customFormat="false" ht="15" hidden="false" customHeight="false" outlineLevel="0" collapsed="false">
      <c r="A45" s="39" t="str">
        <f aca="false">IF(Nichos!A47="","",Nichos!A47)</f>
        <v/>
      </c>
      <c r="B45" s="39"/>
      <c r="C45" s="39"/>
      <c r="D45" s="39"/>
    </row>
    <row r="46" customFormat="false" ht="15" hidden="false" customHeight="false" outlineLevel="0" collapsed="false">
      <c r="A46" s="39" t="str">
        <f aca="false">IF(Nichos!A48="","",Nichos!A48)</f>
        <v/>
      </c>
      <c r="B46" s="39"/>
      <c r="C46" s="39"/>
      <c r="D46" s="39"/>
    </row>
    <row r="47" customFormat="false" ht="15" hidden="false" customHeight="false" outlineLevel="0" collapsed="false">
      <c r="A47" s="39" t="str">
        <f aca="false">IF(Nichos!A49="","",Nichos!A49)</f>
        <v/>
      </c>
      <c r="B47" s="39"/>
      <c r="C47" s="39"/>
      <c r="D47" s="39"/>
    </row>
    <row r="48" customFormat="false" ht="15" hidden="false" customHeight="false" outlineLevel="0" collapsed="false">
      <c r="A48" s="39" t="str">
        <f aca="false">IF(Nichos!A50="","",Nichos!A50)</f>
        <v/>
      </c>
      <c r="B48" s="39"/>
      <c r="C48" s="39"/>
      <c r="D48" s="39"/>
    </row>
    <row r="49" customFormat="false" ht="15" hidden="false" customHeight="false" outlineLevel="0" collapsed="false">
      <c r="A49" s="39" t="str">
        <f aca="false">IF(Nichos!A51="","",Nichos!A51)</f>
        <v/>
      </c>
      <c r="B49" s="39"/>
      <c r="C49" s="39"/>
      <c r="D49" s="39"/>
    </row>
    <row r="50" customFormat="false" ht="15" hidden="false" customHeight="false" outlineLevel="0" collapsed="false">
      <c r="A50" s="39" t="str">
        <f aca="false">IF(Nichos!A52="","",Nichos!A52)</f>
        <v/>
      </c>
      <c r="B50" s="39"/>
      <c r="C50" s="39"/>
      <c r="D50" s="39"/>
    </row>
    <row r="51" customFormat="false" ht="15" hidden="false" customHeight="false" outlineLevel="0" collapsed="false">
      <c r="A51" s="39" t="str">
        <f aca="false">IF(Nichos!A53="","",Nichos!A53)</f>
        <v/>
      </c>
      <c r="B51" s="39"/>
      <c r="C51" s="39"/>
      <c r="D51" s="39"/>
    </row>
    <row r="52" customFormat="false" ht="15" hidden="false" customHeight="false" outlineLevel="0" collapsed="false">
      <c r="A52" s="39" t="str">
        <f aca="false">IF(Nichos!A54="","",Nichos!A54)</f>
        <v/>
      </c>
      <c r="B52" s="39"/>
      <c r="C52" s="39"/>
      <c r="D52" s="39"/>
    </row>
    <row r="53" customFormat="false" ht="15" hidden="false" customHeight="false" outlineLevel="0" collapsed="false">
      <c r="A53" s="39" t="str">
        <f aca="false">IF(Nichos!A55="","",Nichos!A55)</f>
        <v/>
      </c>
      <c r="B53" s="39"/>
      <c r="C53" s="39"/>
      <c r="D53" s="39"/>
    </row>
    <row r="54" customFormat="false" ht="15" hidden="false" customHeight="false" outlineLevel="0" collapsed="false">
      <c r="A54" s="39" t="str">
        <f aca="false">IF(Nichos!A56="","",Nichos!A56)</f>
        <v/>
      </c>
      <c r="B54" s="39"/>
      <c r="C54" s="39"/>
      <c r="D54" s="39"/>
    </row>
    <row r="55" customFormat="false" ht="15" hidden="false" customHeight="false" outlineLevel="0" collapsed="false">
      <c r="A55" s="39" t="str">
        <f aca="false">IF(Nichos!A57="","",Nichos!A57)</f>
        <v/>
      </c>
      <c r="B55" s="39"/>
      <c r="C55" s="39"/>
      <c r="D55" s="39"/>
    </row>
    <row r="56" customFormat="false" ht="15" hidden="false" customHeight="false" outlineLevel="0" collapsed="false">
      <c r="A56" s="39" t="str">
        <f aca="false">IF(Nichos!A58="","",Nichos!A58)</f>
        <v/>
      </c>
      <c r="B56" s="39"/>
      <c r="C56" s="39"/>
      <c r="D56" s="39"/>
    </row>
    <row r="57" customFormat="false" ht="15" hidden="false" customHeight="false" outlineLevel="0" collapsed="false">
      <c r="A57" s="39" t="str">
        <f aca="false">IF(Nichos!A59="","",Nichos!A59)</f>
        <v/>
      </c>
      <c r="B57" s="39"/>
      <c r="C57" s="39"/>
      <c r="D57" s="39"/>
    </row>
    <row r="58" customFormat="false" ht="15" hidden="false" customHeight="false" outlineLevel="0" collapsed="false">
      <c r="A58" s="39" t="str">
        <f aca="false">IF(Nichos!A60="","",Nichos!A60)</f>
        <v/>
      </c>
      <c r="B58" s="39"/>
      <c r="C58" s="39"/>
      <c r="D58" s="39"/>
    </row>
    <row r="59" customFormat="false" ht="15" hidden="false" customHeight="false" outlineLevel="0" collapsed="false">
      <c r="A59" s="39" t="str">
        <f aca="false">IF(Nichos!A61="","",Nichos!A61)</f>
        <v/>
      </c>
      <c r="B59" s="39"/>
      <c r="C59" s="39"/>
      <c r="D59" s="39"/>
    </row>
    <row r="60" customFormat="false" ht="15" hidden="false" customHeight="false" outlineLevel="0" collapsed="false">
      <c r="A60" s="39" t="str">
        <f aca="false">IF(Nichos!A62="","",Nichos!A62)</f>
        <v/>
      </c>
      <c r="B60" s="39"/>
      <c r="C60" s="39"/>
      <c r="D60" s="3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2026-10-19T18:35:10Z</dcterms:created>
  <dc:creator>openpyxl</dc:creator>
  <dc:description/>
  <dc:language>en-US</dc:language>
  <cp:lastModifiedBy/>
  <dcterms:modified xsi:type="dcterms:W3CDTF">2026-10-19T18:35:11Z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