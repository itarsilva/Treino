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Como usar" sheetId="2" state="visible" r:id="rId4"/>
    <sheet name="Catálogo" sheetId="3" state="visible" r:id="rId5"/>
    <sheet name="Autores" sheetId="4" state="visible" r:id="rId6"/>
    <sheet name="Produção" sheetId="5" state="visible" r:id="rId7"/>
    <sheet name="CRM_Contatos" sheetId="6" state="visible" r:id="rId8"/>
    <sheet name="CRM_Pipeline" sheetId="7" state="visible" r:id="rId9"/>
    <sheet name="CRM_Interações" sheetId="8" state="visible" r:id="rId10"/>
    <sheet name="Vendas" sheetId="9" state="visible" r:id="rId11"/>
    <sheet name="Financeiro" sheetId="10" state="visible" r:id="rId12"/>
    <sheet name="Listas" sheetId="11" state="visible" r:id="rId13"/>
  </sheets>
  <definedNames>
    <definedName function="false" hidden="true" localSheetId="3" name="_xlnm._FilterDatabase" vbProcedure="false">Autores!$A$4:$O$304</definedName>
    <definedName function="false" hidden="true" localSheetId="2" name="_xlnm._FilterDatabase" vbProcedure="false">Catálogo!$A$4:$Q$304</definedName>
    <definedName function="false" hidden="true" localSheetId="5" name="_xlnm._FilterDatabase" vbProcedure="false">CRM_Contatos!$A$4:$O$304</definedName>
    <definedName function="false" hidden="true" localSheetId="7" name="_xlnm._FilterDatabase" vbProcedure="false">CRM_Interações!$A$4:$G$304</definedName>
    <definedName function="false" hidden="true" localSheetId="6" name="_xlnm._FilterDatabase" vbProcedure="false">CRM_Pipeline!$A$4:$M$304</definedName>
    <definedName function="false" hidden="true" localSheetId="9" name="_xlnm._FilterDatabase" vbProcedure="false">Financeiro!$A$4:$I$304</definedName>
    <definedName function="false" hidden="true" localSheetId="4" name="_xlnm._FilterDatabase" vbProcedure="false">Produção!$A$4:$K$304</definedName>
    <definedName function="false" hidden="true" localSheetId="8" name="_xlnm._FilterDatabase" vbProcedure="false">Vendas!$A$4:$L$304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Percentual informado no contrato. 10% sobre preço de capa é a referência mais comum no Brasil.</t>
        </r>
      </text>
    </comment>
    <comment ref="L4" authorId="0">
      <text>
        <r>
          <rPr>
            <sz val="10"/>
            <rFont val="Arial"/>
            <family val="2"/>
          </rPr>
          <t xml:space="preserve">Royalties gerados menos adiantamento já pago (o adiantamento é abatido dos royalties).</t>
        </r>
      </text>
    </comment>
  </commentList>
</comments>
</file>

<file path=xl/sharedStrings.xml><?xml version="1.0" encoding="utf-8"?>
<sst xmlns="http://schemas.openxmlformats.org/spreadsheetml/2006/main" count="439" uniqueCount="314">
  <si>
    <t xml:space="preserve">LINHA EDITORA — Painel de Gestão</t>
  </si>
  <si>
    <t xml:space="preserve">Atualiza sozinho a partir das abas. Não digite aqui.</t>
  </si>
  <si>
    <t xml:space="preserve">CATÁLOGO</t>
  </si>
  <si>
    <t xml:space="preserve">FINANCEIRO</t>
  </si>
  <si>
    <t xml:space="preserve">Títulos cadastrados</t>
  </si>
  <si>
    <t xml:space="preserve">Receita de vendas (R$)</t>
  </si>
  <si>
    <t xml:space="preserve">Publicados</t>
  </si>
  <si>
    <t xml:space="preserve">Exemplares vendidos</t>
  </si>
  <si>
    <t xml:space="preserve">Em produção / pré-venda</t>
  </si>
  <si>
    <t xml:space="preserve">Total de receitas no caixa (R$)</t>
  </si>
  <si>
    <t xml:space="preserve">Exemplares em estoque</t>
  </si>
  <si>
    <t xml:space="preserve">Total de despesas no caixa (R$)</t>
  </si>
  <si>
    <t xml:space="preserve">Autores ativos</t>
  </si>
  <si>
    <t xml:space="preserve">Resultado (R$)</t>
  </si>
  <si>
    <t xml:space="preserve">Etapas de produção atrasadas</t>
  </si>
  <si>
    <t xml:space="preserve">Royalties a pagar (R$)</t>
  </si>
  <si>
    <t xml:space="preserve">CRM</t>
  </si>
  <si>
    <t xml:space="preserve">RECEITA POR CANAL</t>
  </si>
  <si>
    <t xml:space="preserve">Contatos ativos</t>
  </si>
  <si>
    <t xml:space="preserve">Site próprio</t>
  </si>
  <si>
    <t xml:space="preserve">Oportunidades abertas</t>
  </si>
  <si>
    <t xml:space="preserve">Amazon</t>
  </si>
  <si>
    <t xml:space="preserve">Pipeline total (R$)</t>
  </si>
  <si>
    <t xml:space="preserve">Livrarias</t>
  </si>
  <si>
    <t xml:space="preserve">Pipeline ponderado (R$)</t>
  </si>
  <si>
    <t xml:space="preserve">Distribuidora</t>
  </si>
  <si>
    <t xml:space="preserve">Ações atrasadas</t>
  </si>
  <si>
    <t xml:space="preserve">Feiras/Eventos</t>
  </si>
  <si>
    <t xml:space="preserve">Negócios ganhos (R$)</t>
  </si>
  <si>
    <t xml:space="preserve">Venda direta</t>
  </si>
  <si>
    <t xml:space="preserve">Governo/Escolas</t>
  </si>
  <si>
    <t xml:space="preserve">E-book</t>
  </si>
  <si>
    <t xml:space="preserve">FUNIL (valor por etapa)</t>
  </si>
  <si>
    <t xml:space="preserve">Lead</t>
  </si>
  <si>
    <t xml:space="preserve">Contato feito</t>
  </si>
  <si>
    <t xml:space="preserve">Amostra enviada</t>
  </si>
  <si>
    <t xml:space="preserve">Proposta</t>
  </si>
  <si>
    <t xml:space="preserve">Negociação</t>
  </si>
  <si>
    <t xml:space="preserve">Fechado - ganho</t>
  </si>
  <si>
    <t xml:space="preserve">Fechado - perdido</t>
  </si>
  <si>
    <t xml:space="preserve">Como usar esta planilha</t>
  </si>
  <si>
    <t xml:space="preserve">Legenda</t>
  </si>
  <si>
    <t xml:space="preserve">Texto azul</t>
  </si>
  <si>
    <t xml:space="preserve">Campo para você preencher.</t>
  </si>
  <si>
    <t xml:space="preserve">Texto preto</t>
  </si>
  <si>
    <t xml:space="preserve">Fórmula calculada na própria aba — não sobrescreva.</t>
  </si>
  <si>
    <t xml:space="preserve">Texto verde</t>
  </si>
  <si>
    <t xml:space="preserve">Valor puxado de outra aba (ex.: título a partir do ISBN).</t>
  </si>
  <si>
    <t xml:space="preserve">Exemplos</t>
  </si>
  <si>
    <t xml:space="preserve">As linhas marcadas com 'Exemplo' mostram o formato esperado. Apague-as quando inserir dados reais.</t>
  </si>
  <si>
    <t xml:space="preserve">Fluxo sugerido</t>
  </si>
  <si>
    <t xml:space="preserve">1. Listas</t>
  </si>
  <si>
    <t xml:space="preserve">Ajuste os menus suspensos (gêneros, canais, responsáveis, categorias, etapas do funil e probabilidades).</t>
  </si>
  <si>
    <t xml:space="preserve">2. Autores</t>
  </si>
  <si>
    <t xml:space="preserve">Cadastre autores e contratos (% de royalties e adiantamento).</t>
  </si>
  <si>
    <t xml:space="preserve">3. Catálogo</t>
  </si>
  <si>
    <t xml:space="preserve">Cadastre cada título pelo ISBN — o ISBN é a chave que liga Vendas, Estoque e Royalties.</t>
  </si>
  <si>
    <t xml:space="preserve">4. Produção</t>
  </si>
  <si>
    <t xml:space="preserve">Uma linha por etapa de cada livro. Prazos vencidos ficam em vermelho.</t>
  </si>
  <si>
    <t xml:space="preserve">5. CRM_Contatos</t>
  </si>
  <si>
    <t xml:space="preserve">Livrarias, distribuidoras, imprensa, influenciadores, escolas. Cada contato recebe um ID (C001, C002…).</t>
  </si>
  <si>
    <t xml:space="preserve">6. CRM_Interações</t>
  </si>
  <si>
    <t xml:space="preserve">Registre cada conversa com o ID do contato — 'Última interação' atualiza sozinha.</t>
  </si>
  <si>
    <t xml:space="preserve">7. CRM_Pipeline</t>
  </si>
  <si>
    <t xml:space="preserve">Oportunidades de venda B2B. Escolha a etapa do funil: a probabilidade e o valor ponderado são automáticos.</t>
  </si>
  <si>
    <t xml:space="preserve">8. Vendas</t>
  </si>
  <si>
    <t xml:space="preserve">Lance cada venda com ISBN, quantidade, preço cobrado e canal. Alimenta estoque, royalties e o Painel.</t>
  </si>
  <si>
    <t xml:space="preserve">9. Financeiro</t>
  </si>
  <si>
    <t xml:space="preserve">Todas as entradas e saídas de caixa (gráfica, revisão, marketing, impostos…).</t>
  </si>
  <si>
    <t xml:space="preserve">10. Painel</t>
  </si>
  <si>
    <t xml:space="preserve">Visão geral de catálogo, finanças, CRM e funil.</t>
  </si>
  <si>
    <t xml:space="preserve">Premissas</t>
  </si>
  <si>
    <t xml:space="preserve">Royalties</t>
  </si>
  <si>
    <t xml:space="preserve">Calculados sobre o preço de capa × exemplares vendidos (prática comum no Brasil). Adiantamento é abatido.</t>
  </si>
  <si>
    <t xml:space="preserve">Probabilidades</t>
  </si>
  <si>
    <t xml:space="preserve">Os percentuais do funil (aba Listas) são referências genéricas, não dados da editora — ajuste com o tempo.</t>
  </si>
  <si>
    <t xml:space="preserve">Capacidade</t>
  </si>
  <si>
    <t xml:space="preserve">As abas estão preparadas com fórmulas para 300 linhas cada.</t>
  </si>
  <si>
    <t xml:space="preserve">Catálogo</t>
  </si>
  <si>
    <t xml:space="preserve">Cadastro de todos os títulos. Preencha colunas em azul; colunas em preto são calculadas.</t>
  </si>
  <si>
    <t xml:space="preserve">Estoque &lt; 50 fica em vermelho</t>
  </si>
  <si>
    <t xml:space="preserve">ISBN</t>
  </si>
  <si>
    <t xml:space="preserve">Título</t>
  </si>
  <si>
    <t xml:space="preserve">Autor</t>
  </si>
  <si>
    <t xml:space="preserve">Gênero</t>
  </si>
  <si>
    <t xml:space="preserve">Formato</t>
  </si>
  <si>
    <t xml:space="preserve">Páginas</t>
  </si>
  <si>
    <t xml:space="preserve">Preço de capa (R$)</t>
  </si>
  <si>
    <t xml:space="preserve">Custo unitário (R$)</t>
  </si>
  <si>
    <t xml:space="preserve">Margem unitária (R$)</t>
  </si>
  <si>
    <t xml:space="preserve">Margem %</t>
  </si>
  <si>
    <t xml:space="preserve">Tiragem</t>
  </si>
  <si>
    <t xml:space="preserve">Data de lançamento</t>
  </si>
  <si>
    <t xml:space="preserve">Status</t>
  </si>
  <si>
    <t xml:space="preserve">Vendidos (un.)</t>
  </si>
  <si>
    <t xml:space="preserve">Estoque (un.)</t>
  </si>
  <si>
    <t xml:space="preserve">Receita líquida (R$)</t>
  </si>
  <si>
    <t xml:space="preserve">Observações</t>
  </si>
  <si>
    <t xml:space="preserve">978-65-00000-01-1</t>
  </si>
  <si>
    <t xml:space="preserve">O Limiar</t>
  </si>
  <si>
    <t xml:space="preserve">Ana Exemplo</t>
  </si>
  <si>
    <t xml:space="preserve">Romance</t>
  </si>
  <si>
    <t xml:space="preserve">Brochura</t>
  </si>
  <si>
    <t xml:space="preserve">Pré-venda</t>
  </si>
  <si>
    <t xml:space="preserve">Exemplo — substitua</t>
  </si>
  <si>
    <t xml:space="preserve">978-65-00000-02-8</t>
  </si>
  <si>
    <t xml:space="preserve">Cartas ao Mar</t>
  </si>
  <si>
    <t xml:space="preserve">Bruno Exemplo</t>
  </si>
  <si>
    <t xml:space="preserve">Poesia</t>
  </si>
  <si>
    <t xml:space="preserve">Publicado</t>
  </si>
  <si>
    <t xml:space="preserve">Autores</t>
  </si>
  <si>
    <t xml:space="preserve">Autores e contratos. Royalties calculados sobre o preço de capa dos exemplares vendidos (padrão de mercado: 8–12%).</t>
  </si>
  <si>
    <t xml:space="preserve">E-mail</t>
  </si>
  <si>
    <t xml:space="preserve">Telefone</t>
  </si>
  <si>
    <t xml:space="preserve">Cidade/UF</t>
  </si>
  <si>
    <t xml:space="preserve">Agente</t>
  </si>
  <si>
    <t xml:space="preserve">Nº contrato</t>
  </si>
  <si>
    <t xml:space="preserve">Início contrato</t>
  </si>
  <si>
    <t xml:space="preserve">Fim contrato</t>
  </si>
  <si>
    <t xml:space="preserve">% Royalties (s/ preço de capa)</t>
  </si>
  <si>
    <t xml:space="preserve">Adiantamento pago (R$)</t>
  </si>
  <si>
    <t xml:space="preserve">Royalties gerados (R$)</t>
  </si>
  <si>
    <t xml:space="preserve">Saldo a pagar (R$)</t>
  </si>
  <si>
    <t xml:space="preserve">Títulos no catálogo</t>
  </si>
  <si>
    <t xml:space="preserve">Redes sociais</t>
  </si>
  <si>
    <t xml:space="preserve">ana@exemplo.com</t>
  </si>
  <si>
    <t xml:space="preserve">(11) 90000-0000</t>
  </si>
  <si>
    <t xml:space="preserve">São Paulo/SP</t>
  </si>
  <si>
    <t xml:space="preserve">—</t>
  </si>
  <si>
    <t xml:space="preserve">C-2026-001</t>
  </si>
  <si>
    <t xml:space="preserve">bruno@exemplo.com</t>
  </si>
  <si>
    <t xml:space="preserve">(21) 90000-0000</t>
  </si>
  <si>
    <t xml:space="preserve">Rio de Janeiro/RJ</t>
  </si>
  <si>
    <t xml:space="preserve">C-2026-002</t>
  </si>
  <si>
    <t xml:space="preserve">Produção</t>
  </si>
  <si>
    <t xml:space="preserve">Cronograma editorial: uma linha por etapa de cada título (original → gráfica → distribuição).</t>
  </si>
  <si>
    <t xml:space="preserve">Etapa</t>
  </si>
  <si>
    <t xml:space="preserve">Responsável</t>
  </si>
  <si>
    <t xml:space="preserve">Início</t>
  </si>
  <si>
    <t xml:space="preserve">Prazo</t>
  </si>
  <si>
    <t xml:space="preserve">Conclusão</t>
  </si>
  <si>
    <t xml:space="preserve">Dias de atraso</t>
  </si>
  <si>
    <t xml:space="preserve">Custo previsto (R$)</t>
  </si>
  <si>
    <t xml:space="preserve">Custo real (R$)</t>
  </si>
  <si>
    <t xml:space="preserve">Notas</t>
  </si>
  <si>
    <t xml:space="preserve">Edição</t>
  </si>
  <si>
    <t xml:space="preserve">Editor(a)</t>
  </si>
  <si>
    <t xml:space="preserve">Concluído</t>
  </si>
  <si>
    <t xml:space="preserve">Revisão</t>
  </si>
  <si>
    <t xml:space="preserve">Revisor(a)</t>
  </si>
  <si>
    <t xml:space="preserve">Diagramação</t>
  </si>
  <si>
    <t xml:space="preserve">Designer</t>
  </si>
  <si>
    <t xml:space="preserve">Capa</t>
  </si>
  <si>
    <t xml:space="preserve">Em andamento</t>
  </si>
  <si>
    <t xml:space="preserve">Gráfica</t>
  </si>
  <si>
    <t xml:space="preserve">Itar</t>
  </si>
  <si>
    <t xml:space="preserve">Não iniciado</t>
  </si>
  <si>
    <t xml:space="preserve">CRM Contatos</t>
  </si>
  <si>
    <t xml:space="preserve">Base de relacionamento: livrarias, distribuidores, imprensa, influenciadores, escolas, leitores.</t>
  </si>
  <si>
    <t xml:space="preserve">ID</t>
  </si>
  <si>
    <t xml:space="preserve">Nome / Empresa</t>
  </si>
  <si>
    <t xml:space="preserve">Tipo</t>
  </si>
  <si>
    <t xml:space="preserve">Pessoa de contato</t>
  </si>
  <si>
    <t xml:space="preserve">Cargo</t>
  </si>
  <si>
    <t xml:space="preserve">Telefone/WhatsApp</t>
  </si>
  <si>
    <t xml:space="preserve">Origem</t>
  </si>
  <si>
    <t xml:space="preserve">Ativo?</t>
  </si>
  <si>
    <t xml:space="preserve">Última interação</t>
  </si>
  <si>
    <t xml:space="preserve">Nº interações</t>
  </si>
  <si>
    <t xml:space="preserve">Valor comprado (R$)</t>
  </si>
  <si>
    <t xml:space="preserve">C001</t>
  </si>
  <si>
    <t xml:space="preserve">Livraria Exemplo</t>
  </si>
  <si>
    <t xml:space="preserve">Livraria</t>
  </si>
  <si>
    <t xml:space="preserve">Carla</t>
  </si>
  <si>
    <t xml:space="preserve">Compradora</t>
  </si>
  <si>
    <t xml:space="preserve">compras@livrariaexemplo.com</t>
  </si>
  <si>
    <t xml:space="preserve">(11) 3000-0000</t>
  </si>
  <si>
    <t xml:space="preserve">Feira</t>
  </si>
  <si>
    <t xml:space="preserve">Comercial</t>
  </si>
  <si>
    <t xml:space="preserve">Sim</t>
  </si>
  <si>
    <t xml:space="preserve">C002</t>
  </si>
  <si>
    <t xml:space="preserve">Distribuidora Exemplo</t>
  </si>
  <si>
    <t xml:space="preserve">Diego</t>
  </si>
  <si>
    <t xml:space="preserve">Gerente</t>
  </si>
  <si>
    <t xml:space="preserve">diego@distexemplo.com</t>
  </si>
  <si>
    <t xml:space="preserve">(31) 3000-0000</t>
  </si>
  <si>
    <t xml:space="preserve">Belo Horizonte/MG</t>
  </si>
  <si>
    <t xml:space="preserve">Prospecção ativa</t>
  </si>
  <si>
    <t xml:space="preserve">C003</t>
  </si>
  <si>
    <t xml:space="preserve">@leiturasdaju</t>
  </si>
  <si>
    <t xml:space="preserve">Influenciador</t>
  </si>
  <si>
    <t xml:space="preserve">Juliana</t>
  </si>
  <si>
    <t xml:space="preserve">Criadora</t>
  </si>
  <si>
    <t xml:space="preserve">ju@exemplo.com</t>
  </si>
  <si>
    <t xml:space="preserve">Curitiba/PR</t>
  </si>
  <si>
    <t xml:space="preserve">Instagram</t>
  </si>
  <si>
    <t xml:space="preserve">Marketing</t>
  </si>
  <si>
    <t xml:space="preserve">CRM Pipeline</t>
  </si>
  <si>
    <t xml:space="preserve">Funil de vendas B2B: consignação em livrarias, pedidos de distribuidoras, compras de escolas/governo, parcerias.</t>
  </si>
  <si>
    <t xml:space="preserve">ID contato</t>
  </si>
  <si>
    <t xml:space="preserve">Contato</t>
  </si>
  <si>
    <t xml:space="preserve">Oportunidade</t>
  </si>
  <si>
    <t xml:space="preserve">Título(s)</t>
  </si>
  <si>
    <t xml:space="preserve">Etapa do funil</t>
  </si>
  <si>
    <t xml:space="preserve">Valor estimado (R$)</t>
  </si>
  <si>
    <t xml:space="preserve">Probabilidade</t>
  </si>
  <si>
    <t xml:space="preserve">Valor ponderado (R$)</t>
  </si>
  <si>
    <t xml:space="preserve">Próxima ação</t>
  </si>
  <si>
    <t xml:space="preserve">Data próxima ação</t>
  </si>
  <si>
    <t xml:space="preserve">Situação</t>
  </si>
  <si>
    <t xml:space="preserve">Data fechamento prevista</t>
  </si>
  <si>
    <t xml:space="preserve">Pedido de lançamento — 30 exemplares</t>
  </si>
  <si>
    <t xml:space="preserve">Enviar condições de consignação</t>
  </si>
  <si>
    <t xml:space="preserve">Entrada no catálogo da distribuidora</t>
  </si>
  <si>
    <t xml:space="preserve">Todos</t>
  </si>
  <si>
    <t xml:space="preserve">Reunião de fechamento</t>
  </si>
  <si>
    <t xml:space="preserve">CRM Interações</t>
  </si>
  <si>
    <t xml:space="preserve">Histórico de cada contato (ligações, e-mails, reuniões, amostras enviadas). Alimenta 'Última interação' no CRM.</t>
  </si>
  <si>
    <t xml:space="preserve">Data</t>
  </si>
  <si>
    <t xml:space="preserve">Resumo</t>
  </si>
  <si>
    <t xml:space="preserve">Resultado / Próximo passo</t>
  </si>
  <si>
    <t xml:space="preserve">Apresentação do lançamento O Limiar</t>
  </si>
  <si>
    <t xml:space="preserve">Pediu condições de consignação</t>
  </si>
  <si>
    <t xml:space="preserve">Envio de amostra</t>
  </si>
  <si>
    <t xml:space="preserve">Envio de exemplar de cortesia</t>
  </si>
  <si>
    <t xml:space="preserve">Resenha prevista para novembro</t>
  </si>
  <si>
    <t xml:space="preserve">Vendas</t>
  </si>
  <si>
    <t xml:space="preserve">Uma linha por venda/pedido. Informe o preço efetivamente cobrado; o desconto sobre o preço de capa é calculado.</t>
  </si>
  <si>
    <t xml:space="preserve">Quantidade</t>
  </si>
  <si>
    <t xml:space="preserve">Preço unitário (R$)</t>
  </si>
  <si>
    <t xml:space="preserve">ID cliente</t>
  </si>
  <si>
    <t xml:space="preserve">Canal</t>
  </si>
  <si>
    <t xml:space="preserve">Valor de capa (R$)</t>
  </si>
  <si>
    <t xml:space="preserve">Desconto concedido %</t>
  </si>
  <si>
    <t xml:space="preserve">Nº pedido / NF</t>
  </si>
  <si>
    <t xml:space="preserve">PED-0001</t>
  </si>
  <si>
    <t xml:space="preserve">NF-0001</t>
  </si>
  <si>
    <t xml:space="preserve">PED-0002</t>
  </si>
  <si>
    <t xml:space="preserve">Financeiro</t>
  </si>
  <si>
    <t xml:space="preserve">Fluxo de caixa: todas as receitas e despesas. Despesas entram como valor positivo; o sinal é aplicado automaticamente.</t>
  </si>
  <si>
    <t xml:space="preserve">Categoria</t>
  </si>
  <si>
    <t xml:space="preserve">Descrição</t>
  </si>
  <si>
    <t xml:space="preserve">Título relacionado</t>
  </si>
  <si>
    <t xml:space="preserve">Valor (R$)</t>
  </si>
  <si>
    <t xml:space="preserve">Valor com sinal (R$)</t>
  </si>
  <si>
    <t xml:space="preserve">Pago/Recebido?</t>
  </si>
  <si>
    <t xml:space="preserve">Mês</t>
  </si>
  <si>
    <t xml:space="preserve">Despesa</t>
  </si>
  <si>
    <t xml:space="preserve">Revisão/Edição</t>
  </si>
  <si>
    <t xml:space="preserve">Revisão — Cartas ao Mar</t>
  </si>
  <si>
    <t xml:space="preserve">Impressão 500 ex. — Cartas ao Mar</t>
  </si>
  <si>
    <t xml:space="preserve">Receita</t>
  </si>
  <si>
    <t xml:space="preserve">Venda de livros</t>
  </si>
  <si>
    <t xml:space="preserve">Vendas site — agosto</t>
  </si>
  <si>
    <t xml:space="preserve">Impulsionamento Instagram</t>
  </si>
  <si>
    <t xml:space="preserve">Listas (edite aqui as opções dos menus suspensos)</t>
  </si>
  <si>
    <t xml:space="preserve">Status título</t>
  </si>
  <si>
    <t xml:space="preserve">Etapa produção</t>
  </si>
  <si>
    <t xml:space="preserve">Status tarefa</t>
  </si>
  <si>
    <t xml:space="preserve">Tipo contato</t>
  </si>
  <si>
    <t xml:space="preserve">Canal venda</t>
  </si>
  <si>
    <t xml:space="preserve">Origem lead</t>
  </si>
  <si>
    <t xml:space="preserve">Tipo interação</t>
  </si>
  <si>
    <t xml:space="preserve">Tipo lançamento</t>
  </si>
  <si>
    <t xml:space="preserve">Categoria fin.</t>
  </si>
  <si>
    <t xml:space="preserve">Etapa funil</t>
  </si>
  <si>
    <t xml:space="preserve">Em avaliação</t>
  </si>
  <si>
    <t xml:space="preserve">Recebimento de original</t>
  </si>
  <si>
    <t xml:space="preserve">Indicação</t>
  </si>
  <si>
    <t xml:space="preserve">Ligação</t>
  </si>
  <si>
    <t xml:space="preserve">Contos</t>
  </si>
  <si>
    <t xml:space="preserve">Capa dura</t>
  </si>
  <si>
    <t xml:space="preserve">Contratado</t>
  </si>
  <si>
    <t xml:space="preserve">Leitura crítica</t>
  </si>
  <si>
    <t xml:space="preserve">Direitos/Licenciamento</t>
  </si>
  <si>
    <t xml:space="preserve">Em produção</t>
  </si>
  <si>
    <t xml:space="preserve">Aguardando</t>
  </si>
  <si>
    <t xml:space="preserve">Marketplace</t>
  </si>
  <si>
    <t xml:space="preserve">Site</t>
  </si>
  <si>
    <t xml:space="preserve">WhatsApp</t>
  </si>
  <si>
    <t xml:space="preserve">Edital/Incentivo</t>
  </si>
  <si>
    <t xml:space="preserve">Não-ficção</t>
  </si>
  <si>
    <t xml:space="preserve">Audiolivro</t>
  </si>
  <si>
    <t xml:space="preserve">Preparação de texto</t>
  </si>
  <si>
    <t xml:space="preserve">Escola/Governo</t>
  </si>
  <si>
    <t xml:space="preserve">Reunião</t>
  </si>
  <si>
    <t xml:space="preserve">Biografia</t>
  </si>
  <si>
    <t xml:space="preserve">Box</t>
  </si>
  <si>
    <t xml:space="preserve">Atrasado</t>
  </si>
  <si>
    <t xml:space="preserve">Imprensa</t>
  </si>
  <si>
    <t xml:space="preserve">Visita</t>
  </si>
  <si>
    <t xml:space="preserve">Infantil</t>
  </si>
  <si>
    <t xml:space="preserve">Esgotado</t>
  </si>
  <si>
    <t xml:space="preserve">Diagramação/Capa</t>
  </si>
  <si>
    <t xml:space="preserve">Juvenil</t>
  </si>
  <si>
    <t xml:space="preserve">Fora de catálogo</t>
  </si>
  <si>
    <t xml:space="preserve">Evento/Feira</t>
  </si>
  <si>
    <t xml:space="preserve">Evento</t>
  </si>
  <si>
    <t xml:space="preserve">Ensaio</t>
  </si>
  <si>
    <t xml:space="preserve">Prova gráfica</t>
  </si>
  <si>
    <t xml:space="preserve">Leitor</t>
  </si>
  <si>
    <t xml:space="preserve">Adiantamento autor</t>
  </si>
  <si>
    <t xml:space="preserve">Técnico</t>
  </si>
  <si>
    <t xml:space="preserve">ISBN/Ficha catalográfica</t>
  </si>
  <si>
    <t xml:space="preserve">Fornecedor</t>
  </si>
  <si>
    <t xml:space="preserve">Probabilidades são estimativas padrão de mercado — ajuste à realidade da editora.</t>
  </si>
  <si>
    <t xml:space="preserve">HQ</t>
  </si>
  <si>
    <t xml:space="preserve">Autor prospect</t>
  </si>
  <si>
    <t xml:space="preserve">Frete/Logística</t>
  </si>
  <si>
    <t xml:space="preserve">Distribuição</t>
  </si>
  <si>
    <t xml:space="preserve">Eventos</t>
  </si>
  <si>
    <t xml:space="preserve">Software/Ferramentas</t>
  </si>
  <si>
    <t xml:space="preserve">Impostos</t>
  </si>
  <si>
    <t xml:space="preserve">Administrativo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</si>
</sst>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&quot;R$ &quot;#,##0.00;&quot;(R$ &quot;#,##0.00\);\-"/>
    <numFmt numFmtId="167" formatCode="#,##0"/>
    <numFmt numFmtId="168" formatCode="0.0%;\(0.0%\);\-"/>
    <numFmt numFmtId="169" formatCode="dd/mm/yyyy"/>
    <numFmt numFmtId="170" formatCode="0.0%"/>
    <numFmt numFmtId="171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8"/>
      <color rgb="FF1F2A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6"/>
      <color rgb="FF1F2A44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2"/>
      <color rgb="FF1F2A44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F8D7DA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>
          <bgColor rgb="FFD4EDDA"/>
        </patternFill>
      </fill>
    </dxf>
    <dxf>
      <fill>
        <patternFill>
          <bgColor rgb="FFFFF4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8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2A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7" style="0" width="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22.05" hidden="false" customHeight="false" outlineLevel="0" collapsed="false">
      <c r="A2" s="1"/>
      <c r="B2" s="2" t="s">
        <v>0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15" hidden="false" customHeight="false" outlineLevel="0" collapsed="false">
      <c r="A5" s="1"/>
      <c r="B5" s="4" t="s">
        <v>2</v>
      </c>
      <c r="C5" s="5"/>
      <c r="D5" s="1"/>
      <c r="E5" s="4" t="s">
        <v>3</v>
      </c>
      <c r="F5" s="5"/>
    </row>
    <row r="6" customFormat="false" ht="15" hidden="false" customHeight="false" outlineLevel="0" collapsed="false">
      <c r="A6" s="1"/>
      <c r="B6" s="6" t="s">
        <v>4</v>
      </c>
      <c r="C6" s="7" t="n">
        <f aca="false">COUNTA(Catálogo!A5:A304)</f>
        <v>2</v>
      </c>
      <c r="D6" s="1"/>
      <c r="E6" s="6" t="s">
        <v>5</v>
      </c>
      <c r="F6" s="8" t="n">
        <f aca="false">SUM(Vendas!J5:J304)</f>
        <v>10680</v>
      </c>
    </row>
    <row r="7" customFormat="false" ht="15" hidden="false" customHeight="false" outlineLevel="0" collapsed="false">
      <c r="A7" s="1"/>
      <c r="B7" s="6" t="s">
        <v>6</v>
      </c>
      <c r="C7" s="7" t="n">
        <f aca="false">COUNTIF(Catálogo!M5:M304,"Publicado")</f>
        <v>1</v>
      </c>
      <c r="D7" s="1"/>
      <c r="E7" s="6" t="s">
        <v>7</v>
      </c>
      <c r="F7" s="9" t="n">
        <f aca="false">SUM(Vendas!E5:E304)</f>
        <v>220</v>
      </c>
    </row>
    <row r="8" customFormat="false" ht="15" hidden="false" customHeight="false" outlineLevel="0" collapsed="false">
      <c r="A8" s="1"/>
      <c r="B8" s="6" t="s">
        <v>8</v>
      </c>
      <c r="C8" s="7" t="n">
        <f aca="false">COUNTIF(Catálogo!M5:M304,"Em produção")+COUNTIF(Catálogo!M5:M304,"Pré-venda")</f>
        <v>1</v>
      </c>
      <c r="D8" s="1"/>
      <c r="E8" s="6" t="s">
        <v>9</v>
      </c>
      <c r="F8" s="8" t="n">
        <f aca="false">SUMIFS(Financeiro!F5:F304,Financeiro!B5:B304,"Receita")</f>
        <v>5988</v>
      </c>
    </row>
    <row r="9" customFormat="false" ht="15" hidden="false" customHeight="false" outlineLevel="0" collapsed="false">
      <c r="A9" s="1"/>
      <c r="B9" s="6" t="s">
        <v>10</v>
      </c>
      <c r="C9" s="9" t="n">
        <f aca="false">SUM(Catálogo!O5:O304)</f>
        <v>1280</v>
      </c>
      <c r="D9" s="1"/>
      <c r="E9" s="6" t="s">
        <v>11</v>
      </c>
      <c r="F9" s="8" t="n">
        <f aca="false">SUMIFS(Financeiro!F5:F304,Financeiro!B5:B304,"Despesa")</f>
        <v>6200</v>
      </c>
    </row>
    <row r="10" customFormat="false" ht="15" hidden="false" customHeight="false" outlineLevel="0" collapsed="false">
      <c r="A10" s="1"/>
      <c r="B10" s="6" t="s">
        <v>12</v>
      </c>
      <c r="C10" s="7" t="n">
        <f aca="false">COUNTA(Autores!A5:A304)</f>
        <v>2</v>
      </c>
      <c r="D10" s="1"/>
      <c r="E10" s="6" t="s">
        <v>13</v>
      </c>
      <c r="F10" s="8" t="n">
        <f aca="false">F8-F9</f>
        <v>-212</v>
      </c>
    </row>
    <row r="11" customFormat="false" ht="15" hidden="false" customHeight="false" outlineLevel="0" collapsed="false">
      <c r="A11" s="1"/>
      <c r="B11" s="6" t="s">
        <v>14</v>
      </c>
      <c r="C11" s="7" t="n">
        <f aca="false">COUNTIFS(Produção!H5:H304,"&gt;0",Produção!G5:G304,"&lt;&gt;Concluído")</f>
        <v>2</v>
      </c>
      <c r="D11" s="1"/>
      <c r="E11" s="6" t="s">
        <v>15</v>
      </c>
      <c r="F11" s="8" t="n">
        <f aca="false">SUM(Autores!L5:L304)</f>
        <v>798.4</v>
      </c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</row>
    <row r="13" customFormat="false" ht="15" hidden="false" customHeight="false" outlineLevel="0" collapsed="false">
      <c r="A13" s="1"/>
      <c r="B13" s="4" t="s">
        <v>16</v>
      </c>
      <c r="C13" s="5"/>
      <c r="D13" s="1"/>
      <c r="E13" s="4" t="s">
        <v>17</v>
      </c>
      <c r="F13" s="5"/>
    </row>
    <row r="14" customFormat="false" ht="15" hidden="false" customHeight="false" outlineLevel="0" collapsed="false">
      <c r="A14" s="1"/>
      <c r="B14" s="6" t="s">
        <v>18</v>
      </c>
      <c r="C14" s="7" t="n">
        <f aca="false">COUNTIF(CRM_Contatos!K5:K304,"Sim")</f>
        <v>3</v>
      </c>
      <c r="D14" s="1"/>
      <c r="E14" s="6" t="s">
        <v>19</v>
      </c>
      <c r="F14" s="8" t="n">
        <f aca="false">SUMIFS(Vendas!$J$5:$J$304,Vendas!$H$5:$H$304,"Site próprio")</f>
        <v>9582</v>
      </c>
    </row>
    <row r="15" customFormat="false" ht="15" hidden="false" customHeight="false" outlineLevel="0" collapsed="false">
      <c r="A15" s="1"/>
      <c r="B15" s="6" t="s">
        <v>20</v>
      </c>
      <c r="C15" s="7" t="n">
        <f aca="false">COUNTIFS(CRM_Pipeline!A5:A304,"&lt;&gt;",CRM_Pipeline!E5:E304,"&lt;&gt;Fechado*")</f>
        <v>2</v>
      </c>
      <c r="D15" s="1"/>
      <c r="E15" s="6" t="s">
        <v>21</v>
      </c>
      <c r="F15" s="8" t="n">
        <f aca="false">SUMIFS(Vendas!$J$5:$J$304,Vendas!$H$5:$H$304,"Amazon")</f>
        <v>0</v>
      </c>
    </row>
    <row r="16" customFormat="false" ht="15" hidden="false" customHeight="false" outlineLevel="0" collapsed="false">
      <c r="A16" s="1"/>
      <c r="B16" s="6" t="s">
        <v>22</v>
      </c>
      <c r="C16" s="8" t="n">
        <f aca="false">SUMIFS(CRM_Pipeline!F5:F304,CRM_Pipeline!E5:E304,"&lt;&gt;Fechado*")</f>
        <v>9258.2</v>
      </c>
      <c r="D16" s="1"/>
      <c r="E16" s="6" t="s">
        <v>23</v>
      </c>
      <c r="F16" s="8" t="n">
        <f aca="false">SUMIFS(Vendas!$J$5:$J$304,Vendas!$H$5:$H$304,"Livrarias")</f>
        <v>0</v>
      </c>
    </row>
    <row r="17" customFormat="false" ht="15" hidden="false" customHeight="false" outlineLevel="0" collapsed="false">
      <c r="A17" s="1"/>
      <c r="B17" s="6" t="s">
        <v>24</v>
      </c>
      <c r="C17" s="8" t="n">
        <f aca="false">SUMIFS(CRM_Pipeline!H5:H304,CRM_Pipeline!E5:E304,"&lt;&gt;Fechado*")</f>
        <v>6629.1</v>
      </c>
      <c r="D17" s="1"/>
      <c r="E17" s="6" t="s">
        <v>25</v>
      </c>
      <c r="F17" s="8" t="n">
        <f aca="false">SUMIFS(Vendas!$J$5:$J$304,Vendas!$H$5:$H$304,"Distribuidora")</f>
        <v>1098</v>
      </c>
    </row>
    <row r="18" customFormat="false" ht="15" hidden="false" customHeight="false" outlineLevel="0" collapsed="false">
      <c r="A18" s="1"/>
      <c r="B18" s="6" t="s">
        <v>26</v>
      </c>
      <c r="C18" s="7" t="n">
        <f aca="false">COUNTIF(CRM_Pipeline!L5:L304,"Atrasada")</f>
        <v>0</v>
      </c>
      <c r="D18" s="1"/>
      <c r="E18" s="6" t="s">
        <v>27</v>
      </c>
      <c r="F18" s="8" t="n">
        <f aca="false">SUMIFS(Vendas!$J$5:$J$304,Vendas!$H$5:$H$304,"Feiras/Eventos")</f>
        <v>0</v>
      </c>
    </row>
    <row r="19" customFormat="false" ht="15" hidden="false" customHeight="false" outlineLevel="0" collapsed="false">
      <c r="A19" s="1"/>
      <c r="B19" s="6" t="s">
        <v>28</v>
      </c>
      <c r="C19" s="8" t="n">
        <f aca="false">SUMIFS(CRM_Pipeline!F5:F304,CRM_Pipeline!E5:E304,"Fechado - ganho")</f>
        <v>0</v>
      </c>
      <c r="D19" s="1"/>
      <c r="E19" s="6" t="s">
        <v>29</v>
      </c>
      <c r="F19" s="8" t="n">
        <f aca="false">SUMIFS(Vendas!$J$5:$J$304,Vendas!$H$5:$H$304,"Venda direta")</f>
        <v>0</v>
      </c>
    </row>
    <row r="20" customFormat="false" ht="15" hidden="false" customHeight="false" outlineLevel="0" collapsed="false">
      <c r="A20" s="1"/>
      <c r="B20" s="1"/>
      <c r="C20" s="1"/>
      <c r="D20" s="1"/>
      <c r="E20" s="6" t="s">
        <v>30</v>
      </c>
      <c r="F20" s="8" t="n">
        <f aca="false">SUMIFS(Vendas!$J$5:$J$304,Vendas!$H$5:$H$304,"Governo/Escolas")</f>
        <v>0</v>
      </c>
    </row>
    <row r="21" customFormat="false" ht="15" hidden="false" customHeight="false" outlineLevel="0" collapsed="false">
      <c r="A21" s="1"/>
      <c r="B21" s="1"/>
      <c r="C21" s="1"/>
      <c r="D21" s="1"/>
      <c r="E21" s="6" t="s">
        <v>31</v>
      </c>
      <c r="F21" s="8" t="n">
        <f aca="false">SUMIFS(Vendas!$J$5:$J$304,Vendas!$H$5:$H$304,"E-book")</f>
        <v>0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</row>
    <row r="23" customFormat="false" ht="15" hidden="false" customHeight="false" outlineLevel="0" collapsed="false">
      <c r="A23" s="1"/>
      <c r="B23" s="4" t="s">
        <v>32</v>
      </c>
      <c r="C23" s="5"/>
      <c r="D23" s="1"/>
      <c r="E23" s="1"/>
      <c r="F23" s="1"/>
    </row>
    <row r="24" customFormat="false" ht="15" hidden="false" customHeight="false" outlineLevel="0" collapsed="false">
      <c r="A24" s="1"/>
      <c r="B24" s="6" t="s">
        <v>33</v>
      </c>
      <c r="C24" s="8" t="n">
        <f aca="false">SUMIFS(CRM_Pipeline!$F$5:$F$304,CRM_Pipeline!$E$5:$E$304,"Lead")</f>
        <v>0</v>
      </c>
      <c r="D24" s="1"/>
      <c r="E24" s="1"/>
      <c r="F24" s="1"/>
    </row>
    <row r="25" customFormat="false" ht="15" hidden="false" customHeight="false" outlineLevel="0" collapsed="false">
      <c r="A25" s="1"/>
      <c r="B25" s="6" t="s">
        <v>34</v>
      </c>
      <c r="C25" s="8" t="n">
        <f aca="false">SUMIFS(CRM_Pipeline!$F$5:$F$304,CRM_Pipeline!$E$5:$E$304,"Contato feito")</f>
        <v>0</v>
      </c>
      <c r="D25" s="1"/>
      <c r="E25" s="1"/>
      <c r="F25" s="1"/>
    </row>
    <row r="26" customFormat="false" ht="15" hidden="false" customHeight="false" outlineLevel="0" collapsed="false">
      <c r="A26" s="1"/>
      <c r="B26" s="6" t="s">
        <v>35</v>
      </c>
      <c r="C26" s="8" t="n">
        <f aca="false">SUMIFS(CRM_Pipeline!$F$5:$F$304,CRM_Pipeline!$E$5:$E$304,"Amostra enviada")</f>
        <v>0</v>
      </c>
      <c r="D26" s="1"/>
      <c r="E26" s="1"/>
      <c r="F26" s="1"/>
    </row>
    <row r="27" customFormat="false" ht="15" hidden="false" customHeight="false" outlineLevel="0" collapsed="false">
      <c r="A27" s="1"/>
      <c r="B27" s="6" t="s">
        <v>36</v>
      </c>
      <c r="C27" s="8" t="n">
        <f aca="false">SUMIFS(CRM_Pipeline!$F$5:$F$304,CRM_Pipeline!$E$5:$E$304,"Proposta")</f>
        <v>1258.2</v>
      </c>
      <c r="D27" s="1"/>
      <c r="E27" s="1"/>
      <c r="F27" s="1"/>
    </row>
    <row r="28" customFormat="false" ht="15" hidden="false" customHeight="false" outlineLevel="0" collapsed="false">
      <c r="A28" s="1"/>
      <c r="B28" s="6" t="s">
        <v>37</v>
      </c>
      <c r="C28" s="8" t="n">
        <f aca="false">SUMIFS(CRM_Pipeline!$F$5:$F$304,CRM_Pipeline!$E$5:$E$304,"Negociação")</f>
        <v>8000</v>
      </c>
      <c r="D28" s="1"/>
      <c r="E28" s="1"/>
      <c r="F28" s="1"/>
    </row>
    <row r="29" customFormat="false" ht="15" hidden="false" customHeight="false" outlineLevel="0" collapsed="false">
      <c r="A29" s="1"/>
      <c r="B29" s="6" t="s">
        <v>38</v>
      </c>
      <c r="C29" s="8" t="n">
        <f aca="false">SUMIFS(CRM_Pipeline!$F$5:$F$304,CRM_Pipeline!$E$5:$E$304,"Fechado - ganho")</f>
        <v>0</v>
      </c>
      <c r="D29" s="1"/>
      <c r="E29" s="1"/>
      <c r="F29" s="1"/>
    </row>
    <row r="30" customFormat="false" ht="15" hidden="false" customHeight="false" outlineLevel="0" collapsed="false">
      <c r="A30" s="1"/>
      <c r="B30" s="6" t="s">
        <v>39</v>
      </c>
      <c r="C30" s="8" t="n">
        <f aca="false">SUMIFS(CRM_Pipeline!$F$5:$F$304,CRM_Pipeline!$E$5:$E$304,"Fechado - perdido")</f>
        <v>0</v>
      </c>
      <c r="D30" s="1"/>
      <c r="E30" s="1"/>
      <c r="F3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1"/>
      <c r="B1" s="1"/>
      <c r="C1" s="1"/>
    </row>
    <row r="2" customFormat="false" ht="19.7" hidden="false" customHeight="false" outlineLevel="0" collapsed="false">
      <c r="A2" s="1"/>
      <c r="B2" s="10" t="s">
        <v>40</v>
      </c>
      <c r="C2" s="1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false" outlineLevel="0" collapsed="false">
      <c r="A4" s="1"/>
      <c r="B4" s="11" t="s">
        <v>41</v>
      </c>
      <c r="C4" s="12"/>
    </row>
    <row r="5" customFormat="false" ht="15" hidden="false" customHeight="false" outlineLevel="0" collapsed="false">
      <c r="A5" s="1"/>
      <c r="B5" s="13" t="s">
        <v>42</v>
      </c>
      <c r="C5" s="14" t="s">
        <v>43</v>
      </c>
    </row>
    <row r="6" customFormat="false" ht="15" hidden="false" customHeight="false" outlineLevel="0" collapsed="false">
      <c r="A6" s="1"/>
      <c r="B6" s="13" t="s">
        <v>44</v>
      </c>
      <c r="C6" s="12" t="s">
        <v>45</v>
      </c>
    </row>
    <row r="7" customFormat="false" ht="15" hidden="false" customHeight="false" outlineLevel="0" collapsed="false">
      <c r="A7" s="1"/>
      <c r="B7" s="13" t="s">
        <v>46</v>
      </c>
      <c r="C7" s="15" t="s">
        <v>47</v>
      </c>
    </row>
    <row r="8" customFormat="false" ht="15" hidden="false" customHeight="false" outlineLevel="0" collapsed="false">
      <c r="A8" s="1"/>
      <c r="B8" s="13" t="s">
        <v>48</v>
      </c>
      <c r="C8" s="12" t="s">
        <v>49</v>
      </c>
    </row>
    <row r="9" customFormat="false" ht="15" hidden="false" customHeight="false" outlineLevel="0" collapsed="false">
      <c r="A9" s="1"/>
      <c r="B9" s="11"/>
      <c r="C9" s="12"/>
    </row>
    <row r="10" customFormat="false" ht="15" hidden="false" customHeight="false" outlineLevel="0" collapsed="false">
      <c r="A10" s="1"/>
      <c r="B10" s="11" t="s">
        <v>50</v>
      </c>
      <c r="C10" s="12"/>
    </row>
    <row r="11" customFormat="false" ht="15" hidden="false" customHeight="false" outlineLevel="0" collapsed="false">
      <c r="A11" s="1"/>
      <c r="B11" s="13" t="s">
        <v>51</v>
      </c>
      <c r="C11" s="12" t="s">
        <v>52</v>
      </c>
    </row>
    <row r="12" customFormat="false" ht="15" hidden="false" customHeight="false" outlineLevel="0" collapsed="false">
      <c r="A12" s="1"/>
      <c r="B12" s="13" t="s">
        <v>53</v>
      </c>
      <c r="C12" s="12" t="s">
        <v>54</v>
      </c>
    </row>
    <row r="13" customFormat="false" ht="15" hidden="false" customHeight="false" outlineLevel="0" collapsed="false">
      <c r="A13" s="1"/>
      <c r="B13" s="13" t="s">
        <v>55</v>
      </c>
      <c r="C13" s="12" t="s">
        <v>56</v>
      </c>
    </row>
    <row r="14" customFormat="false" ht="15" hidden="false" customHeight="false" outlineLevel="0" collapsed="false">
      <c r="A14" s="1"/>
      <c r="B14" s="13" t="s">
        <v>57</v>
      </c>
      <c r="C14" s="12" t="s">
        <v>58</v>
      </c>
    </row>
    <row r="15" customFormat="false" ht="15" hidden="false" customHeight="false" outlineLevel="0" collapsed="false">
      <c r="A15" s="1"/>
      <c r="B15" s="13" t="s">
        <v>59</v>
      </c>
      <c r="C15" s="12" t="s">
        <v>60</v>
      </c>
    </row>
    <row r="16" customFormat="false" ht="15" hidden="false" customHeight="false" outlineLevel="0" collapsed="false">
      <c r="A16" s="1"/>
      <c r="B16" s="13" t="s">
        <v>61</v>
      </c>
      <c r="C16" s="12" t="s">
        <v>62</v>
      </c>
    </row>
    <row r="17" customFormat="false" ht="15" hidden="false" customHeight="false" outlineLevel="0" collapsed="false">
      <c r="A17" s="1"/>
      <c r="B17" s="13" t="s">
        <v>63</v>
      </c>
      <c r="C17" s="12" t="s">
        <v>64</v>
      </c>
    </row>
    <row r="18" customFormat="false" ht="15" hidden="false" customHeight="false" outlineLevel="0" collapsed="false">
      <c r="A18" s="1"/>
      <c r="B18" s="13" t="s">
        <v>65</v>
      </c>
      <c r="C18" s="12" t="s">
        <v>66</v>
      </c>
    </row>
    <row r="19" customFormat="false" ht="15" hidden="false" customHeight="false" outlineLevel="0" collapsed="false">
      <c r="A19" s="1"/>
      <c r="B19" s="13" t="s">
        <v>67</v>
      </c>
      <c r="C19" s="12" t="s">
        <v>68</v>
      </c>
    </row>
    <row r="20" customFormat="false" ht="15" hidden="false" customHeight="false" outlineLevel="0" collapsed="false">
      <c r="A20" s="1"/>
      <c r="B20" s="13" t="s">
        <v>69</v>
      </c>
      <c r="C20" s="12" t="s">
        <v>70</v>
      </c>
    </row>
    <row r="21" customFormat="false" ht="15" hidden="false" customHeight="false" outlineLevel="0" collapsed="false">
      <c r="A21" s="1"/>
      <c r="B21" s="11"/>
      <c r="C21" s="12"/>
    </row>
    <row r="22" customFormat="false" ht="15" hidden="false" customHeight="false" outlineLevel="0" collapsed="false">
      <c r="A22" s="1"/>
      <c r="B22" s="11" t="s">
        <v>71</v>
      </c>
      <c r="C22" s="12"/>
    </row>
    <row r="23" customFormat="false" ht="15" hidden="false" customHeight="false" outlineLevel="0" collapsed="false">
      <c r="A23" s="1"/>
      <c r="B23" s="13" t="s">
        <v>72</v>
      </c>
      <c r="C23" s="12" t="s">
        <v>73</v>
      </c>
    </row>
    <row r="24" customFormat="false" ht="15" hidden="false" customHeight="false" outlineLevel="0" collapsed="false">
      <c r="A24" s="1"/>
      <c r="B24" s="13" t="s">
        <v>74</v>
      </c>
      <c r="C24" s="12" t="s">
        <v>75</v>
      </c>
    </row>
    <row r="25" customFormat="false" ht="15" hidden="false" customHeight="false" outlineLevel="0" collapsed="false">
      <c r="A25" s="1"/>
      <c r="B25" s="13" t="s">
        <v>76</v>
      </c>
      <c r="C25" s="1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9" min="7" style="0" width="13"/>
    <col collapsed="false" customWidth="true" hidden="false" outlineLevel="0" max="11" min="10" style="0" width="10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5" min="14" style="0" width="11"/>
    <col collapsed="false" customWidth="true" hidden="false" outlineLevel="0" max="16" min="16" style="0" width="15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6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3" t="s">
        <v>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7" t="s">
        <v>80</v>
      </c>
      <c r="P3" s="1"/>
      <c r="Q3" s="1"/>
    </row>
    <row r="4" customFormat="false" ht="30" hidden="false" customHeight="true" outlineLevel="0" collapsed="false">
      <c r="A4" s="18" t="s">
        <v>81</v>
      </c>
      <c r="B4" s="18" t="s">
        <v>82</v>
      </c>
      <c r="C4" s="18" t="s">
        <v>83</v>
      </c>
      <c r="D4" s="18" t="s">
        <v>84</v>
      </c>
      <c r="E4" s="18" t="s">
        <v>85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90</v>
      </c>
      <c r="K4" s="18" t="s">
        <v>91</v>
      </c>
      <c r="L4" s="18" t="s">
        <v>92</v>
      </c>
      <c r="M4" s="18" t="s">
        <v>93</v>
      </c>
      <c r="N4" s="18" t="s">
        <v>94</v>
      </c>
      <c r="O4" s="18" t="s">
        <v>95</v>
      </c>
      <c r="P4" s="18" t="s">
        <v>96</v>
      </c>
      <c r="Q4" s="18" t="s">
        <v>97</v>
      </c>
    </row>
    <row r="5" customFormat="false" ht="15" hidden="false" customHeight="false" outlineLevel="0" collapsed="false">
      <c r="A5" s="19" t="s">
        <v>98</v>
      </c>
      <c r="B5" s="19" t="s">
        <v>99</v>
      </c>
      <c r="C5" s="19" t="s">
        <v>100</v>
      </c>
      <c r="D5" s="19" t="s">
        <v>101</v>
      </c>
      <c r="E5" s="19" t="s">
        <v>102</v>
      </c>
      <c r="F5" s="20" t="n">
        <v>240</v>
      </c>
      <c r="G5" s="21" t="n">
        <v>69.9</v>
      </c>
      <c r="H5" s="21" t="n">
        <v>14.5</v>
      </c>
      <c r="I5" s="22" t="n">
        <f aca="false">IF(G5="","",G5-H5)</f>
        <v>55.4</v>
      </c>
      <c r="J5" s="23" t="n">
        <f aca="false">IF(OR(G5="",G5=0),"",I5/G5)</f>
        <v>0.792560801144492</v>
      </c>
      <c r="K5" s="24" t="n">
        <v>1000</v>
      </c>
      <c r="L5" s="25" t="n">
        <v>46346</v>
      </c>
      <c r="M5" s="19" t="s">
        <v>103</v>
      </c>
      <c r="N5" s="26" t="n">
        <f aca="false">IF(A5="","",SUMIFS(Vendas!$E$5:$E$304,Vendas!$B$5:$B$304,A5))</f>
        <v>60</v>
      </c>
      <c r="O5" s="27" t="n">
        <f aca="false">IF(A5="","",K5-N5)</f>
        <v>940</v>
      </c>
      <c r="P5" s="28" t="n">
        <f aca="false">IF(A5="","",SUMIFS(Vendas!$J$5:$J$304,Vendas!$B$5:$B$304,A5))</f>
        <v>3594</v>
      </c>
      <c r="Q5" s="19" t="s">
        <v>104</v>
      </c>
    </row>
    <row r="6" customFormat="false" ht="15" hidden="false" customHeight="false" outlineLevel="0" collapsed="false">
      <c r="A6" s="19" t="s">
        <v>105</v>
      </c>
      <c r="B6" s="19" t="s">
        <v>106</v>
      </c>
      <c r="C6" s="19" t="s">
        <v>107</v>
      </c>
      <c r="D6" s="19" t="s">
        <v>108</v>
      </c>
      <c r="E6" s="19" t="s">
        <v>102</v>
      </c>
      <c r="F6" s="20" t="n">
        <v>112</v>
      </c>
      <c r="G6" s="21" t="n">
        <v>49.9</v>
      </c>
      <c r="H6" s="21" t="n">
        <v>9.8</v>
      </c>
      <c r="I6" s="22" t="n">
        <f aca="false">IF(G6="","",G6-H6)</f>
        <v>40.1</v>
      </c>
      <c r="J6" s="23" t="n">
        <f aca="false">IF(OR(G6="",G6=0),"",I6/G6)</f>
        <v>0.803607214428858</v>
      </c>
      <c r="K6" s="24" t="n">
        <v>500</v>
      </c>
      <c r="L6" s="25" t="n">
        <v>46239</v>
      </c>
      <c r="M6" s="19" t="s">
        <v>109</v>
      </c>
      <c r="N6" s="26" t="n">
        <f aca="false">IF(A6="","",SUMIFS(Vendas!$E$5:$E$304,Vendas!$B$5:$B$304,A6))</f>
        <v>160</v>
      </c>
      <c r="O6" s="27" t="n">
        <f aca="false">IF(A6="","",K6-N6)</f>
        <v>340</v>
      </c>
      <c r="P6" s="28" t="n">
        <f aca="false">IF(A6="","",SUMIFS(Vendas!$J$5:$J$304,Vendas!$B$5:$B$304,A6))</f>
        <v>7086</v>
      </c>
      <c r="Q6" s="19" t="s">
        <v>104</v>
      </c>
    </row>
    <row r="7" customFormat="false" ht="15" hidden="false" customHeight="false" outlineLevel="0" collapsed="false">
      <c r="A7" s="1"/>
      <c r="B7" s="1"/>
      <c r="C7" s="1"/>
      <c r="D7" s="1"/>
      <c r="E7" s="1"/>
      <c r="F7" s="20"/>
      <c r="G7" s="21"/>
      <c r="H7" s="21"/>
      <c r="I7" s="22" t="str">
        <f aca="false">IF(G7="","",G7-H7)</f>
        <v/>
      </c>
      <c r="J7" s="23" t="str">
        <f aca="false">IF(OR(G7="",G7=0),"",I7/G7)</f>
        <v/>
      </c>
      <c r="K7" s="24"/>
      <c r="L7" s="25"/>
      <c r="M7" s="1"/>
      <c r="N7" s="26" t="str">
        <f aca="false">IF(A7="","",SUMIFS(Vendas!$E$5:$E$304,Vendas!$B$5:$B$304,A7))</f>
        <v/>
      </c>
      <c r="O7" s="27" t="str">
        <f aca="false">IF(A7="","",K7-N7)</f>
        <v/>
      </c>
      <c r="P7" s="28" t="str">
        <f aca="false">IF(A7="","",SUMIFS(Vendas!$J$5:$J$304,Vendas!$B$5:$B$304,A7))</f>
        <v/>
      </c>
      <c r="Q7" s="1"/>
    </row>
    <row r="8" customFormat="false" ht="15" hidden="false" customHeight="false" outlineLevel="0" collapsed="false">
      <c r="A8" s="1"/>
      <c r="B8" s="1"/>
      <c r="C8" s="1"/>
      <c r="D8" s="1"/>
      <c r="E8" s="1"/>
      <c r="F8" s="20"/>
      <c r="G8" s="21"/>
      <c r="H8" s="21"/>
      <c r="I8" s="22" t="str">
        <f aca="false">IF(G8="","",G8-H8)</f>
        <v/>
      </c>
      <c r="J8" s="23" t="str">
        <f aca="false">IF(OR(G8="",G8=0),"",I8/G8)</f>
        <v/>
      </c>
      <c r="K8" s="24"/>
      <c r="L8" s="25"/>
      <c r="M8" s="1"/>
      <c r="N8" s="26" t="str">
        <f aca="false">IF(A8="","",SUMIFS(Vendas!$E$5:$E$304,Vendas!$B$5:$B$304,A8))</f>
        <v/>
      </c>
      <c r="O8" s="27" t="str">
        <f aca="false">IF(A8="","",K8-N8)</f>
        <v/>
      </c>
      <c r="P8" s="28" t="str">
        <f aca="false">IF(A8="","",SUMIFS(Vendas!$J$5:$J$304,Vendas!$B$5:$B$304,A8))</f>
        <v/>
      </c>
      <c r="Q8" s="1"/>
    </row>
    <row r="9" customFormat="false" ht="15" hidden="false" customHeight="false" outlineLevel="0" collapsed="false">
      <c r="A9" s="1"/>
      <c r="B9" s="1"/>
      <c r="C9" s="1"/>
      <c r="D9" s="1"/>
      <c r="E9" s="1"/>
      <c r="F9" s="20"/>
      <c r="G9" s="21"/>
      <c r="H9" s="21"/>
      <c r="I9" s="22" t="str">
        <f aca="false">IF(G9="","",G9-H9)</f>
        <v/>
      </c>
      <c r="J9" s="23" t="str">
        <f aca="false">IF(OR(G9="",G9=0),"",I9/G9)</f>
        <v/>
      </c>
      <c r="K9" s="24"/>
      <c r="L9" s="25"/>
      <c r="M9" s="1"/>
      <c r="N9" s="26" t="str">
        <f aca="false">IF(A9="","",SUMIFS(Vendas!$E$5:$E$304,Vendas!$B$5:$B$304,A9))</f>
        <v/>
      </c>
      <c r="O9" s="27" t="str">
        <f aca="false">IF(A9="","",K9-N9)</f>
        <v/>
      </c>
      <c r="P9" s="28" t="str">
        <f aca="false">IF(A9="","",SUMIFS(Vendas!$J$5:$J$304,Vendas!$B$5:$B$304,A9))</f>
        <v/>
      </c>
      <c r="Q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20"/>
      <c r="G10" s="21"/>
      <c r="H10" s="21"/>
      <c r="I10" s="22" t="str">
        <f aca="false">IF(G10="","",G10-H10)</f>
        <v/>
      </c>
      <c r="J10" s="23" t="str">
        <f aca="false">IF(OR(G10="",G10=0),"",I10/G10)</f>
        <v/>
      </c>
      <c r="K10" s="24"/>
      <c r="L10" s="25"/>
      <c r="M10" s="1"/>
      <c r="N10" s="26" t="str">
        <f aca="false">IF(A10="","",SUMIFS(Vendas!$E$5:$E$304,Vendas!$B$5:$B$304,A10))</f>
        <v/>
      </c>
      <c r="O10" s="27" t="str">
        <f aca="false">IF(A10="","",K10-N10)</f>
        <v/>
      </c>
      <c r="P10" s="28" t="str">
        <f aca="false">IF(A10="","",SUMIFS(Vendas!$J$5:$J$304,Vendas!$B$5:$B$304,A10))</f>
        <v/>
      </c>
      <c r="Q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20"/>
      <c r="G11" s="21"/>
      <c r="H11" s="21"/>
      <c r="I11" s="22" t="str">
        <f aca="false">IF(G11="","",G11-H11)</f>
        <v/>
      </c>
      <c r="J11" s="23" t="str">
        <f aca="false">IF(OR(G11="",G11=0),"",I11/G11)</f>
        <v/>
      </c>
      <c r="K11" s="24"/>
      <c r="L11" s="25"/>
      <c r="M11" s="1"/>
      <c r="N11" s="26" t="str">
        <f aca="false">IF(A11="","",SUMIFS(Vendas!$E$5:$E$304,Vendas!$B$5:$B$304,A11))</f>
        <v/>
      </c>
      <c r="O11" s="27" t="str">
        <f aca="false">IF(A11="","",K11-N11)</f>
        <v/>
      </c>
      <c r="P11" s="28" t="str">
        <f aca="false">IF(A11="","",SUMIFS(Vendas!$J$5:$J$304,Vendas!$B$5:$B$304,A11))</f>
        <v/>
      </c>
      <c r="Q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20"/>
      <c r="G12" s="21"/>
      <c r="H12" s="21"/>
      <c r="I12" s="22" t="str">
        <f aca="false">IF(G12="","",G12-H12)</f>
        <v/>
      </c>
      <c r="J12" s="23" t="str">
        <f aca="false">IF(OR(G12="",G12=0),"",I12/G12)</f>
        <v/>
      </c>
      <c r="K12" s="24"/>
      <c r="L12" s="25"/>
      <c r="M12" s="1"/>
      <c r="N12" s="26" t="str">
        <f aca="false">IF(A12="","",SUMIFS(Vendas!$E$5:$E$304,Vendas!$B$5:$B$304,A12))</f>
        <v/>
      </c>
      <c r="O12" s="27" t="str">
        <f aca="false">IF(A12="","",K12-N12)</f>
        <v/>
      </c>
      <c r="P12" s="28" t="str">
        <f aca="false">IF(A12="","",SUMIFS(Vendas!$J$5:$J$304,Vendas!$B$5:$B$304,A12))</f>
        <v/>
      </c>
      <c r="Q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20"/>
      <c r="G13" s="21"/>
      <c r="H13" s="21"/>
      <c r="I13" s="22" t="str">
        <f aca="false">IF(G13="","",G13-H13)</f>
        <v/>
      </c>
      <c r="J13" s="23" t="str">
        <f aca="false">IF(OR(G13="",G13=0),"",I13/G13)</f>
        <v/>
      </c>
      <c r="K13" s="24"/>
      <c r="L13" s="25"/>
      <c r="M13" s="1"/>
      <c r="N13" s="26" t="str">
        <f aca="false">IF(A13="","",SUMIFS(Vendas!$E$5:$E$304,Vendas!$B$5:$B$304,A13))</f>
        <v/>
      </c>
      <c r="O13" s="27" t="str">
        <f aca="false">IF(A13="","",K13-N13)</f>
        <v/>
      </c>
      <c r="P13" s="28" t="str">
        <f aca="false">IF(A13="","",SUMIFS(Vendas!$J$5:$J$304,Vendas!$B$5:$B$304,A13))</f>
        <v/>
      </c>
      <c r="Q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20"/>
      <c r="G14" s="21"/>
      <c r="H14" s="21"/>
      <c r="I14" s="22" t="str">
        <f aca="false">IF(G14="","",G14-H14)</f>
        <v/>
      </c>
      <c r="J14" s="23" t="str">
        <f aca="false">IF(OR(G14="",G14=0),"",I14/G14)</f>
        <v/>
      </c>
      <c r="K14" s="24"/>
      <c r="L14" s="25"/>
      <c r="M14" s="1"/>
      <c r="N14" s="26" t="str">
        <f aca="false">IF(A14="","",SUMIFS(Vendas!$E$5:$E$304,Vendas!$B$5:$B$304,A14))</f>
        <v/>
      </c>
      <c r="O14" s="27" t="str">
        <f aca="false">IF(A14="","",K14-N14)</f>
        <v/>
      </c>
      <c r="P14" s="28" t="str">
        <f aca="false">IF(A14="","",SUMIFS(Vendas!$J$5:$J$304,Vendas!$B$5:$B$304,A14))</f>
        <v/>
      </c>
      <c r="Q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20"/>
      <c r="G15" s="21"/>
      <c r="H15" s="21"/>
      <c r="I15" s="22" t="str">
        <f aca="false">IF(G15="","",G15-H15)</f>
        <v/>
      </c>
      <c r="J15" s="23" t="str">
        <f aca="false">IF(OR(G15="",G15=0),"",I15/G15)</f>
        <v/>
      </c>
      <c r="K15" s="24"/>
      <c r="L15" s="25"/>
      <c r="M15" s="1"/>
      <c r="N15" s="26" t="str">
        <f aca="false">IF(A15="","",SUMIFS(Vendas!$E$5:$E$304,Vendas!$B$5:$B$304,A15))</f>
        <v/>
      </c>
      <c r="O15" s="27" t="str">
        <f aca="false">IF(A15="","",K15-N15)</f>
        <v/>
      </c>
      <c r="P15" s="28" t="str">
        <f aca="false">IF(A15="","",SUMIFS(Vendas!$J$5:$J$304,Vendas!$B$5:$B$304,A15))</f>
        <v/>
      </c>
      <c r="Q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20"/>
      <c r="G16" s="21"/>
      <c r="H16" s="21"/>
      <c r="I16" s="22" t="str">
        <f aca="false">IF(G16="","",G16-H16)</f>
        <v/>
      </c>
      <c r="J16" s="23" t="str">
        <f aca="false">IF(OR(G16="",G16=0),"",I16/G16)</f>
        <v/>
      </c>
      <c r="K16" s="24"/>
      <c r="L16" s="25"/>
      <c r="M16" s="1"/>
      <c r="N16" s="26" t="str">
        <f aca="false">IF(A16="","",SUMIFS(Vendas!$E$5:$E$304,Vendas!$B$5:$B$304,A16))</f>
        <v/>
      </c>
      <c r="O16" s="27" t="str">
        <f aca="false">IF(A16="","",K16-N16)</f>
        <v/>
      </c>
      <c r="P16" s="28" t="str">
        <f aca="false">IF(A16="","",SUMIFS(Vendas!$J$5:$J$304,Vendas!$B$5:$B$304,A16))</f>
        <v/>
      </c>
      <c r="Q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20"/>
      <c r="G17" s="21"/>
      <c r="H17" s="21"/>
      <c r="I17" s="22" t="str">
        <f aca="false">IF(G17="","",G17-H17)</f>
        <v/>
      </c>
      <c r="J17" s="23" t="str">
        <f aca="false">IF(OR(G17="",G17=0),"",I17/G17)</f>
        <v/>
      </c>
      <c r="K17" s="24"/>
      <c r="L17" s="25"/>
      <c r="M17" s="1"/>
      <c r="N17" s="26" t="str">
        <f aca="false">IF(A17="","",SUMIFS(Vendas!$E$5:$E$304,Vendas!$B$5:$B$304,A17))</f>
        <v/>
      </c>
      <c r="O17" s="27" t="str">
        <f aca="false">IF(A17="","",K17-N17)</f>
        <v/>
      </c>
      <c r="P17" s="28" t="str">
        <f aca="false">IF(A17="","",SUMIFS(Vendas!$J$5:$J$304,Vendas!$B$5:$B$304,A17))</f>
        <v/>
      </c>
      <c r="Q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20"/>
      <c r="G18" s="21"/>
      <c r="H18" s="21"/>
      <c r="I18" s="22" t="str">
        <f aca="false">IF(G18="","",G18-H18)</f>
        <v/>
      </c>
      <c r="J18" s="23" t="str">
        <f aca="false">IF(OR(G18="",G18=0),"",I18/G18)</f>
        <v/>
      </c>
      <c r="K18" s="24"/>
      <c r="L18" s="25"/>
      <c r="M18" s="1"/>
      <c r="N18" s="26" t="str">
        <f aca="false">IF(A18="","",SUMIFS(Vendas!$E$5:$E$304,Vendas!$B$5:$B$304,A18))</f>
        <v/>
      </c>
      <c r="O18" s="27" t="str">
        <f aca="false">IF(A18="","",K18-N18)</f>
        <v/>
      </c>
      <c r="P18" s="28" t="str">
        <f aca="false">IF(A18="","",SUMIFS(Vendas!$J$5:$J$304,Vendas!$B$5:$B$304,A18))</f>
        <v/>
      </c>
      <c r="Q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20"/>
      <c r="G19" s="21"/>
      <c r="H19" s="21"/>
      <c r="I19" s="22" t="str">
        <f aca="false">IF(G19="","",G19-H19)</f>
        <v/>
      </c>
      <c r="J19" s="23" t="str">
        <f aca="false">IF(OR(G19="",G19=0),"",I19/G19)</f>
        <v/>
      </c>
      <c r="K19" s="24"/>
      <c r="L19" s="25"/>
      <c r="M19" s="1"/>
      <c r="N19" s="26" t="str">
        <f aca="false">IF(A19="","",SUMIFS(Vendas!$E$5:$E$304,Vendas!$B$5:$B$304,A19))</f>
        <v/>
      </c>
      <c r="O19" s="27" t="str">
        <f aca="false">IF(A19="","",K19-N19)</f>
        <v/>
      </c>
      <c r="P19" s="28" t="str">
        <f aca="false">IF(A19="","",SUMIFS(Vendas!$J$5:$J$304,Vendas!$B$5:$B$304,A19))</f>
        <v/>
      </c>
      <c r="Q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20"/>
      <c r="G20" s="21"/>
      <c r="H20" s="21"/>
      <c r="I20" s="22" t="str">
        <f aca="false">IF(G20="","",G20-H20)</f>
        <v/>
      </c>
      <c r="J20" s="23" t="str">
        <f aca="false">IF(OR(G20="",G20=0),"",I20/G20)</f>
        <v/>
      </c>
      <c r="K20" s="24"/>
      <c r="L20" s="25"/>
      <c r="M20" s="1"/>
      <c r="N20" s="26" t="str">
        <f aca="false">IF(A20="","",SUMIFS(Vendas!$E$5:$E$304,Vendas!$B$5:$B$304,A20))</f>
        <v/>
      </c>
      <c r="O20" s="27" t="str">
        <f aca="false">IF(A20="","",K20-N20)</f>
        <v/>
      </c>
      <c r="P20" s="28" t="str">
        <f aca="false">IF(A20="","",SUMIFS(Vendas!$J$5:$J$304,Vendas!$B$5:$B$304,A20))</f>
        <v/>
      </c>
      <c r="Q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20"/>
      <c r="G21" s="21"/>
      <c r="H21" s="21"/>
      <c r="I21" s="22" t="str">
        <f aca="false">IF(G21="","",G21-H21)</f>
        <v/>
      </c>
      <c r="J21" s="23" t="str">
        <f aca="false">IF(OR(G21="",G21=0),"",I21/G21)</f>
        <v/>
      </c>
      <c r="K21" s="24"/>
      <c r="L21" s="25"/>
      <c r="M21" s="1"/>
      <c r="N21" s="26" t="str">
        <f aca="false">IF(A21="","",SUMIFS(Vendas!$E$5:$E$304,Vendas!$B$5:$B$304,A21))</f>
        <v/>
      </c>
      <c r="O21" s="27" t="str">
        <f aca="false">IF(A21="","",K21-N21)</f>
        <v/>
      </c>
      <c r="P21" s="28" t="str">
        <f aca="false">IF(A21="","",SUMIFS(Vendas!$J$5:$J$304,Vendas!$B$5:$B$304,A21))</f>
        <v/>
      </c>
      <c r="Q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20"/>
      <c r="G22" s="21"/>
      <c r="H22" s="21"/>
      <c r="I22" s="22" t="str">
        <f aca="false">IF(G22="","",G22-H22)</f>
        <v/>
      </c>
      <c r="J22" s="23" t="str">
        <f aca="false">IF(OR(G22="",G22=0),"",I22/G22)</f>
        <v/>
      </c>
      <c r="K22" s="24"/>
      <c r="L22" s="25"/>
      <c r="M22" s="1"/>
      <c r="N22" s="26" t="str">
        <f aca="false">IF(A22="","",SUMIFS(Vendas!$E$5:$E$304,Vendas!$B$5:$B$304,A22))</f>
        <v/>
      </c>
      <c r="O22" s="27" t="str">
        <f aca="false">IF(A22="","",K22-N22)</f>
        <v/>
      </c>
      <c r="P22" s="28" t="str">
        <f aca="false">IF(A22="","",SUMIFS(Vendas!$J$5:$J$304,Vendas!$B$5:$B$304,A22))</f>
        <v/>
      </c>
      <c r="Q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20"/>
      <c r="G23" s="21"/>
      <c r="H23" s="21"/>
      <c r="I23" s="22" t="str">
        <f aca="false">IF(G23="","",G23-H23)</f>
        <v/>
      </c>
      <c r="J23" s="23" t="str">
        <f aca="false">IF(OR(G23="",G23=0),"",I23/G23)</f>
        <v/>
      </c>
      <c r="K23" s="24"/>
      <c r="L23" s="25"/>
      <c r="M23" s="1"/>
      <c r="N23" s="26" t="str">
        <f aca="false">IF(A23="","",SUMIFS(Vendas!$E$5:$E$304,Vendas!$B$5:$B$304,A23))</f>
        <v/>
      </c>
      <c r="O23" s="27" t="str">
        <f aca="false">IF(A23="","",K23-N23)</f>
        <v/>
      </c>
      <c r="P23" s="28" t="str">
        <f aca="false">IF(A23="","",SUMIFS(Vendas!$J$5:$J$304,Vendas!$B$5:$B$304,A23))</f>
        <v/>
      </c>
      <c r="Q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20"/>
      <c r="G24" s="21"/>
      <c r="H24" s="21"/>
      <c r="I24" s="22" t="str">
        <f aca="false">IF(G24="","",G24-H24)</f>
        <v/>
      </c>
      <c r="J24" s="23" t="str">
        <f aca="false">IF(OR(G24="",G24=0),"",I24/G24)</f>
        <v/>
      </c>
      <c r="K24" s="24"/>
      <c r="L24" s="25"/>
      <c r="M24" s="1"/>
      <c r="N24" s="26" t="str">
        <f aca="false">IF(A24="","",SUMIFS(Vendas!$E$5:$E$304,Vendas!$B$5:$B$304,A24))</f>
        <v/>
      </c>
      <c r="O24" s="27" t="str">
        <f aca="false">IF(A24="","",K24-N24)</f>
        <v/>
      </c>
      <c r="P24" s="28" t="str">
        <f aca="false">IF(A24="","",SUMIFS(Vendas!$J$5:$J$304,Vendas!$B$5:$B$304,A24))</f>
        <v/>
      </c>
      <c r="Q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20"/>
      <c r="G25" s="21"/>
      <c r="H25" s="21"/>
      <c r="I25" s="22" t="str">
        <f aca="false">IF(G25="","",G25-H25)</f>
        <v/>
      </c>
      <c r="J25" s="23" t="str">
        <f aca="false">IF(OR(G25="",G25=0),"",I25/G25)</f>
        <v/>
      </c>
      <c r="K25" s="24"/>
      <c r="L25" s="25"/>
      <c r="M25" s="1"/>
      <c r="N25" s="26" t="str">
        <f aca="false">IF(A25="","",SUMIFS(Vendas!$E$5:$E$304,Vendas!$B$5:$B$304,A25))</f>
        <v/>
      </c>
      <c r="O25" s="27" t="str">
        <f aca="false">IF(A25="","",K25-N25)</f>
        <v/>
      </c>
      <c r="P25" s="28" t="str">
        <f aca="false">IF(A25="","",SUMIFS(Vendas!$J$5:$J$304,Vendas!$B$5:$B$304,A25))</f>
        <v/>
      </c>
      <c r="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20"/>
      <c r="G26" s="21"/>
      <c r="H26" s="21"/>
      <c r="I26" s="22" t="str">
        <f aca="false">IF(G26="","",G26-H26)</f>
        <v/>
      </c>
      <c r="J26" s="23" t="str">
        <f aca="false">IF(OR(G26="",G26=0),"",I26/G26)</f>
        <v/>
      </c>
      <c r="K26" s="24"/>
      <c r="L26" s="25"/>
      <c r="M26" s="1"/>
      <c r="N26" s="26" t="str">
        <f aca="false">IF(A26="","",SUMIFS(Vendas!$E$5:$E$304,Vendas!$B$5:$B$304,A26))</f>
        <v/>
      </c>
      <c r="O26" s="27" t="str">
        <f aca="false">IF(A26="","",K26-N26)</f>
        <v/>
      </c>
      <c r="P26" s="28" t="str">
        <f aca="false">IF(A26="","",SUMIFS(Vendas!$J$5:$J$304,Vendas!$B$5:$B$304,A26))</f>
        <v/>
      </c>
      <c r="Q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20"/>
      <c r="G27" s="21"/>
      <c r="H27" s="21"/>
      <c r="I27" s="22" t="str">
        <f aca="false">IF(G27="","",G27-H27)</f>
        <v/>
      </c>
      <c r="J27" s="23" t="str">
        <f aca="false">IF(OR(G27="",G27=0),"",I27/G27)</f>
        <v/>
      </c>
      <c r="K27" s="24"/>
      <c r="L27" s="25"/>
      <c r="M27" s="1"/>
      <c r="N27" s="26" t="str">
        <f aca="false">IF(A27="","",SUMIFS(Vendas!$E$5:$E$304,Vendas!$B$5:$B$304,A27))</f>
        <v/>
      </c>
      <c r="O27" s="27" t="str">
        <f aca="false">IF(A27="","",K27-N27)</f>
        <v/>
      </c>
      <c r="P27" s="28" t="str">
        <f aca="false">IF(A27="","",SUMIFS(Vendas!$J$5:$J$304,Vendas!$B$5:$B$304,A27))</f>
        <v/>
      </c>
      <c r="Q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20"/>
      <c r="G28" s="21"/>
      <c r="H28" s="21"/>
      <c r="I28" s="22" t="str">
        <f aca="false">IF(G28="","",G28-H28)</f>
        <v/>
      </c>
      <c r="J28" s="23" t="str">
        <f aca="false">IF(OR(G28="",G28=0),"",I28/G28)</f>
        <v/>
      </c>
      <c r="K28" s="24"/>
      <c r="L28" s="25"/>
      <c r="M28" s="1"/>
      <c r="N28" s="26" t="str">
        <f aca="false">IF(A28="","",SUMIFS(Vendas!$E$5:$E$304,Vendas!$B$5:$B$304,A28))</f>
        <v/>
      </c>
      <c r="O28" s="27" t="str">
        <f aca="false">IF(A28="","",K28-N28)</f>
        <v/>
      </c>
      <c r="P28" s="28" t="str">
        <f aca="false">IF(A28="","",SUMIFS(Vendas!$J$5:$J$304,Vendas!$B$5:$B$304,A28))</f>
        <v/>
      </c>
      <c r="Q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20"/>
      <c r="G29" s="21"/>
      <c r="H29" s="21"/>
      <c r="I29" s="22" t="str">
        <f aca="false">IF(G29="","",G29-H29)</f>
        <v/>
      </c>
      <c r="J29" s="23" t="str">
        <f aca="false">IF(OR(G29="",G29=0),"",I29/G29)</f>
        <v/>
      </c>
      <c r="K29" s="24"/>
      <c r="L29" s="25"/>
      <c r="M29" s="1"/>
      <c r="N29" s="26" t="str">
        <f aca="false">IF(A29="","",SUMIFS(Vendas!$E$5:$E$304,Vendas!$B$5:$B$304,A29))</f>
        <v/>
      </c>
      <c r="O29" s="27" t="str">
        <f aca="false">IF(A29="","",K29-N29)</f>
        <v/>
      </c>
      <c r="P29" s="28" t="str">
        <f aca="false">IF(A29="","",SUMIFS(Vendas!$J$5:$J$304,Vendas!$B$5:$B$304,A29))</f>
        <v/>
      </c>
      <c r="Q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20"/>
      <c r="G30" s="21"/>
      <c r="H30" s="21"/>
      <c r="I30" s="22" t="str">
        <f aca="false">IF(G30="","",G30-H30)</f>
        <v/>
      </c>
      <c r="J30" s="23" t="str">
        <f aca="false">IF(OR(G30="",G30=0),"",I30/G30)</f>
        <v/>
      </c>
      <c r="K30" s="24"/>
      <c r="L30" s="25"/>
      <c r="M30" s="1"/>
      <c r="N30" s="26" t="str">
        <f aca="false">IF(A30="","",SUMIFS(Vendas!$E$5:$E$304,Vendas!$B$5:$B$304,A30))</f>
        <v/>
      </c>
      <c r="O30" s="27" t="str">
        <f aca="false">IF(A30="","",K30-N30)</f>
        <v/>
      </c>
      <c r="P30" s="28" t="str">
        <f aca="false">IF(A30="","",SUMIFS(Vendas!$J$5:$J$304,Vendas!$B$5:$B$304,A30))</f>
        <v/>
      </c>
      <c r="Q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20"/>
      <c r="G31" s="21"/>
      <c r="H31" s="21"/>
      <c r="I31" s="22" t="str">
        <f aca="false">IF(G31="","",G31-H31)</f>
        <v/>
      </c>
      <c r="J31" s="23" t="str">
        <f aca="false">IF(OR(G31="",G31=0),"",I31/G31)</f>
        <v/>
      </c>
      <c r="K31" s="24"/>
      <c r="L31" s="25"/>
      <c r="M31" s="1"/>
      <c r="N31" s="26" t="str">
        <f aca="false">IF(A31="","",SUMIFS(Vendas!$E$5:$E$304,Vendas!$B$5:$B$304,A31))</f>
        <v/>
      </c>
      <c r="O31" s="27" t="str">
        <f aca="false">IF(A31="","",K31-N31)</f>
        <v/>
      </c>
      <c r="P31" s="28" t="str">
        <f aca="false">IF(A31="","",SUMIFS(Vendas!$J$5:$J$304,Vendas!$B$5:$B$304,A31))</f>
        <v/>
      </c>
      <c r="Q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20"/>
      <c r="G32" s="21"/>
      <c r="H32" s="21"/>
      <c r="I32" s="22" t="str">
        <f aca="false">IF(G32="","",G32-H32)</f>
        <v/>
      </c>
      <c r="J32" s="23" t="str">
        <f aca="false">IF(OR(G32="",G32=0),"",I32/G32)</f>
        <v/>
      </c>
      <c r="K32" s="24"/>
      <c r="L32" s="25"/>
      <c r="M32" s="1"/>
      <c r="N32" s="26" t="str">
        <f aca="false">IF(A32="","",SUMIFS(Vendas!$E$5:$E$304,Vendas!$B$5:$B$304,A32))</f>
        <v/>
      </c>
      <c r="O32" s="27" t="str">
        <f aca="false">IF(A32="","",K32-N32)</f>
        <v/>
      </c>
      <c r="P32" s="28" t="str">
        <f aca="false">IF(A32="","",SUMIFS(Vendas!$J$5:$J$304,Vendas!$B$5:$B$304,A32))</f>
        <v/>
      </c>
      <c r="Q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20"/>
      <c r="G33" s="21"/>
      <c r="H33" s="21"/>
      <c r="I33" s="22" t="str">
        <f aca="false">IF(G33="","",G33-H33)</f>
        <v/>
      </c>
      <c r="J33" s="23" t="str">
        <f aca="false">IF(OR(G33="",G33=0),"",I33/G33)</f>
        <v/>
      </c>
      <c r="K33" s="24"/>
      <c r="L33" s="25"/>
      <c r="M33" s="1"/>
      <c r="N33" s="26" t="str">
        <f aca="false">IF(A33="","",SUMIFS(Vendas!$E$5:$E$304,Vendas!$B$5:$B$304,A33))</f>
        <v/>
      </c>
      <c r="O33" s="27" t="str">
        <f aca="false">IF(A33="","",K33-N33)</f>
        <v/>
      </c>
      <c r="P33" s="28" t="str">
        <f aca="false">IF(A33="","",SUMIFS(Vendas!$J$5:$J$304,Vendas!$B$5:$B$304,A33))</f>
        <v/>
      </c>
      <c r="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20"/>
      <c r="G34" s="21"/>
      <c r="H34" s="21"/>
      <c r="I34" s="22" t="str">
        <f aca="false">IF(G34="","",G34-H34)</f>
        <v/>
      </c>
      <c r="J34" s="23" t="str">
        <f aca="false">IF(OR(G34="",G34=0),"",I34/G34)</f>
        <v/>
      </c>
      <c r="K34" s="24"/>
      <c r="L34" s="25"/>
      <c r="M34" s="1"/>
      <c r="N34" s="26" t="str">
        <f aca="false">IF(A34="","",SUMIFS(Vendas!$E$5:$E$304,Vendas!$B$5:$B$304,A34))</f>
        <v/>
      </c>
      <c r="O34" s="27" t="str">
        <f aca="false">IF(A34="","",K34-N34)</f>
        <v/>
      </c>
      <c r="P34" s="28" t="str">
        <f aca="false">IF(A34="","",SUMIFS(Vendas!$J$5:$J$304,Vendas!$B$5:$B$304,A34))</f>
        <v/>
      </c>
      <c r="Q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20"/>
      <c r="G35" s="21"/>
      <c r="H35" s="21"/>
      <c r="I35" s="22" t="str">
        <f aca="false">IF(G35="","",G35-H35)</f>
        <v/>
      </c>
      <c r="J35" s="23" t="str">
        <f aca="false">IF(OR(G35="",G35=0),"",I35/G35)</f>
        <v/>
      </c>
      <c r="K35" s="24"/>
      <c r="L35" s="25"/>
      <c r="M35" s="1"/>
      <c r="N35" s="26" t="str">
        <f aca="false">IF(A35="","",SUMIFS(Vendas!$E$5:$E$304,Vendas!$B$5:$B$304,A35))</f>
        <v/>
      </c>
      <c r="O35" s="27" t="str">
        <f aca="false">IF(A35="","",K35-N35)</f>
        <v/>
      </c>
      <c r="P35" s="28" t="str">
        <f aca="false">IF(A35="","",SUMIFS(Vendas!$J$5:$J$304,Vendas!$B$5:$B$304,A35))</f>
        <v/>
      </c>
      <c r="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20"/>
      <c r="G36" s="21"/>
      <c r="H36" s="21"/>
      <c r="I36" s="22" t="str">
        <f aca="false">IF(G36="","",G36-H36)</f>
        <v/>
      </c>
      <c r="J36" s="23" t="str">
        <f aca="false">IF(OR(G36="",G36=0),"",I36/G36)</f>
        <v/>
      </c>
      <c r="K36" s="24"/>
      <c r="L36" s="25"/>
      <c r="M36" s="1"/>
      <c r="N36" s="26" t="str">
        <f aca="false">IF(A36="","",SUMIFS(Vendas!$E$5:$E$304,Vendas!$B$5:$B$304,A36))</f>
        <v/>
      </c>
      <c r="O36" s="27" t="str">
        <f aca="false">IF(A36="","",K36-N36)</f>
        <v/>
      </c>
      <c r="P36" s="28" t="str">
        <f aca="false">IF(A36="","",SUMIFS(Vendas!$J$5:$J$304,Vendas!$B$5:$B$304,A36))</f>
        <v/>
      </c>
      <c r="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20"/>
      <c r="G37" s="21"/>
      <c r="H37" s="21"/>
      <c r="I37" s="22" t="str">
        <f aca="false">IF(G37="","",G37-H37)</f>
        <v/>
      </c>
      <c r="J37" s="23" t="str">
        <f aca="false">IF(OR(G37="",G37=0),"",I37/G37)</f>
        <v/>
      </c>
      <c r="K37" s="24"/>
      <c r="L37" s="25"/>
      <c r="M37" s="1"/>
      <c r="N37" s="26" t="str">
        <f aca="false">IF(A37="","",SUMIFS(Vendas!$E$5:$E$304,Vendas!$B$5:$B$304,A37))</f>
        <v/>
      </c>
      <c r="O37" s="27" t="str">
        <f aca="false">IF(A37="","",K37-N37)</f>
        <v/>
      </c>
      <c r="P37" s="28" t="str">
        <f aca="false">IF(A37="","",SUMIFS(Vendas!$J$5:$J$304,Vendas!$B$5:$B$304,A37))</f>
        <v/>
      </c>
      <c r="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20"/>
      <c r="G38" s="21"/>
      <c r="H38" s="21"/>
      <c r="I38" s="22" t="str">
        <f aca="false">IF(G38="","",G38-H38)</f>
        <v/>
      </c>
      <c r="J38" s="23" t="str">
        <f aca="false">IF(OR(G38="",G38=0),"",I38/G38)</f>
        <v/>
      </c>
      <c r="K38" s="24"/>
      <c r="L38" s="25"/>
      <c r="M38" s="1"/>
      <c r="N38" s="26" t="str">
        <f aca="false">IF(A38="","",SUMIFS(Vendas!$E$5:$E$304,Vendas!$B$5:$B$304,A38))</f>
        <v/>
      </c>
      <c r="O38" s="27" t="str">
        <f aca="false">IF(A38="","",K38-N38)</f>
        <v/>
      </c>
      <c r="P38" s="28" t="str">
        <f aca="false">IF(A38="","",SUMIFS(Vendas!$J$5:$J$304,Vendas!$B$5:$B$304,A38))</f>
        <v/>
      </c>
      <c r="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20"/>
      <c r="G39" s="21"/>
      <c r="H39" s="21"/>
      <c r="I39" s="22" t="str">
        <f aca="false">IF(G39="","",G39-H39)</f>
        <v/>
      </c>
      <c r="J39" s="23" t="str">
        <f aca="false">IF(OR(G39="",G39=0),"",I39/G39)</f>
        <v/>
      </c>
      <c r="K39" s="24"/>
      <c r="L39" s="25"/>
      <c r="M39" s="1"/>
      <c r="N39" s="26" t="str">
        <f aca="false">IF(A39="","",SUMIFS(Vendas!$E$5:$E$304,Vendas!$B$5:$B$304,A39))</f>
        <v/>
      </c>
      <c r="O39" s="27" t="str">
        <f aca="false">IF(A39="","",K39-N39)</f>
        <v/>
      </c>
      <c r="P39" s="28" t="str">
        <f aca="false">IF(A39="","",SUMIFS(Vendas!$J$5:$J$304,Vendas!$B$5:$B$304,A39))</f>
        <v/>
      </c>
      <c r="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20"/>
      <c r="G40" s="21"/>
      <c r="H40" s="21"/>
      <c r="I40" s="22" t="str">
        <f aca="false">IF(G40="","",G40-H40)</f>
        <v/>
      </c>
      <c r="J40" s="23" t="str">
        <f aca="false">IF(OR(G40="",G40=0),"",I40/G40)</f>
        <v/>
      </c>
      <c r="K40" s="24"/>
      <c r="L40" s="25"/>
      <c r="M40" s="1"/>
      <c r="N40" s="26" t="str">
        <f aca="false">IF(A40="","",SUMIFS(Vendas!$E$5:$E$304,Vendas!$B$5:$B$304,A40))</f>
        <v/>
      </c>
      <c r="O40" s="27" t="str">
        <f aca="false">IF(A40="","",K40-N40)</f>
        <v/>
      </c>
      <c r="P40" s="28" t="str">
        <f aca="false">IF(A40="","",SUMIFS(Vendas!$J$5:$J$304,Vendas!$B$5:$B$304,A40))</f>
        <v/>
      </c>
      <c r="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20"/>
      <c r="G41" s="21"/>
      <c r="H41" s="21"/>
      <c r="I41" s="22" t="str">
        <f aca="false">IF(G41="","",G41-H41)</f>
        <v/>
      </c>
      <c r="J41" s="23" t="str">
        <f aca="false">IF(OR(G41="",G41=0),"",I41/G41)</f>
        <v/>
      </c>
      <c r="K41" s="24"/>
      <c r="L41" s="25"/>
      <c r="M41" s="1"/>
      <c r="N41" s="26" t="str">
        <f aca="false">IF(A41="","",SUMIFS(Vendas!$E$5:$E$304,Vendas!$B$5:$B$304,A41))</f>
        <v/>
      </c>
      <c r="O41" s="27" t="str">
        <f aca="false">IF(A41="","",K41-N41)</f>
        <v/>
      </c>
      <c r="P41" s="28" t="str">
        <f aca="false">IF(A41="","",SUMIFS(Vendas!$J$5:$J$304,Vendas!$B$5:$B$304,A41))</f>
        <v/>
      </c>
      <c r="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20"/>
      <c r="G42" s="21"/>
      <c r="H42" s="21"/>
      <c r="I42" s="22" t="str">
        <f aca="false">IF(G42="","",G42-H42)</f>
        <v/>
      </c>
      <c r="J42" s="23" t="str">
        <f aca="false">IF(OR(G42="",G42=0),"",I42/G42)</f>
        <v/>
      </c>
      <c r="K42" s="24"/>
      <c r="L42" s="25"/>
      <c r="M42" s="1"/>
      <c r="N42" s="26" t="str">
        <f aca="false">IF(A42="","",SUMIFS(Vendas!$E$5:$E$304,Vendas!$B$5:$B$304,A42))</f>
        <v/>
      </c>
      <c r="O42" s="27" t="str">
        <f aca="false">IF(A42="","",K42-N42)</f>
        <v/>
      </c>
      <c r="P42" s="28" t="str">
        <f aca="false">IF(A42="","",SUMIFS(Vendas!$J$5:$J$304,Vendas!$B$5:$B$304,A42))</f>
        <v/>
      </c>
      <c r="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20"/>
      <c r="G43" s="21"/>
      <c r="H43" s="21"/>
      <c r="I43" s="22" t="str">
        <f aca="false">IF(G43="","",G43-H43)</f>
        <v/>
      </c>
      <c r="J43" s="23" t="str">
        <f aca="false">IF(OR(G43="",G43=0),"",I43/G43)</f>
        <v/>
      </c>
      <c r="K43" s="24"/>
      <c r="L43" s="25"/>
      <c r="M43" s="1"/>
      <c r="N43" s="26" t="str">
        <f aca="false">IF(A43="","",SUMIFS(Vendas!$E$5:$E$304,Vendas!$B$5:$B$304,A43))</f>
        <v/>
      </c>
      <c r="O43" s="27" t="str">
        <f aca="false">IF(A43="","",K43-N43)</f>
        <v/>
      </c>
      <c r="P43" s="28" t="str">
        <f aca="false">IF(A43="","",SUMIFS(Vendas!$J$5:$J$304,Vendas!$B$5:$B$304,A43))</f>
        <v/>
      </c>
      <c r="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20"/>
      <c r="G44" s="21"/>
      <c r="H44" s="21"/>
      <c r="I44" s="22" t="str">
        <f aca="false">IF(G44="","",G44-H44)</f>
        <v/>
      </c>
      <c r="J44" s="23" t="str">
        <f aca="false">IF(OR(G44="",G44=0),"",I44/G44)</f>
        <v/>
      </c>
      <c r="K44" s="24"/>
      <c r="L44" s="25"/>
      <c r="M44" s="1"/>
      <c r="N44" s="26" t="str">
        <f aca="false">IF(A44="","",SUMIFS(Vendas!$E$5:$E$304,Vendas!$B$5:$B$304,A44))</f>
        <v/>
      </c>
      <c r="O44" s="27" t="str">
        <f aca="false">IF(A44="","",K44-N44)</f>
        <v/>
      </c>
      <c r="P44" s="28" t="str">
        <f aca="false">IF(A44="","",SUMIFS(Vendas!$J$5:$J$304,Vendas!$B$5:$B$304,A44))</f>
        <v/>
      </c>
      <c r="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20"/>
      <c r="G45" s="21"/>
      <c r="H45" s="21"/>
      <c r="I45" s="22" t="str">
        <f aca="false">IF(G45="","",G45-H45)</f>
        <v/>
      </c>
      <c r="J45" s="23" t="str">
        <f aca="false">IF(OR(G45="",G45=0),"",I45/G45)</f>
        <v/>
      </c>
      <c r="K45" s="24"/>
      <c r="L45" s="25"/>
      <c r="M45" s="1"/>
      <c r="N45" s="26" t="str">
        <f aca="false">IF(A45="","",SUMIFS(Vendas!$E$5:$E$304,Vendas!$B$5:$B$304,A45))</f>
        <v/>
      </c>
      <c r="O45" s="27" t="str">
        <f aca="false">IF(A45="","",K45-N45)</f>
        <v/>
      </c>
      <c r="P45" s="28" t="str">
        <f aca="false">IF(A45="","",SUMIFS(Vendas!$J$5:$J$304,Vendas!$B$5:$B$304,A45))</f>
        <v/>
      </c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20"/>
      <c r="G46" s="21"/>
      <c r="H46" s="21"/>
      <c r="I46" s="22" t="str">
        <f aca="false">IF(G46="","",G46-H46)</f>
        <v/>
      </c>
      <c r="J46" s="23" t="str">
        <f aca="false">IF(OR(G46="",G46=0),"",I46/G46)</f>
        <v/>
      </c>
      <c r="K46" s="24"/>
      <c r="L46" s="25"/>
      <c r="M46" s="1"/>
      <c r="N46" s="26" t="str">
        <f aca="false">IF(A46="","",SUMIFS(Vendas!$E$5:$E$304,Vendas!$B$5:$B$304,A46))</f>
        <v/>
      </c>
      <c r="O46" s="27" t="str">
        <f aca="false">IF(A46="","",K46-N46)</f>
        <v/>
      </c>
      <c r="P46" s="28" t="str">
        <f aca="false">IF(A46="","",SUMIFS(Vendas!$J$5:$J$304,Vendas!$B$5:$B$304,A46))</f>
        <v/>
      </c>
      <c r="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20"/>
      <c r="G47" s="21"/>
      <c r="H47" s="21"/>
      <c r="I47" s="22" t="str">
        <f aca="false">IF(G47="","",G47-H47)</f>
        <v/>
      </c>
      <c r="J47" s="23" t="str">
        <f aca="false">IF(OR(G47="",G47=0),"",I47/G47)</f>
        <v/>
      </c>
      <c r="K47" s="24"/>
      <c r="L47" s="25"/>
      <c r="M47" s="1"/>
      <c r="N47" s="26" t="str">
        <f aca="false">IF(A47="","",SUMIFS(Vendas!$E$5:$E$304,Vendas!$B$5:$B$304,A47))</f>
        <v/>
      </c>
      <c r="O47" s="27" t="str">
        <f aca="false">IF(A47="","",K47-N47)</f>
        <v/>
      </c>
      <c r="P47" s="28" t="str">
        <f aca="false">IF(A47="","",SUMIFS(Vendas!$J$5:$J$304,Vendas!$B$5:$B$304,A47))</f>
        <v/>
      </c>
      <c r="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20"/>
      <c r="G48" s="21"/>
      <c r="H48" s="21"/>
      <c r="I48" s="22" t="str">
        <f aca="false">IF(G48="","",G48-H48)</f>
        <v/>
      </c>
      <c r="J48" s="23" t="str">
        <f aca="false">IF(OR(G48="",G48=0),"",I48/G48)</f>
        <v/>
      </c>
      <c r="K48" s="24"/>
      <c r="L48" s="25"/>
      <c r="M48" s="1"/>
      <c r="N48" s="26" t="str">
        <f aca="false">IF(A48="","",SUMIFS(Vendas!$E$5:$E$304,Vendas!$B$5:$B$304,A48))</f>
        <v/>
      </c>
      <c r="O48" s="27" t="str">
        <f aca="false">IF(A48="","",K48-N48)</f>
        <v/>
      </c>
      <c r="P48" s="28" t="str">
        <f aca="false">IF(A48="","",SUMIFS(Vendas!$J$5:$J$304,Vendas!$B$5:$B$304,A48))</f>
        <v/>
      </c>
      <c r="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20"/>
      <c r="G49" s="21"/>
      <c r="H49" s="21"/>
      <c r="I49" s="22" t="str">
        <f aca="false">IF(G49="","",G49-H49)</f>
        <v/>
      </c>
      <c r="J49" s="23" t="str">
        <f aca="false">IF(OR(G49="",G49=0),"",I49/G49)</f>
        <v/>
      </c>
      <c r="K49" s="24"/>
      <c r="L49" s="25"/>
      <c r="M49" s="1"/>
      <c r="N49" s="26" t="str">
        <f aca="false">IF(A49="","",SUMIFS(Vendas!$E$5:$E$304,Vendas!$B$5:$B$304,A49))</f>
        <v/>
      </c>
      <c r="O49" s="27" t="str">
        <f aca="false">IF(A49="","",K49-N49)</f>
        <v/>
      </c>
      <c r="P49" s="28" t="str">
        <f aca="false">IF(A49="","",SUMIFS(Vendas!$J$5:$J$304,Vendas!$B$5:$B$304,A49))</f>
        <v/>
      </c>
      <c r="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20"/>
      <c r="G50" s="21"/>
      <c r="H50" s="21"/>
      <c r="I50" s="22" t="str">
        <f aca="false">IF(G50="","",G50-H50)</f>
        <v/>
      </c>
      <c r="J50" s="23" t="str">
        <f aca="false">IF(OR(G50="",G50=0),"",I50/G50)</f>
        <v/>
      </c>
      <c r="K50" s="24"/>
      <c r="L50" s="25"/>
      <c r="M50" s="1"/>
      <c r="N50" s="26" t="str">
        <f aca="false">IF(A50="","",SUMIFS(Vendas!$E$5:$E$304,Vendas!$B$5:$B$304,A50))</f>
        <v/>
      </c>
      <c r="O50" s="27" t="str">
        <f aca="false">IF(A50="","",K50-N50)</f>
        <v/>
      </c>
      <c r="P50" s="28" t="str">
        <f aca="false">IF(A50="","",SUMIFS(Vendas!$J$5:$J$304,Vendas!$B$5:$B$304,A50))</f>
        <v/>
      </c>
      <c r="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20"/>
      <c r="G51" s="21"/>
      <c r="H51" s="21"/>
      <c r="I51" s="22" t="str">
        <f aca="false">IF(G51="","",G51-H51)</f>
        <v/>
      </c>
      <c r="J51" s="23" t="str">
        <f aca="false">IF(OR(G51="",G51=0),"",I51/G51)</f>
        <v/>
      </c>
      <c r="K51" s="24"/>
      <c r="L51" s="25"/>
      <c r="M51" s="1"/>
      <c r="N51" s="26" t="str">
        <f aca="false">IF(A51="","",SUMIFS(Vendas!$E$5:$E$304,Vendas!$B$5:$B$304,A51))</f>
        <v/>
      </c>
      <c r="O51" s="27" t="str">
        <f aca="false">IF(A51="","",K51-N51)</f>
        <v/>
      </c>
      <c r="P51" s="28" t="str">
        <f aca="false">IF(A51="","",SUMIFS(Vendas!$J$5:$J$304,Vendas!$B$5:$B$304,A51))</f>
        <v/>
      </c>
      <c r="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20"/>
      <c r="G52" s="21"/>
      <c r="H52" s="21"/>
      <c r="I52" s="22" t="str">
        <f aca="false">IF(G52="","",G52-H52)</f>
        <v/>
      </c>
      <c r="J52" s="23" t="str">
        <f aca="false">IF(OR(G52="",G52=0),"",I52/G52)</f>
        <v/>
      </c>
      <c r="K52" s="24"/>
      <c r="L52" s="25"/>
      <c r="M52" s="1"/>
      <c r="N52" s="26" t="str">
        <f aca="false">IF(A52="","",SUMIFS(Vendas!$E$5:$E$304,Vendas!$B$5:$B$304,A52))</f>
        <v/>
      </c>
      <c r="O52" s="27" t="str">
        <f aca="false">IF(A52="","",K52-N52)</f>
        <v/>
      </c>
      <c r="P52" s="28" t="str">
        <f aca="false">IF(A52="","",SUMIFS(Vendas!$J$5:$J$304,Vendas!$B$5:$B$304,A52))</f>
        <v/>
      </c>
      <c r="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20"/>
      <c r="G53" s="21"/>
      <c r="H53" s="21"/>
      <c r="I53" s="22" t="str">
        <f aca="false">IF(G53="","",G53-H53)</f>
        <v/>
      </c>
      <c r="J53" s="23" t="str">
        <f aca="false">IF(OR(G53="",G53=0),"",I53/G53)</f>
        <v/>
      </c>
      <c r="K53" s="24"/>
      <c r="L53" s="25"/>
      <c r="M53" s="1"/>
      <c r="N53" s="26" t="str">
        <f aca="false">IF(A53="","",SUMIFS(Vendas!$E$5:$E$304,Vendas!$B$5:$B$304,A53))</f>
        <v/>
      </c>
      <c r="O53" s="27" t="str">
        <f aca="false">IF(A53="","",K53-N53)</f>
        <v/>
      </c>
      <c r="P53" s="28" t="str">
        <f aca="false">IF(A53="","",SUMIFS(Vendas!$J$5:$J$304,Vendas!$B$5:$B$304,A53))</f>
        <v/>
      </c>
      <c r="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20"/>
      <c r="G54" s="21"/>
      <c r="H54" s="21"/>
      <c r="I54" s="22" t="str">
        <f aca="false">IF(G54="","",G54-H54)</f>
        <v/>
      </c>
      <c r="J54" s="23" t="str">
        <f aca="false">IF(OR(G54="",G54=0),"",I54/G54)</f>
        <v/>
      </c>
      <c r="K54" s="24"/>
      <c r="L54" s="25"/>
      <c r="M54" s="1"/>
      <c r="N54" s="26" t="str">
        <f aca="false">IF(A54="","",SUMIFS(Vendas!$E$5:$E$304,Vendas!$B$5:$B$304,A54))</f>
        <v/>
      </c>
      <c r="O54" s="27" t="str">
        <f aca="false">IF(A54="","",K54-N54)</f>
        <v/>
      </c>
      <c r="P54" s="28" t="str">
        <f aca="false">IF(A54="","",SUMIFS(Vendas!$J$5:$J$304,Vendas!$B$5:$B$304,A54))</f>
        <v/>
      </c>
      <c r="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20"/>
      <c r="G55" s="21"/>
      <c r="H55" s="21"/>
      <c r="I55" s="22" t="str">
        <f aca="false">IF(G55="","",G55-H55)</f>
        <v/>
      </c>
      <c r="J55" s="23" t="str">
        <f aca="false">IF(OR(G55="",G55=0),"",I55/G55)</f>
        <v/>
      </c>
      <c r="K55" s="24"/>
      <c r="L55" s="25"/>
      <c r="M55" s="1"/>
      <c r="N55" s="26" t="str">
        <f aca="false">IF(A55="","",SUMIFS(Vendas!$E$5:$E$304,Vendas!$B$5:$B$304,A55))</f>
        <v/>
      </c>
      <c r="O55" s="27" t="str">
        <f aca="false">IF(A55="","",K55-N55)</f>
        <v/>
      </c>
      <c r="P55" s="28" t="str">
        <f aca="false">IF(A55="","",SUMIFS(Vendas!$J$5:$J$304,Vendas!$B$5:$B$304,A55))</f>
        <v/>
      </c>
      <c r="Q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20"/>
      <c r="G56" s="21"/>
      <c r="H56" s="21"/>
      <c r="I56" s="22" t="str">
        <f aca="false">IF(G56="","",G56-H56)</f>
        <v/>
      </c>
      <c r="J56" s="23" t="str">
        <f aca="false">IF(OR(G56="",G56=0),"",I56/G56)</f>
        <v/>
      </c>
      <c r="K56" s="24"/>
      <c r="L56" s="25"/>
      <c r="M56" s="1"/>
      <c r="N56" s="26" t="str">
        <f aca="false">IF(A56="","",SUMIFS(Vendas!$E$5:$E$304,Vendas!$B$5:$B$304,A56))</f>
        <v/>
      </c>
      <c r="O56" s="27" t="str">
        <f aca="false">IF(A56="","",K56-N56)</f>
        <v/>
      </c>
      <c r="P56" s="28" t="str">
        <f aca="false">IF(A56="","",SUMIFS(Vendas!$J$5:$J$304,Vendas!$B$5:$B$304,A56))</f>
        <v/>
      </c>
      <c r="Q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20"/>
      <c r="G57" s="21"/>
      <c r="H57" s="21"/>
      <c r="I57" s="22" t="str">
        <f aca="false">IF(G57="","",G57-H57)</f>
        <v/>
      </c>
      <c r="J57" s="23" t="str">
        <f aca="false">IF(OR(G57="",G57=0),"",I57/G57)</f>
        <v/>
      </c>
      <c r="K57" s="24"/>
      <c r="L57" s="25"/>
      <c r="M57" s="1"/>
      <c r="N57" s="26" t="str">
        <f aca="false">IF(A57="","",SUMIFS(Vendas!$E$5:$E$304,Vendas!$B$5:$B$304,A57))</f>
        <v/>
      </c>
      <c r="O57" s="27" t="str">
        <f aca="false">IF(A57="","",K57-N57)</f>
        <v/>
      </c>
      <c r="P57" s="28" t="str">
        <f aca="false">IF(A57="","",SUMIFS(Vendas!$J$5:$J$304,Vendas!$B$5:$B$304,A57))</f>
        <v/>
      </c>
      <c r="Q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20"/>
      <c r="G58" s="21"/>
      <c r="H58" s="21"/>
      <c r="I58" s="22" t="str">
        <f aca="false">IF(G58="","",G58-H58)</f>
        <v/>
      </c>
      <c r="J58" s="23" t="str">
        <f aca="false">IF(OR(G58="",G58=0),"",I58/G58)</f>
        <v/>
      </c>
      <c r="K58" s="24"/>
      <c r="L58" s="25"/>
      <c r="M58" s="1"/>
      <c r="N58" s="26" t="str">
        <f aca="false">IF(A58="","",SUMIFS(Vendas!$E$5:$E$304,Vendas!$B$5:$B$304,A58))</f>
        <v/>
      </c>
      <c r="O58" s="27" t="str">
        <f aca="false">IF(A58="","",K58-N58)</f>
        <v/>
      </c>
      <c r="P58" s="28" t="str">
        <f aca="false">IF(A58="","",SUMIFS(Vendas!$J$5:$J$304,Vendas!$B$5:$B$304,A58))</f>
        <v/>
      </c>
      <c r="Q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20"/>
      <c r="G59" s="21"/>
      <c r="H59" s="21"/>
      <c r="I59" s="22" t="str">
        <f aca="false">IF(G59="","",G59-H59)</f>
        <v/>
      </c>
      <c r="J59" s="23" t="str">
        <f aca="false">IF(OR(G59="",G59=0),"",I59/G59)</f>
        <v/>
      </c>
      <c r="K59" s="24"/>
      <c r="L59" s="25"/>
      <c r="M59" s="1"/>
      <c r="N59" s="26" t="str">
        <f aca="false">IF(A59="","",SUMIFS(Vendas!$E$5:$E$304,Vendas!$B$5:$B$304,A59))</f>
        <v/>
      </c>
      <c r="O59" s="27" t="str">
        <f aca="false">IF(A59="","",K59-N59)</f>
        <v/>
      </c>
      <c r="P59" s="28" t="str">
        <f aca="false">IF(A59="","",SUMIFS(Vendas!$J$5:$J$304,Vendas!$B$5:$B$304,A59))</f>
        <v/>
      </c>
      <c r="Q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20"/>
      <c r="G60" s="21"/>
      <c r="H60" s="21"/>
      <c r="I60" s="22" t="str">
        <f aca="false">IF(G60="","",G60-H60)</f>
        <v/>
      </c>
      <c r="J60" s="23" t="str">
        <f aca="false">IF(OR(G60="",G60=0),"",I60/G60)</f>
        <v/>
      </c>
      <c r="K60" s="24"/>
      <c r="L60" s="25"/>
      <c r="M60" s="1"/>
      <c r="N60" s="26" t="str">
        <f aca="false">IF(A60="","",SUMIFS(Vendas!$E$5:$E$304,Vendas!$B$5:$B$304,A60))</f>
        <v/>
      </c>
      <c r="O60" s="27" t="str">
        <f aca="false">IF(A60="","",K60-N60)</f>
        <v/>
      </c>
      <c r="P60" s="28" t="str">
        <f aca="false">IF(A60="","",SUMIFS(Vendas!$J$5:$J$304,Vendas!$B$5:$B$304,A60))</f>
        <v/>
      </c>
      <c r="Q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20"/>
      <c r="G61" s="21"/>
      <c r="H61" s="21"/>
      <c r="I61" s="22" t="str">
        <f aca="false">IF(G61="","",G61-H61)</f>
        <v/>
      </c>
      <c r="J61" s="23" t="str">
        <f aca="false">IF(OR(G61="",G61=0),"",I61/G61)</f>
        <v/>
      </c>
      <c r="K61" s="24"/>
      <c r="L61" s="25"/>
      <c r="M61" s="1"/>
      <c r="N61" s="26" t="str">
        <f aca="false">IF(A61="","",SUMIFS(Vendas!$E$5:$E$304,Vendas!$B$5:$B$304,A61))</f>
        <v/>
      </c>
      <c r="O61" s="27" t="str">
        <f aca="false">IF(A61="","",K61-N61)</f>
        <v/>
      </c>
      <c r="P61" s="28" t="str">
        <f aca="false">IF(A61="","",SUMIFS(Vendas!$J$5:$J$304,Vendas!$B$5:$B$304,A61))</f>
        <v/>
      </c>
      <c r="Q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20"/>
      <c r="G62" s="21"/>
      <c r="H62" s="21"/>
      <c r="I62" s="22" t="str">
        <f aca="false">IF(G62="","",G62-H62)</f>
        <v/>
      </c>
      <c r="J62" s="23" t="str">
        <f aca="false">IF(OR(G62="",G62=0),"",I62/G62)</f>
        <v/>
      </c>
      <c r="K62" s="24"/>
      <c r="L62" s="25"/>
      <c r="M62" s="1"/>
      <c r="N62" s="26" t="str">
        <f aca="false">IF(A62="","",SUMIFS(Vendas!$E$5:$E$304,Vendas!$B$5:$B$304,A62))</f>
        <v/>
      </c>
      <c r="O62" s="27" t="str">
        <f aca="false">IF(A62="","",K62-N62)</f>
        <v/>
      </c>
      <c r="P62" s="28" t="str">
        <f aca="false">IF(A62="","",SUMIFS(Vendas!$J$5:$J$304,Vendas!$B$5:$B$304,A62))</f>
        <v/>
      </c>
      <c r="Q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20"/>
      <c r="G63" s="21"/>
      <c r="H63" s="21"/>
      <c r="I63" s="22" t="str">
        <f aca="false">IF(G63="","",G63-H63)</f>
        <v/>
      </c>
      <c r="J63" s="23" t="str">
        <f aca="false">IF(OR(G63="",G63=0),"",I63/G63)</f>
        <v/>
      </c>
      <c r="K63" s="24"/>
      <c r="L63" s="25"/>
      <c r="M63" s="1"/>
      <c r="N63" s="26" t="str">
        <f aca="false">IF(A63="","",SUMIFS(Vendas!$E$5:$E$304,Vendas!$B$5:$B$304,A63))</f>
        <v/>
      </c>
      <c r="O63" s="27" t="str">
        <f aca="false">IF(A63="","",K63-N63)</f>
        <v/>
      </c>
      <c r="P63" s="28" t="str">
        <f aca="false">IF(A63="","",SUMIFS(Vendas!$J$5:$J$304,Vendas!$B$5:$B$304,A63))</f>
        <v/>
      </c>
      <c r="Q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20"/>
      <c r="G64" s="21"/>
      <c r="H64" s="21"/>
      <c r="I64" s="22" t="str">
        <f aca="false">IF(G64="","",G64-H64)</f>
        <v/>
      </c>
      <c r="J64" s="23" t="str">
        <f aca="false">IF(OR(G64="",G64=0),"",I64/G64)</f>
        <v/>
      </c>
      <c r="K64" s="24"/>
      <c r="L64" s="25"/>
      <c r="M64" s="1"/>
      <c r="N64" s="26" t="str">
        <f aca="false">IF(A64="","",SUMIFS(Vendas!$E$5:$E$304,Vendas!$B$5:$B$304,A64))</f>
        <v/>
      </c>
      <c r="O64" s="27" t="str">
        <f aca="false">IF(A64="","",K64-N64)</f>
        <v/>
      </c>
      <c r="P64" s="28" t="str">
        <f aca="false">IF(A64="","",SUMIFS(Vendas!$J$5:$J$304,Vendas!$B$5:$B$304,A64))</f>
        <v/>
      </c>
      <c r="Q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20"/>
      <c r="G65" s="21"/>
      <c r="H65" s="21"/>
      <c r="I65" s="22" t="str">
        <f aca="false">IF(G65="","",G65-H65)</f>
        <v/>
      </c>
      <c r="J65" s="23" t="str">
        <f aca="false">IF(OR(G65="",G65=0),"",I65/G65)</f>
        <v/>
      </c>
      <c r="K65" s="24"/>
      <c r="L65" s="25"/>
      <c r="M65" s="1"/>
      <c r="N65" s="26" t="str">
        <f aca="false">IF(A65="","",SUMIFS(Vendas!$E$5:$E$304,Vendas!$B$5:$B$304,A65))</f>
        <v/>
      </c>
      <c r="O65" s="27" t="str">
        <f aca="false">IF(A65="","",K65-N65)</f>
        <v/>
      </c>
      <c r="P65" s="28" t="str">
        <f aca="false">IF(A65="","",SUMIFS(Vendas!$J$5:$J$304,Vendas!$B$5:$B$304,A65))</f>
        <v/>
      </c>
      <c r="Q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20"/>
      <c r="G66" s="21"/>
      <c r="H66" s="21"/>
      <c r="I66" s="22" t="str">
        <f aca="false">IF(G66="","",G66-H66)</f>
        <v/>
      </c>
      <c r="J66" s="23" t="str">
        <f aca="false">IF(OR(G66="",G66=0),"",I66/G66)</f>
        <v/>
      </c>
      <c r="K66" s="24"/>
      <c r="L66" s="25"/>
      <c r="M66" s="1"/>
      <c r="N66" s="26" t="str">
        <f aca="false">IF(A66="","",SUMIFS(Vendas!$E$5:$E$304,Vendas!$B$5:$B$304,A66))</f>
        <v/>
      </c>
      <c r="O66" s="27" t="str">
        <f aca="false">IF(A66="","",K66-N66)</f>
        <v/>
      </c>
      <c r="P66" s="28" t="str">
        <f aca="false">IF(A66="","",SUMIFS(Vendas!$J$5:$J$304,Vendas!$B$5:$B$304,A66))</f>
        <v/>
      </c>
      <c r="Q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20"/>
      <c r="G67" s="21"/>
      <c r="H67" s="21"/>
      <c r="I67" s="22" t="str">
        <f aca="false">IF(G67="","",G67-H67)</f>
        <v/>
      </c>
      <c r="J67" s="23" t="str">
        <f aca="false">IF(OR(G67="",G67=0),"",I67/G67)</f>
        <v/>
      </c>
      <c r="K67" s="24"/>
      <c r="L67" s="25"/>
      <c r="M67" s="1"/>
      <c r="N67" s="26" t="str">
        <f aca="false">IF(A67="","",SUMIFS(Vendas!$E$5:$E$304,Vendas!$B$5:$B$304,A67))</f>
        <v/>
      </c>
      <c r="O67" s="27" t="str">
        <f aca="false">IF(A67="","",K67-N67)</f>
        <v/>
      </c>
      <c r="P67" s="28" t="str">
        <f aca="false">IF(A67="","",SUMIFS(Vendas!$J$5:$J$304,Vendas!$B$5:$B$304,A67))</f>
        <v/>
      </c>
      <c r="Q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20"/>
      <c r="G68" s="21"/>
      <c r="H68" s="21"/>
      <c r="I68" s="22" t="str">
        <f aca="false">IF(G68="","",G68-H68)</f>
        <v/>
      </c>
      <c r="J68" s="23" t="str">
        <f aca="false">IF(OR(G68="",G68=0),"",I68/G68)</f>
        <v/>
      </c>
      <c r="K68" s="24"/>
      <c r="L68" s="25"/>
      <c r="M68" s="1"/>
      <c r="N68" s="26" t="str">
        <f aca="false">IF(A68="","",SUMIFS(Vendas!$E$5:$E$304,Vendas!$B$5:$B$304,A68))</f>
        <v/>
      </c>
      <c r="O68" s="27" t="str">
        <f aca="false">IF(A68="","",K68-N68)</f>
        <v/>
      </c>
      <c r="P68" s="28" t="str">
        <f aca="false">IF(A68="","",SUMIFS(Vendas!$J$5:$J$304,Vendas!$B$5:$B$304,A68))</f>
        <v/>
      </c>
      <c r="Q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20"/>
      <c r="G69" s="21"/>
      <c r="H69" s="21"/>
      <c r="I69" s="22" t="str">
        <f aca="false">IF(G69="","",G69-H69)</f>
        <v/>
      </c>
      <c r="J69" s="23" t="str">
        <f aca="false">IF(OR(G69="",G69=0),"",I69/G69)</f>
        <v/>
      </c>
      <c r="K69" s="24"/>
      <c r="L69" s="25"/>
      <c r="M69" s="1"/>
      <c r="N69" s="26" t="str">
        <f aca="false">IF(A69="","",SUMIFS(Vendas!$E$5:$E$304,Vendas!$B$5:$B$304,A69))</f>
        <v/>
      </c>
      <c r="O69" s="27" t="str">
        <f aca="false">IF(A69="","",K69-N69)</f>
        <v/>
      </c>
      <c r="P69" s="28" t="str">
        <f aca="false">IF(A69="","",SUMIFS(Vendas!$J$5:$J$304,Vendas!$B$5:$B$304,A69))</f>
        <v/>
      </c>
      <c r="Q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20"/>
      <c r="G70" s="21"/>
      <c r="H70" s="21"/>
      <c r="I70" s="22" t="str">
        <f aca="false">IF(G70="","",G70-H70)</f>
        <v/>
      </c>
      <c r="J70" s="23" t="str">
        <f aca="false">IF(OR(G70="",G70=0),"",I70/G70)</f>
        <v/>
      </c>
      <c r="K70" s="24"/>
      <c r="L70" s="25"/>
      <c r="M70" s="1"/>
      <c r="N70" s="26" t="str">
        <f aca="false">IF(A70="","",SUMIFS(Vendas!$E$5:$E$304,Vendas!$B$5:$B$304,A70))</f>
        <v/>
      </c>
      <c r="O70" s="27" t="str">
        <f aca="false">IF(A70="","",K70-N70)</f>
        <v/>
      </c>
      <c r="P70" s="28" t="str">
        <f aca="false">IF(A70="","",SUMIFS(Vendas!$J$5:$J$304,Vendas!$B$5:$B$304,A70))</f>
        <v/>
      </c>
      <c r="Q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20"/>
      <c r="G71" s="21"/>
      <c r="H71" s="21"/>
      <c r="I71" s="22" t="str">
        <f aca="false">IF(G71="","",G71-H71)</f>
        <v/>
      </c>
      <c r="J71" s="23" t="str">
        <f aca="false">IF(OR(G71="",G71=0),"",I71/G71)</f>
        <v/>
      </c>
      <c r="K71" s="24"/>
      <c r="L71" s="25"/>
      <c r="M71" s="1"/>
      <c r="N71" s="26" t="str">
        <f aca="false">IF(A71="","",SUMIFS(Vendas!$E$5:$E$304,Vendas!$B$5:$B$304,A71))</f>
        <v/>
      </c>
      <c r="O71" s="27" t="str">
        <f aca="false">IF(A71="","",K71-N71)</f>
        <v/>
      </c>
      <c r="P71" s="28" t="str">
        <f aca="false">IF(A71="","",SUMIFS(Vendas!$J$5:$J$304,Vendas!$B$5:$B$304,A71))</f>
        <v/>
      </c>
      <c r="Q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20"/>
      <c r="G72" s="21"/>
      <c r="H72" s="21"/>
      <c r="I72" s="22" t="str">
        <f aca="false">IF(G72="","",G72-H72)</f>
        <v/>
      </c>
      <c r="J72" s="23" t="str">
        <f aca="false">IF(OR(G72="",G72=0),"",I72/G72)</f>
        <v/>
      </c>
      <c r="K72" s="24"/>
      <c r="L72" s="25"/>
      <c r="M72" s="1"/>
      <c r="N72" s="26" t="str">
        <f aca="false">IF(A72="","",SUMIFS(Vendas!$E$5:$E$304,Vendas!$B$5:$B$304,A72))</f>
        <v/>
      </c>
      <c r="O72" s="27" t="str">
        <f aca="false">IF(A72="","",K72-N72)</f>
        <v/>
      </c>
      <c r="P72" s="28" t="str">
        <f aca="false">IF(A72="","",SUMIFS(Vendas!$J$5:$J$304,Vendas!$B$5:$B$304,A72))</f>
        <v/>
      </c>
      <c r="Q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20"/>
      <c r="G73" s="21"/>
      <c r="H73" s="21"/>
      <c r="I73" s="22" t="str">
        <f aca="false">IF(G73="","",G73-H73)</f>
        <v/>
      </c>
      <c r="J73" s="23" t="str">
        <f aca="false">IF(OR(G73="",G73=0),"",I73/G73)</f>
        <v/>
      </c>
      <c r="K73" s="24"/>
      <c r="L73" s="25"/>
      <c r="M73" s="1"/>
      <c r="N73" s="26" t="str">
        <f aca="false">IF(A73="","",SUMIFS(Vendas!$E$5:$E$304,Vendas!$B$5:$B$304,A73))</f>
        <v/>
      </c>
      <c r="O73" s="27" t="str">
        <f aca="false">IF(A73="","",K73-N73)</f>
        <v/>
      </c>
      <c r="P73" s="28" t="str">
        <f aca="false">IF(A73="","",SUMIFS(Vendas!$J$5:$J$304,Vendas!$B$5:$B$304,A73))</f>
        <v/>
      </c>
      <c r="Q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20"/>
      <c r="G74" s="21"/>
      <c r="H74" s="21"/>
      <c r="I74" s="22" t="str">
        <f aca="false">IF(G74="","",G74-H74)</f>
        <v/>
      </c>
      <c r="J74" s="23" t="str">
        <f aca="false">IF(OR(G74="",G74=0),"",I74/G74)</f>
        <v/>
      </c>
      <c r="K74" s="24"/>
      <c r="L74" s="25"/>
      <c r="M74" s="1"/>
      <c r="N74" s="26" t="str">
        <f aca="false">IF(A74="","",SUMIFS(Vendas!$E$5:$E$304,Vendas!$B$5:$B$304,A74))</f>
        <v/>
      </c>
      <c r="O74" s="27" t="str">
        <f aca="false">IF(A74="","",K74-N74)</f>
        <v/>
      </c>
      <c r="P74" s="28" t="str">
        <f aca="false">IF(A74="","",SUMIFS(Vendas!$J$5:$J$304,Vendas!$B$5:$B$304,A74))</f>
        <v/>
      </c>
      <c r="Q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20"/>
      <c r="G75" s="21"/>
      <c r="H75" s="21"/>
      <c r="I75" s="22" t="str">
        <f aca="false">IF(G75="","",G75-H75)</f>
        <v/>
      </c>
      <c r="J75" s="23" t="str">
        <f aca="false">IF(OR(G75="",G75=0),"",I75/G75)</f>
        <v/>
      </c>
      <c r="K75" s="24"/>
      <c r="L75" s="25"/>
      <c r="M75" s="1"/>
      <c r="N75" s="26" t="str">
        <f aca="false">IF(A75="","",SUMIFS(Vendas!$E$5:$E$304,Vendas!$B$5:$B$304,A75))</f>
        <v/>
      </c>
      <c r="O75" s="27" t="str">
        <f aca="false">IF(A75="","",K75-N75)</f>
        <v/>
      </c>
      <c r="P75" s="28" t="str">
        <f aca="false">IF(A75="","",SUMIFS(Vendas!$J$5:$J$304,Vendas!$B$5:$B$304,A75))</f>
        <v/>
      </c>
      <c r="Q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20"/>
      <c r="G76" s="21"/>
      <c r="H76" s="21"/>
      <c r="I76" s="22" t="str">
        <f aca="false">IF(G76="","",G76-H76)</f>
        <v/>
      </c>
      <c r="J76" s="23" t="str">
        <f aca="false">IF(OR(G76="",G76=0),"",I76/G76)</f>
        <v/>
      </c>
      <c r="K76" s="24"/>
      <c r="L76" s="25"/>
      <c r="M76" s="1"/>
      <c r="N76" s="26" t="str">
        <f aca="false">IF(A76="","",SUMIFS(Vendas!$E$5:$E$304,Vendas!$B$5:$B$304,A76))</f>
        <v/>
      </c>
      <c r="O76" s="27" t="str">
        <f aca="false">IF(A76="","",K76-N76)</f>
        <v/>
      </c>
      <c r="P76" s="28" t="str">
        <f aca="false">IF(A76="","",SUMIFS(Vendas!$J$5:$J$304,Vendas!$B$5:$B$304,A76))</f>
        <v/>
      </c>
      <c r="Q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20"/>
      <c r="G77" s="21"/>
      <c r="H77" s="21"/>
      <c r="I77" s="22" t="str">
        <f aca="false">IF(G77="","",G77-H77)</f>
        <v/>
      </c>
      <c r="J77" s="23" t="str">
        <f aca="false">IF(OR(G77="",G77=0),"",I77/G77)</f>
        <v/>
      </c>
      <c r="K77" s="24"/>
      <c r="L77" s="25"/>
      <c r="M77" s="1"/>
      <c r="N77" s="26" t="str">
        <f aca="false">IF(A77="","",SUMIFS(Vendas!$E$5:$E$304,Vendas!$B$5:$B$304,A77))</f>
        <v/>
      </c>
      <c r="O77" s="27" t="str">
        <f aca="false">IF(A77="","",K77-N77)</f>
        <v/>
      </c>
      <c r="P77" s="28" t="str">
        <f aca="false">IF(A77="","",SUMIFS(Vendas!$J$5:$J$304,Vendas!$B$5:$B$304,A77))</f>
        <v/>
      </c>
      <c r="Q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20"/>
      <c r="G78" s="21"/>
      <c r="H78" s="21"/>
      <c r="I78" s="22" t="str">
        <f aca="false">IF(G78="","",G78-H78)</f>
        <v/>
      </c>
      <c r="J78" s="23" t="str">
        <f aca="false">IF(OR(G78="",G78=0),"",I78/G78)</f>
        <v/>
      </c>
      <c r="K78" s="24"/>
      <c r="L78" s="25"/>
      <c r="M78" s="1"/>
      <c r="N78" s="26" t="str">
        <f aca="false">IF(A78="","",SUMIFS(Vendas!$E$5:$E$304,Vendas!$B$5:$B$304,A78))</f>
        <v/>
      </c>
      <c r="O78" s="27" t="str">
        <f aca="false">IF(A78="","",K78-N78)</f>
        <v/>
      </c>
      <c r="P78" s="28" t="str">
        <f aca="false">IF(A78="","",SUMIFS(Vendas!$J$5:$J$304,Vendas!$B$5:$B$304,A78))</f>
        <v/>
      </c>
      <c r="Q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20"/>
      <c r="G79" s="21"/>
      <c r="H79" s="21"/>
      <c r="I79" s="22" t="str">
        <f aca="false">IF(G79="","",G79-H79)</f>
        <v/>
      </c>
      <c r="J79" s="23" t="str">
        <f aca="false">IF(OR(G79="",G79=0),"",I79/G79)</f>
        <v/>
      </c>
      <c r="K79" s="24"/>
      <c r="L79" s="25"/>
      <c r="M79" s="1"/>
      <c r="N79" s="26" t="str">
        <f aca="false">IF(A79="","",SUMIFS(Vendas!$E$5:$E$304,Vendas!$B$5:$B$304,A79))</f>
        <v/>
      </c>
      <c r="O79" s="27" t="str">
        <f aca="false">IF(A79="","",K79-N79)</f>
        <v/>
      </c>
      <c r="P79" s="28" t="str">
        <f aca="false">IF(A79="","",SUMIFS(Vendas!$J$5:$J$304,Vendas!$B$5:$B$304,A79))</f>
        <v/>
      </c>
      <c r="Q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20"/>
      <c r="G80" s="21"/>
      <c r="H80" s="21"/>
      <c r="I80" s="22" t="str">
        <f aca="false">IF(G80="","",G80-H80)</f>
        <v/>
      </c>
      <c r="J80" s="23" t="str">
        <f aca="false">IF(OR(G80="",G80=0),"",I80/G80)</f>
        <v/>
      </c>
      <c r="K80" s="24"/>
      <c r="L80" s="25"/>
      <c r="M80" s="1"/>
      <c r="N80" s="26" t="str">
        <f aca="false">IF(A80="","",SUMIFS(Vendas!$E$5:$E$304,Vendas!$B$5:$B$304,A80))</f>
        <v/>
      </c>
      <c r="O80" s="27" t="str">
        <f aca="false">IF(A80="","",K80-N80)</f>
        <v/>
      </c>
      <c r="P80" s="28" t="str">
        <f aca="false">IF(A80="","",SUMIFS(Vendas!$J$5:$J$304,Vendas!$B$5:$B$304,A80))</f>
        <v/>
      </c>
      <c r="Q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20"/>
      <c r="G81" s="21"/>
      <c r="H81" s="21"/>
      <c r="I81" s="22" t="str">
        <f aca="false">IF(G81="","",G81-H81)</f>
        <v/>
      </c>
      <c r="J81" s="23" t="str">
        <f aca="false">IF(OR(G81="",G81=0),"",I81/G81)</f>
        <v/>
      </c>
      <c r="K81" s="24"/>
      <c r="L81" s="25"/>
      <c r="M81" s="1"/>
      <c r="N81" s="26" t="str">
        <f aca="false">IF(A81="","",SUMIFS(Vendas!$E$5:$E$304,Vendas!$B$5:$B$304,A81))</f>
        <v/>
      </c>
      <c r="O81" s="27" t="str">
        <f aca="false">IF(A81="","",K81-N81)</f>
        <v/>
      </c>
      <c r="P81" s="28" t="str">
        <f aca="false">IF(A81="","",SUMIFS(Vendas!$J$5:$J$304,Vendas!$B$5:$B$304,A81))</f>
        <v/>
      </c>
      <c r="Q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20"/>
      <c r="G82" s="21"/>
      <c r="H82" s="21"/>
      <c r="I82" s="22" t="str">
        <f aca="false">IF(G82="","",G82-H82)</f>
        <v/>
      </c>
      <c r="J82" s="23" t="str">
        <f aca="false">IF(OR(G82="",G82=0),"",I82/G82)</f>
        <v/>
      </c>
      <c r="K82" s="24"/>
      <c r="L82" s="25"/>
      <c r="M82" s="1"/>
      <c r="N82" s="26" t="str">
        <f aca="false">IF(A82="","",SUMIFS(Vendas!$E$5:$E$304,Vendas!$B$5:$B$304,A82))</f>
        <v/>
      </c>
      <c r="O82" s="27" t="str">
        <f aca="false">IF(A82="","",K82-N82)</f>
        <v/>
      </c>
      <c r="P82" s="28" t="str">
        <f aca="false">IF(A82="","",SUMIFS(Vendas!$J$5:$J$304,Vendas!$B$5:$B$304,A82))</f>
        <v/>
      </c>
      <c r="Q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20"/>
      <c r="G83" s="21"/>
      <c r="H83" s="21"/>
      <c r="I83" s="22" t="str">
        <f aca="false">IF(G83="","",G83-H83)</f>
        <v/>
      </c>
      <c r="J83" s="23" t="str">
        <f aca="false">IF(OR(G83="",G83=0),"",I83/G83)</f>
        <v/>
      </c>
      <c r="K83" s="24"/>
      <c r="L83" s="25"/>
      <c r="M83" s="1"/>
      <c r="N83" s="26" t="str">
        <f aca="false">IF(A83="","",SUMIFS(Vendas!$E$5:$E$304,Vendas!$B$5:$B$304,A83))</f>
        <v/>
      </c>
      <c r="O83" s="27" t="str">
        <f aca="false">IF(A83="","",K83-N83)</f>
        <v/>
      </c>
      <c r="P83" s="28" t="str">
        <f aca="false">IF(A83="","",SUMIFS(Vendas!$J$5:$J$304,Vendas!$B$5:$B$304,A83))</f>
        <v/>
      </c>
      <c r="Q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20"/>
      <c r="G84" s="21"/>
      <c r="H84" s="21"/>
      <c r="I84" s="22" t="str">
        <f aca="false">IF(G84="","",G84-H84)</f>
        <v/>
      </c>
      <c r="J84" s="23" t="str">
        <f aca="false">IF(OR(G84="",G84=0),"",I84/G84)</f>
        <v/>
      </c>
      <c r="K84" s="24"/>
      <c r="L84" s="25"/>
      <c r="M84" s="1"/>
      <c r="N84" s="26" t="str">
        <f aca="false">IF(A84="","",SUMIFS(Vendas!$E$5:$E$304,Vendas!$B$5:$B$304,A84))</f>
        <v/>
      </c>
      <c r="O84" s="27" t="str">
        <f aca="false">IF(A84="","",K84-N84)</f>
        <v/>
      </c>
      <c r="P84" s="28" t="str">
        <f aca="false">IF(A84="","",SUMIFS(Vendas!$J$5:$J$304,Vendas!$B$5:$B$304,A84))</f>
        <v/>
      </c>
      <c r="Q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20"/>
      <c r="G85" s="21"/>
      <c r="H85" s="21"/>
      <c r="I85" s="22" t="str">
        <f aca="false">IF(G85="","",G85-H85)</f>
        <v/>
      </c>
      <c r="J85" s="23" t="str">
        <f aca="false">IF(OR(G85="",G85=0),"",I85/G85)</f>
        <v/>
      </c>
      <c r="K85" s="24"/>
      <c r="L85" s="25"/>
      <c r="M85" s="1"/>
      <c r="N85" s="26" t="str">
        <f aca="false">IF(A85="","",SUMIFS(Vendas!$E$5:$E$304,Vendas!$B$5:$B$304,A85))</f>
        <v/>
      </c>
      <c r="O85" s="27" t="str">
        <f aca="false">IF(A85="","",K85-N85)</f>
        <v/>
      </c>
      <c r="P85" s="28" t="str">
        <f aca="false">IF(A85="","",SUMIFS(Vendas!$J$5:$J$304,Vendas!$B$5:$B$304,A85))</f>
        <v/>
      </c>
      <c r="Q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20"/>
      <c r="G86" s="21"/>
      <c r="H86" s="21"/>
      <c r="I86" s="22" t="str">
        <f aca="false">IF(G86="","",G86-H86)</f>
        <v/>
      </c>
      <c r="J86" s="23" t="str">
        <f aca="false">IF(OR(G86="",G86=0),"",I86/G86)</f>
        <v/>
      </c>
      <c r="K86" s="24"/>
      <c r="L86" s="25"/>
      <c r="M86" s="1"/>
      <c r="N86" s="26" t="str">
        <f aca="false">IF(A86="","",SUMIFS(Vendas!$E$5:$E$304,Vendas!$B$5:$B$304,A86))</f>
        <v/>
      </c>
      <c r="O86" s="27" t="str">
        <f aca="false">IF(A86="","",K86-N86)</f>
        <v/>
      </c>
      <c r="P86" s="28" t="str">
        <f aca="false">IF(A86="","",SUMIFS(Vendas!$J$5:$J$304,Vendas!$B$5:$B$304,A86))</f>
        <v/>
      </c>
      <c r="Q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20"/>
      <c r="G87" s="21"/>
      <c r="H87" s="21"/>
      <c r="I87" s="22" t="str">
        <f aca="false">IF(G87="","",G87-H87)</f>
        <v/>
      </c>
      <c r="J87" s="23" t="str">
        <f aca="false">IF(OR(G87="",G87=0),"",I87/G87)</f>
        <v/>
      </c>
      <c r="K87" s="24"/>
      <c r="L87" s="25"/>
      <c r="M87" s="1"/>
      <c r="N87" s="26" t="str">
        <f aca="false">IF(A87="","",SUMIFS(Vendas!$E$5:$E$304,Vendas!$B$5:$B$304,A87))</f>
        <v/>
      </c>
      <c r="O87" s="27" t="str">
        <f aca="false">IF(A87="","",K87-N87)</f>
        <v/>
      </c>
      <c r="P87" s="28" t="str">
        <f aca="false">IF(A87="","",SUMIFS(Vendas!$J$5:$J$304,Vendas!$B$5:$B$304,A87))</f>
        <v/>
      </c>
      <c r="Q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20"/>
      <c r="G88" s="21"/>
      <c r="H88" s="21"/>
      <c r="I88" s="22" t="str">
        <f aca="false">IF(G88="","",G88-H88)</f>
        <v/>
      </c>
      <c r="J88" s="23" t="str">
        <f aca="false">IF(OR(G88="",G88=0),"",I88/G88)</f>
        <v/>
      </c>
      <c r="K88" s="24"/>
      <c r="L88" s="25"/>
      <c r="M88" s="1"/>
      <c r="N88" s="26" t="str">
        <f aca="false">IF(A88="","",SUMIFS(Vendas!$E$5:$E$304,Vendas!$B$5:$B$304,A88))</f>
        <v/>
      </c>
      <c r="O88" s="27" t="str">
        <f aca="false">IF(A88="","",K88-N88)</f>
        <v/>
      </c>
      <c r="P88" s="28" t="str">
        <f aca="false">IF(A88="","",SUMIFS(Vendas!$J$5:$J$304,Vendas!$B$5:$B$304,A88))</f>
        <v/>
      </c>
      <c r="Q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20"/>
      <c r="G89" s="21"/>
      <c r="H89" s="21"/>
      <c r="I89" s="22" t="str">
        <f aca="false">IF(G89="","",G89-H89)</f>
        <v/>
      </c>
      <c r="J89" s="23" t="str">
        <f aca="false">IF(OR(G89="",G89=0),"",I89/G89)</f>
        <v/>
      </c>
      <c r="K89" s="24"/>
      <c r="L89" s="25"/>
      <c r="M89" s="1"/>
      <c r="N89" s="26" t="str">
        <f aca="false">IF(A89="","",SUMIFS(Vendas!$E$5:$E$304,Vendas!$B$5:$B$304,A89))</f>
        <v/>
      </c>
      <c r="O89" s="27" t="str">
        <f aca="false">IF(A89="","",K89-N89)</f>
        <v/>
      </c>
      <c r="P89" s="28" t="str">
        <f aca="false">IF(A89="","",SUMIFS(Vendas!$J$5:$J$304,Vendas!$B$5:$B$304,A89))</f>
        <v/>
      </c>
      <c r="Q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20"/>
      <c r="G90" s="21"/>
      <c r="H90" s="21"/>
      <c r="I90" s="22" t="str">
        <f aca="false">IF(G90="","",G90-H90)</f>
        <v/>
      </c>
      <c r="J90" s="23" t="str">
        <f aca="false">IF(OR(G90="",G90=0),"",I90/G90)</f>
        <v/>
      </c>
      <c r="K90" s="24"/>
      <c r="L90" s="25"/>
      <c r="M90" s="1"/>
      <c r="N90" s="26" t="str">
        <f aca="false">IF(A90="","",SUMIFS(Vendas!$E$5:$E$304,Vendas!$B$5:$B$304,A90))</f>
        <v/>
      </c>
      <c r="O90" s="27" t="str">
        <f aca="false">IF(A90="","",K90-N90)</f>
        <v/>
      </c>
      <c r="P90" s="28" t="str">
        <f aca="false">IF(A90="","",SUMIFS(Vendas!$J$5:$J$304,Vendas!$B$5:$B$304,A90))</f>
        <v/>
      </c>
      <c r="Q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20"/>
      <c r="G91" s="21"/>
      <c r="H91" s="21"/>
      <c r="I91" s="22" t="str">
        <f aca="false">IF(G91="","",G91-H91)</f>
        <v/>
      </c>
      <c r="J91" s="23" t="str">
        <f aca="false">IF(OR(G91="",G91=0),"",I91/G91)</f>
        <v/>
      </c>
      <c r="K91" s="24"/>
      <c r="L91" s="25"/>
      <c r="M91" s="1"/>
      <c r="N91" s="26" t="str">
        <f aca="false">IF(A91="","",SUMIFS(Vendas!$E$5:$E$304,Vendas!$B$5:$B$304,A91))</f>
        <v/>
      </c>
      <c r="O91" s="27" t="str">
        <f aca="false">IF(A91="","",K91-N91)</f>
        <v/>
      </c>
      <c r="P91" s="28" t="str">
        <f aca="false">IF(A91="","",SUMIFS(Vendas!$J$5:$J$304,Vendas!$B$5:$B$304,A91))</f>
        <v/>
      </c>
      <c r="Q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20"/>
      <c r="G92" s="21"/>
      <c r="H92" s="21"/>
      <c r="I92" s="22" t="str">
        <f aca="false">IF(G92="","",G92-H92)</f>
        <v/>
      </c>
      <c r="J92" s="23" t="str">
        <f aca="false">IF(OR(G92="",G92=0),"",I92/G92)</f>
        <v/>
      </c>
      <c r="K92" s="24"/>
      <c r="L92" s="25"/>
      <c r="M92" s="1"/>
      <c r="N92" s="26" t="str">
        <f aca="false">IF(A92="","",SUMIFS(Vendas!$E$5:$E$304,Vendas!$B$5:$B$304,A92))</f>
        <v/>
      </c>
      <c r="O92" s="27" t="str">
        <f aca="false">IF(A92="","",K92-N92)</f>
        <v/>
      </c>
      <c r="P92" s="28" t="str">
        <f aca="false">IF(A92="","",SUMIFS(Vendas!$J$5:$J$304,Vendas!$B$5:$B$304,A92))</f>
        <v/>
      </c>
      <c r="Q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20"/>
      <c r="G93" s="21"/>
      <c r="H93" s="21"/>
      <c r="I93" s="22" t="str">
        <f aca="false">IF(G93="","",G93-H93)</f>
        <v/>
      </c>
      <c r="J93" s="23" t="str">
        <f aca="false">IF(OR(G93="",G93=0),"",I93/G93)</f>
        <v/>
      </c>
      <c r="K93" s="24"/>
      <c r="L93" s="25"/>
      <c r="M93" s="1"/>
      <c r="N93" s="26" t="str">
        <f aca="false">IF(A93="","",SUMIFS(Vendas!$E$5:$E$304,Vendas!$B$5:$B$304,A93))</f>
        <v/>
      </c>
      <c r="O93" s="27" t="str">
        <f aca="false">IF(A93="","",K93-N93)</f>
        <v/>
      </c>
      <c r="P93" s="28" t="str">
        <f aca="false">IF(A93="","",SUMIFS(Vendas!$J$5:$J$304,Vendas!$B$5:$B$304,A93))</f>
        <v/>
      </c>
      <c r="Q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20"/>
      <c r="G94" s="21"/>
      <c r="H94" s="21"/>
      <c r="I94" s="22" t="str">
        <f aca="false">IF(G94="","",G94-H94)</f>
        <v/>
      </c>
      <c r="J94" s="23" t="str">
        <f aca="false">IF(OR(G94="",G94=0),"",I94/G94)</f>
        <v/>
      </c>
      <c r="K94" s="24"/>
      <c r="L94" s="25"/>
      <c r="M94" s="1"/>
      <c r="N94" s="26" t="str">
        <f aca="false">IF(A94="","",SUMIFS(Vendas!$E$5:$E$304,Vendas!$B$5:$B$304,A94))</f>
        <v/>
      </c>
      <c r="O94" s="27" t="str">
        <f aca="false">IF(A94="","",K94-N94)</f>
        <v/>
      </c>
      <c r="P94" s="28" t="str">
        <f aca="false">IF(A94="","",SUMIFS(Vendas!$J$5:$J$304,Vendas!$B$5:$B$304,A94))</f>
        <v/>
      </c>
      <c r="Q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20"/>
      <c r="G95" s="21"/>
      <c r="H95" s="21"/>
      <c r="I95" s="22" t="str">
        <f aca="false">IF(G95="","",G95-H95)</f>
        <v/>
      </c>
      <c r="J95" s="23" t="str">
        <f aca="false">IF(OR(G95="",G95=0),"",I95/G95)</f>
        <v/>
      </c>
      <c r="K95" s="24"/>
      <c r="L95" s="25"/>
      <c r="M95" s="1"/>
      <c r="N95" s="26" t="str">
        <f aca="false">IF(A95="","",SUMIFS(Vendas!$E$5:$E$304,Vendas!$B$5:$B$304,A95))</f>
        <v/>
      </c>
      <c r="O95" s="27" t="str">
        <f aca="false">IF(A95="","",K95-N95)</f>
        <v/>
      </c>
      <c r="P95" s="28" t="str">
        <f aca="false">IF(A95="","",SUMIFS(Vendas!$J$5:$J$304,Vendas!$B$5:$B$304,A95))</f>
        <v/>
      </c>
      <c r="Q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20"/>
      <c r="G96" s="21"/>
      <c r="H96" s="21"/>
      <c r="I96" s="22" t="str">
        <f aca="false">IF(G96="","",G96-H96)</f>
        <v/>
      </c>
      <c r="J96" s="23" t="str">
        <f aca="false">IF(OR(G96="",G96=0),"",I96/G96)</f>
        <v/>
      </c>
      <c r="K96" s="24"/>
      <c r="L96" s="25"/>
      <c r="M96" s="1"/>
      <c r="N96" s="26" t="str">
        <f aca="false">IF(A96="","",SUMIFS(Vendas!$E$5:$E$304,Vendas!$B$5:$B$304,A96))</f>
        <v/>
      </c>
      <c r="O96" s="27" t="str">
        <f aca="false">IF(A96="","",K96-N96)</f>
        <v/>
      </c>
      <c r="P96" s="28" t="str">
        <f aca="false">IF(A96="","",SUMIFS(Vendas!$J$5:$J$304,Vendas!$B$5:$B$304,A96))</f>
        <v/>
      </c>
      <c r="Q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20"/>
      <c r="G97" s="21"/>
      <c r="H97" s="21"/>
      <c r="I97" s="22" t="str">
        <f aca="false">IF(G97="","",G97-H97)</f>
        <v/>
      </c>
      <c r="J97" s="23" t="str">
        <f aca="false">IF(OR(G97="",G97=0),"",I97/G97)</f>
        <v/>
      </c>
      <c r="K97" s="24"/>
      <c r="L97" s="25"/>
      <c r="M97" s="1"/>
      <c r="N97" s="26" t="str">
        <f aca="false">IF(A97="","",SUMIFS(Vendas!$E$5:$E$304,Vendas!$B$5:$B$304,A97))</f>
        <v/>
      </c>
      <c r="O97" s="27" t="str">
        <f aca="false">IF(A97="","",K97-N97)</f>
        <v/>
      </c>
      <c r="P97" s="28" t="str">
        <f aca="false">IF(A97="","",SUMIFS(Vendas!$J$5:$J$304,Vendas!$B$5:$B$304,A97))</f>
        <v/>
      </c>
      <c r="Q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20"/>
      <c r="G98" s="21"/>
      <c r="H98" s="21"/>
      <c r="I98" s="22" t="str">
        <f aca="false">IF(G98="","",G98-H98)</f>
        <v/>
      </c>
      <c r="J98" s="23" t="str">
        <f aca="false">IF(OR(G98="",G98=0),"",I98/G98)</f>
        <v/>
      </c>
      <c r="K98" s="24"/>
      <c r="L98" s="25"/>
      <c r="M98" s="1"/>
      <c r="N98" s="26" t="str">
        <f aca="false">IF(A98="","",SUMIFS(Vendas!$E$5:$E$304,Vendas!$B$5:$B$304,A98))</f>
        <v/>
      </c>
      <c r="O98" s="27" t="str">
        <f aca="false">IF(A98="","",K98-N98)</f>
        <v/>
      </c>
      <c r="P98" s="28" t="str">
        <f aca="false">IF(A98="","",SUMIFS(Vendas!$J$5:$J$304,Vendas!$B$5:$B$304,A98))</f>
        <v/>
      </c>
      <c r="Q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20"/>
      <c r="G99" s="21"/>
      <c r="H99" s="21"/>
      <c r="I99" s="22" t="str">
        <f aca="false">IF(G99="","",G99-H99)</f>
        <v/>
      </c>
      <c r="J99" s="23" t="str">
        <f aca="false">IF(OR(G99="",G99=0),"",I99/G99)</f>
        <v/>
      </c>
      <c r="K99" s="24"/>
      <c r="L99" s="25"/>
      <c r="M99" s="1"/>
      <c r="N99" s="26" t="str">
        <f aca="false">IF(A99="","",SUMIFS(Vendas!$E$5:$E$304,Vendas!$B$5:$B$304,A99))</f>
        <v/>
      </c>
      <c r="O99" s="27" t="str">
        <f aca="false">IF(A99="","",K99-N99)</f>
        <v/>
      </c>
      <c r="P99" s="28" t="str">
        <f aca="false">IF(A99="","",SUMIFS(Vendas!$J$5:$J$304,Vendas!$B$5:$B$304,A99))</f>
        <v/>
      </c>
      <c r="Q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20"/>
      <c r="G100" s="21"/>
      <c r="H100" s="21"/>
      <c r="I100" s="22" t="str">
        <f aca="false">IF(G100="","",G100-H100)</f>
        <v/>
      </c>
      <c r="J100" s="23" t="str">
        <f aca="false">IF(OR(G100="",G100=0),"",I100/G100)</f>
        <v/>
      </c>
      <c r="K100" s="24"/>
      <c r="L100" s="25"/>
      <c r="M100" s="1"/>
      <c r="N100" s="26" t="str">
        <f aca="false">IF(A100="","",SUMIFS(Vendas!$E$5:$E$304,Vendas!$B$5:$B$304,A100))</f>
        <v/>
      </c>
      <c r="O100" s="27" t="str">
        <f aca="false">IF(A100="","",K100-N100)</f>
        <v/>
      </c>
      <c r="P100" s="28" t="str">
        <f aca="false">IF(A100="","",SUMIFS(Vendas!$J$5:$J$304,Vendas!$B$5:$B$304,A100))</f>
        <v/>
      </c>
      <c r="Q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20"/>
      <c r="G101" s="21"/>
      <c r="H101" s="21"/>
      <c r="I101" s="22" t="str">
        <f aca="false">IF(G101="","",G101-H101)</f>
        <v/>
      </c>
      <c r="J101" s="23" t="str">
        <f aca="false">IF(OR(G101="",G101=0),"",I101/G101)</f>
        <v/>
      </c>
      <c r="K101" s="24"/>
      <c r="L101" s="25"/>
      <c r="M101" s="1"/>
      <c r="N101" s="26" t="str">
        <f aca="false">IF(A101="","",SUMIFS(Vendas!$E$5:$E$304,Vendas!$B$5:$B$304,A101))</f>
        <v/>
      </c>
      <c r="O101" s="27" t="str">
        <f aca="false">IF(A101="","",K101-N101)</f>
        <v/>
      </c>
      <c r="P101" s="28" t="str">
        <f aca="false">IF(A101="","",SUMIFS(Vendas!$J$5:$J$304,Vendas!$B$5:$B$304,A101))</f>
        <v/>
      </c>
      <c r="Q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20"/>
      <c r="G102" s="21"/>
      <c r="H102" s="21"/>
      <c r="I102" s="22" t="str">
        <f aca="false">IF(G102="","",G102-H102)</f>
        <v/>
      </c>
      <c r="J102" s="23" t="str">
        <f aca="false">IF(OR(G102="",G102=0),"",I102/G102)</f>
        <v/>
      </c>
      <c r="K102" s="24"/>
      <c r="L102" s="25"/>
      <c r="M102" s="1"/>
      <c r="N102" s="26" t="str">
        <f aca="false">IF(A102="","",SUMIFS(Vendas!$E$5:$E$304,Vendas!$B$5:$B$304,A102))</f>
        <v/>
      </c>
      <c r="O102" s="27" t="str">
        <f aca="false">IF(A102="","",K102-N102)</f>
        <v/>
      </c>
      <c r="P102" s="28" t="str">
        <f aca="false">IF(A102="","",SUMIFS(Vendas!$J$5:$J$304,Vendas!$B$5:$B$304,A102))</f>
        <v/>
      </c>
      <c r="Q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20"/>
      <c r="G103" s="21"/>
      <c r="H103" s="21"/>
      <c r="I103" s="22" t="str">
        <f aca="false">IF(G103="","",G103-H103)</f>
        <v/>
      </c>
      <c r="J103" s="23" t="str">
        <f aca="false">IF(OR(G103="",G103=0),"",I103/G103)</f>
        <v/>
      </c>
      <c r="K103" s="24"/>
      <c r="L103" s="25"/>
      <c r="M103" s="1"/>
      <c r="N103" s="26" t="str">
        <f aca="false">IF(A103="","",SUMIFS(Vendas!$E$5:$E$304,Vendas!$B$5:$B$304,A103))</f>
        <v/>
      </c>
      <c r="O103" s="27" t="str">
        <f aca="false">IF(A103="","",K103-N103)</f>
        <v/>
      </c>
      <c r="P103" s="28" t="str">
        <f aca="false">IF(A103="","",SUMIFS(Vendas!$J$5:$J$304,Vendas!$B$5:$B$304,A103))</f>
        <v/>
      </c>
      <c r="Q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20"/>
      <c r="G104" s="21"/>
      <c r="H104" s="21"/>
      <c r="I104" s="22" t="str">
        <f aca="false">IF(G104="","",G104-H104)</f>
        <v/>
      </c>
      <c r="J104" s="23" t="str">
        <f aca="false">IF(OR(G104="",G104=0),"",I104/G104)</f>
        <v/>
      </c>
      <c r="K104" s="24"/>
      <c r="L104" s="25"/>
      <c r="M104" s="1"/>
      <c r="N104" s="26" t="str">
        <f aca="false">IF(A104="","",SUMIFS(Vendas!$E$5:$E$304,Vendas!$B$5:$B$304,A104))</f>
        <v/>
      </c>
      <c r="O104" s="27" t="str">
        <f aca="false">IF(A104="","",K104-N104)</f>
        <v/>
      </c>
      <c r="P104" s="28" t="str">
        <f aca="false">IF(A104="","",SUMIFS(Vendas!$J$5:$J$304,Vendas!$B$5:$B$304,A104))</f>
        <v/>
      </c>
      <c r="Q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20"/>
      <c r="G105" s="21"/>
      <c r="H105" s="21"/>
      <c r="I105" s="22" t="str">
        <f aca="false">IF(G105="","",G105-H105)</f>
        <v/>
      </c>
      <c r="J105" s="23" t="str">
        <f aca="false">IF(OR(G105="",G105=0),"",I105/G105)</f>
        <v/>
      </c>
      <c r="K105" s="24"/>
      <c r="L105" s="25"/>
      <c r="M105" s="1"/>
      <c r="N105" s="26" t="str">
        <f aca="false">IF(A105="","",SUMIFS(Vendas!$E$5:$E$304,Vendas!$B$5:$B$304,A105))</f>
        <v/>
      </c>
      <c r="O105" s="27" t="str">
        <f aca="false">IF(A105="","",K105-N105)</f>
        <v/>
      </c>
      <c r="P105" s="28" t="str">
        <f aca="false">IF(A105="","",SUMIFS(Vendas!$J$5:$J$304,Vendas!$B$5:$B$304,A105))</f>
        <v/>
      </c>
      <c r="Q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20"/>
      <c r="G106" s="21"/>
      <c r="H106" s="21"/>
      <c r="I106" s="22" t="str">
        <f aca="false">IF(G106="","",G106-H106)</f>
        <v/>
      </c>
      <c r="J106" s="23" t="str">
        <f aca="false">IF(OR(G106="",G106=0),"",I106/G106)</f>
        <v/>
      </c>
      <c r="K106" s="24"/>
      <c r="L106" s="25"/>
      <c r="M106" s="1"/>
      <c r="N106" s="26" t="str">
        <f aca="false">IF(A106="","",SUMIFS(Vendas!$E$5:$E$304,Vendas!$B$5:$B$304,A106))</f>
        <v/>
      </c>
      <c r="O106" s="27" t="str">
        <f aca="false">IF(A106="","",K106-N106)</f>
        <v/>
      </c>
      <c r="P106" s="28" t="str">
        <f aca="false">IF(A106="","",SUMIFS(Vendas!$J$5:$J$304,Vendas!$B$5:$B$304,A106))</f>
        <v/>
      </c>
      <c r="Q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20"/>
      <c r="G107" s="21"/>
      <c r="H107" s="21"/>
      <c r="I107" s="22" t="str">
        <f aca="false">IF(G107="","",G107-H107)</f>
        <v/>
      </c>
      <c r="J107" s="23" t="str">
        <f aca="false">IF(OR(G107="",G107=0),"",I107/G107)</f>
        <v/>
      </c>
      <c r="K107" s="24"/>
      <c r="L107" s="25"/>
      <c r="M107" s="1"/>
      <c r="N107" s="26" t="str">
        <f aca="false">IF(A107="","",SUMIFS(Vendas!$E$5:$E$304,Vendas!$B$5:$B$304,A107))</f>
        <v/>
      </c>
      <c r="O107" s="27" t="str">
        <f aca="false">IF(A107="","",K107-N107)</f>
        <v/>
      </c>
      <c r="P107" s="28" t="str">
        <f aca="false">IF(A107="","",SUMIFS(Vendas!$J$5:$J$304,Vendas!$B$5:$B$304,A107))</f>
        <v/>
      </c>
      <c r="Q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20"/>
      <c r="G108" s="21"/>
      <c r="H108" s="21"/>
      <c r="I108" s="22" t="str">
        <f aca="false">IF(G108="","",G108-H108)</f>
        <v/>
      </c>
      <c r="J108" s="23" t="str">
        <f aca="false">IF(OR(G108="",G108=0),"",I108/G108)</f>
        <v/>
      </c>
      <c r="K108" s="24"/>
      <c r="L108" s="25"/>
      <c r="M108" s="1"/>
      <c r="N108" s="26" t="str">
        <f aca="false">IF(A108="","",SUMIFS(Vendas!$E$5:$E$304,Vendas!$B$5:$B$304,A108))</f>
        <v/>
      </c>
      <c r="O108" s="27" t="str">
        <f aca="false">IF(A108="","",K108-N108)</f>
        <v/>
      </c>
      <c r="P108" s="28" t="str">
        <f aca="false">IF(A108="","",SUMIFS(Vendas!$J$5:$J$304,Vendas!$B$5:$B$304,A108))</f>
        <v/>
      </c>
      <c r="Q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20"/>
      <c r="G109" s="21"/>
      <c r="H109" s="21"/>
      <c r="I109" s="22" t="str">
        <f aca="false">IF(G109="","",G109-H109)</f>
        <v/>
      </c>
      <c r="J109" s="23" t="str">
        <f aca="false">IF(OR(G109="",G109=0),"",I109/G109)</f>
        <v/>
      </c>
      <c r="K109" s="24"/>
      <c r="L109" s="25"/>
      <c r="M109" s="1"/>
      <c r="N109" s="26" t="str">
        <f aca="false">IF(A109="","",SUMIFS(Vendas!$E$5:$E$304,Vendas!$B$5:$B$304,A109))</f>
        <v/>
      </c>
      <c r="O109" s="27" t="str">
        <f aca="false">IF(A109="","",K109-N109)</f>
        <v/>
      </c>
      <c r="P109" s="28" t="str">
        <f aca="false">IF(A109="","",SUMIFS(Vendas!$J$5:$J$304,Vendas!$B$5:$B$304,A109))</f>
        <v/>
      </c>
      <c r="Q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20"/>
      <c r="G110" s="21"/>
      <c r="H110" s="21"/>
      <c r="I110" s="22" t="str">
        <f aca="false">IF(G110="","",G110-H110)</f>
        <v/>
      </c>
      <c r="J110" s="23" t="str">
        <f aca="false">IF(OR(G110="",G110=0),"",I110/G110)</f>
        <v/>
      </c>
      <c r="K110" s="24"/>
      <c r="L110" s="25"/>
      <c r="M110" s="1"/>
      <c r="N110" s="26" t="str">
        <f aca="false">IF(A110="","",SUMIFS(Vendas!$E$5:$E$304,Vendas!$B$5:$B$304,A110))</f>
        <v/>
      </c>
      <c r="O110" s="27" t="str">
        <f aca="false">IF(A110="","",K110-N110)</f>
        <v/>
      </c>
      <c r="P110" s="28" t="str">
        <f aca="false">IF(A110="","",SUMIFS(Vendas!$J$5:$J$304,Vendas!$B$5:$B$304,A110))</f>
        <v/>
      </c>
      <c r="Q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20"/>
      <c r="G111" s="21"/>
      <c r="H111" s="21"/>
      <c r="I111" s="22" t="str">
        <f aca="false">IF(G111="","",G111-H111)</f>
        <v/>
      </c>
      <c r="J111" s="23" t="str">
        <f aca="false">IF(OR(G111="",G111=0),"",I111/G111)</f>
        <v/>
      </c>
      <c r="K111" s="24"/>
      <c r="L111" s="25"/>
      <c r="M111" s="1"/>
      <c r="N111" s="26" t="str">
        <f aca="false">IF(A111="","",SUMIFS(Vendas!$E$5:$E$304,Vendas!$B$5:$B$304,A111))</f>
        <v/>
      </c>
      <c r="O111" s="27" t="str">
        <f aca="false">IF(A111="","",K111-N111)</f>
        <v/>
      </c>
      <c r="P111" s="28" t="str">
        <f aca="false">IF(A111="","",SUMIFS(Vendas!$J$5:$J$304,Vendas!$B$5:$B$304,A111))</f>
        <v/>
      </c>
      <c r="Q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20"/>
      <c r="G112" s="21"/>
      <c r="H112" s="21"/>
      <c r="I112" s="22" t="str">
        <f aca="false">IF(G112="","",G112-H112)</f>
        <v/>
      </c>
      <c r="J112" s="23" t="str">
        <f aca="false">IF(OR(G112="",G112=0),"",I112/G112)</f>
        <v/>
      </c>
      <c r="K112" s="24"/>
      <c r="L112" s="25"/>
      <c r="M112" s="1"/>
      <c r="N112" s="26" t="str">
        <f aca="false">IF(A112="","",SUMIFS(Vendas!$E$5:$E$304,Vendas!$B$5:$B$304,A112))</f>
        <v/>
      </c>
      <c r="O112" s="27" t="str">
        <f aca="false">IF(A112="","",K112-N112)</f>
        <v/>
      </c>
      <c r="P112" s="28" t="str">
        <f aca="false">IF(A112="","",SUMIFS(Vendas!$J$5:$J$304,Vendas!$B$5:$B$304,A112))</f>
        <v/>
      </c>
      <c r="Q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20"/>
      <c r="G113" s="21"/>
      <c r="H113" s="21"/>
      <c r="I113" s="22" t="str">
        <f aca="false">IF(G113="","",G113-H113)</f>
        <v/>
      </c>
      <c r="J113" s="23" t="str">
        <f aca="false">IF(OR(G113="",G113=0),"",I113/G113)</f>
        <v/>
      </c>
      <c r="K113" s="24"/>
      <c r="L113" s="25"/>
      <c r="M113" s="1"/>
      <c r="N113" s="26" t="str">
        <f aca="false">IF(A113="","",SUMIFS(Vendas!$E$5:$E$304,Vendas!$B$5:$B$304,A113))</f>
        <v/>
      </c>
      <c r="O113" s="27" t="str">
        <f aca="false">IF(A113="","",K113-N113)</f>
        <v/>
      </c>
      <c r="P113" s="28" t="str">
        <f aca="false">IF(A113="","",SUMIFS(Vendas!$J$5:$J$304,Vendas!$B$5:$B$304,A113))</f>
        <v/>
      </c>
      <c r="Q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20"/>
      <c r="G114" s="21"/>
      <c r="H114" s="21"/>
      <c r="I114" s="22" t="str">
        <f aca="false">IF(G114="","",G114-H114)</f>
        <v/>
      </c>
      <c r="J114" s="23" t="str">
        <f aca="false">IF(OR(G114="",G114=0),"",I114/G114)</f>
        <v/>
      </c>
      <c r="K114" s="24"/>
      <c r="L114" s="25"/>
      <c r="M114" s="1"/>
      <c r="N114" s="26" t="str">
        <f aca="false">IF(A114="","",SUMIFS(Vendas!$E$5:$E$304,Vendas!$B$5:$B$304,A114))</f>
        <v/>
      </c>
      <c r="O114" s="27" t="str">
        <f aca="false">IF(A114="","",K114-N114)</f>
        <v/>
      </c>
      <c r="P114" s="28" t="str">
        <f aca="false">IF(A114="","",SUMIFS(Vendas!$J$5:$J$304,Vendas!$B$5:$B$304,A114))</f>
        <v/>
      </c>
      <c r="Q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20"/>
      <c r="G115" s="21"/>
      <c r="H115" s="21"/>
      <c r="I115" s="22" t="str">
        <f aca="false">IF(G115="","",G115-H115)</f>
        <v/>
      </c>
      <c r="J115" s="23" t="str">
        <f aca="false">IF(OR(G115="",G115=0),"",I115/G115)</f>
        <v/>
      </c>
      <c r="K115" s="24"/>
      <c r="L115" s="25"/>
      <c r="M115" s="1"/>
      <c r="N115" s="26" t="str">
        <f aca="false">IF(A115="","",SUMIFS(Vendas!$E$5:$E$304,Vendas!$B$5:$B$304,A115))</f>
        <v/>
      </c>
      <c r="O115" s="27" t="str">
        <f aca="false">IF(A115="","",K115-N115)</f>
        <v/>
      </c>
      <c r="P115" s="28" t="str">
        <f aca="false">IF(A115="","",SUMIFS(Vendas!$J$5:$J$304,Vendas!$B$5:$B$304,A115))</f>
        <v/>
      </c>
      <c r="Q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20"/>
      <c r="G116" s="21"/>
      <c r="H116" s="21"/>
      <c r="I116" s="22" t="str">
        <f aca="false">IF(G116="","",G116-H116)</f>
        <v/>
      </c>
      <c r="J116" s="23" t="str">
        <f aca="false">IF(OR(G116="",G116=0),"",I116/G116)</f>
        <v/>
      </c>
      <c r="K116" s="24"/>
      <c r="L116" s="25"/>
      <c r="M116" s="1"/>
      <c r="N116" s="26" t="str">
        <f aca="false">IF(A116="","",SUMIFS(Vendas!$E$5:$E$304,Vendas!$B$5:$B$304,A116))</f>
        <v/>
      </c>
      <c r="O116" s="27" t="str">
        <f aca="false">IF(A116="","",K116-N116)</f>
        <v/>
      </c>
      <c r="P116" s="28" t="str">
        <f aca="false">IF(A116="","",SUMIFS(Vendas!$J$5:$J$304,Vendas!$B$5:$B$304,A116))</f>
        <v/>
      </c>
      <c r="Q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20"/>
      <c r="G117" s="21"/>
      <c r="H117" s="21"/>
      <c r="I117" s="22" t="str">
        <f aca="false">IF(G117="","",G117-H117)</f>
        <v/>
      </c>
      <c r="J117" s="23" t="str">
        <f aca="false">IF(OR(G117="",G117=0),"",I117/G117)</f>
        <v/>
      </c>
      <c r="K117" s="24"/>
      <c r="L117" s="25"/>
      <c r="M117" s="1"/>
      <c r="N117" s="26" t="str">
        <f aca="false">IF(A117="","",SUMIFS(Vendas!$E$5:$E$304,Vendas!$B$5:$B$304,A117))</f>
        <v/>
      </c>
      <c r="O117" s="27" t="str">
        <f aca="false">IF(A117="","",K117-N117)</f>
        <v/>
      </c>
      <c r="P117" s="28" t="str">
        <f aca="false">IF(A117="","",SUMIFS(Vendas!$J$5:$J$304,Vendas!$B$5:$B$304,A117))</f>
        <v/>
      </c>
      <c r="Q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20"/>
      <c r="G118" s="21"/>
      <c r="H118" s="21"/>
      <c r="I118" s="22" t="str">
        <f aca="false">IF(G118="","",G118-H118)</f>
        <v/>
      </c>
      <c r="J118" s="23" t="str">
        <f aca="false">IF(OR(G118="",G118=0),"",I118/G118)</f>
        <v/>
      </c>
      <c r="K118" s="24"/>
      <c r="L118" s="25"/>
      <c r="M118" s="1"/>
      <c r="N118" s="26" t="str">
        <f aca="false">IF(A118="","",SUMIFS(Vendas!$E$5:$E$304,Vendas!$B$5:$B$304,A118))</f>
        <v/>
      </c>
      <c r="O118" s="27" t="str">
        <f aca="false">IF(A118="","",K118-N118)</f>
        <v/>
      </c>
      <c r="P118" s="28" t="str">
        <f aca="false">IF(A118="","",SUMIFS(Vendas!$J$5:$J$304,Vendas!$B$5:$B$304,A118))</f>
        <v/>
      </c>
      <c r="Q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20"/>
      <c r="G119" s="21"/>
      <c r="H119" s="21"/>
      <c r="I119" s="22" t="str">
        <f aca="false">IF(G119="","",G119-H119)</f>
        <v/>
      </c>
      <c r="J119" s="23" t="str">
        <f aca="false">IF(OR(G119="",G119=0),"",I119/G119)</f>
        <v/>
      </c>
      <c r="K119" s="24"/>
      <c r="L119" s="25"/>
      <c r="M119" s="1"/>
      <c r="N119" s="26" t="str">
        <f aca="false">IF(A119="","",SUMIFS(Vendas!$E$5:$E$304,Vendas!$B$5:$B$304,A119))</f>
        <v/>
      </c>
      <c r="O119" s="27" t="str">
        <f aca="false">IF(A119="","",K119-N119)</f>
        <v/>
      </c>
      <c r="P119" s="28" t="str">
        <f aca="false">IF(A119="","",SUMIFS(Vendas!$J$5:$J$304,Vendas!$B$5:$B$304,A119))</f>
        <v/>
      </c>
      <c r="Q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20"/>
      <c r="G120" s="21"/>
      <c r="H120" s="21"/>
      <c r="I120" s="22" t="str">
        <f aca="false">IF(G120="","",G120-H120)</f>
        <v/>
      </c>
      <c r="J120" s="23" t="str">
        <f aca="false">IF(OR(G120="",G120=0),"",I120/G120)</f>
        <v/>
      </c>
      <c r="K120" s="24"/>
      <c r="L120" s="25"/>
      <c r="M120" s="1"/>
      <c r="N120" s="26" t="str">
        <f aca="false">IF(A120="","",SUMIFS(Vendas!$E$5:$E$304,Vendas!$B$5:$B$304,A120))</f>
        <v/>
      </c>
      <c r="O120" s="27" t="str">
        <f aca="false">IF(A120="","",K120-N120)</f>
        <v/>
      </c>
      <c r="P120" s="28" t="str">
        <f aca="false">IF(A120="","",SUMIFS(Vendas!$J$5:$J$304,Vendas!$B$5:$B$304,A120))</f>
        <v/>
      </c>
      <c r="Q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20"/>
      <c r="G121" s="21"/>
      <c r="H121" s="21"/>
      <c r="I121" s="22" t="str">
        <f aca="false">IF(G121="","",G121-H121)</f>
        <v/>
      </c>
      <c r="J121" s="23" t="str">
        <f aca="false">IF(OR(G121="",G121=0),"",I121/G121)</f>
        <v/>
      </c>
      <c r="K121" s="24"/>
      <c r="L121" s="25"/>
      <c r="M121" s="1"/>
      <c r="N121" s="26" t="str">
        <f aca="false">IF(A121="","",SUMIFS(Vendas!$E$5:$E$304,Vendas!$B$5:$B$304,A121))</f>
        <v/>
      </c>
      <c r="O121" s="27" t="str">
        <f aca="false">IF(A121="","",K121-N121)</f>
        <v/>
      </c>
      <c r="P121" s="28" t="str">
        <f aca="false">IF(A121="","",SUMIFS(Vendas!$J$5:$J$304,Vendas!$B$5:$B$304,A121))</f>
        <v/>
      </c>
      <c r="Q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20"/>
      <c r="G122" s="21"/>
      <c r="H122" s="21"/>
      <c r="I122" s="22" t="str">
        <f aca="false">IF(G122="","",G122-H122)</f>
        <v/>
      </c>
      <c r="J122" s="23" t="str">
        <f aca="false">IF(OR(G122="",G122=0),"",I122/G122)</f>
        <v/>
      </c>
      <c r="K122" s="24"/>
      <c r="L122" s="25"/>
      <c r="M122" s="1"/>
      <c r="N122" s="26" t="str">
        <f aca="false">IF(A122="","",SUMIFS(Vendas!$E$5:$E$304,Vendas!$B$5:$B$304,A122))</f>
        <v/>
      </c>
      <c r="O122" s="27" t="str">
        <f aca="false">IF(A122="","",K122-N122)</f>
        <v/>
      </c>
      <c r="P122" s="28" t="str">
        <f aca="false">IF(A122="","",SUMIFS(Vendas!$J$5:$J$304,Vendas!$B$5:$B$304,A122))</f>
        <v/>
      </c>
      <c r="Q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20"/>
      <c r="G123" s="21"/>
      <c r="H123" s="21"/>
      <c r="I123" s="22" t="str">
        <f aca="false">IF(G123="","",G123-H123)</f>
        <v/>
      </c>
      <c r="J123" s="23" t="str">
        <f aca="false">IF(OR(G123="",G123=0),"",I123/G123)</f>
        <v/>
      </c>
      <c r="K123" s="24"/>
      <c r="L123" s="25"/>
      <c r="M123" s="1"/>
      <c r="N123" s="26" t="str">
        <f aca="false">IF(A123="","",SUMIFS(Vendas!$E$5:$E$304,Vendas!$B$5:$B$304,A123))</f>
        <v/>
      </c>
      <c r="O123" s="27" t="str">
        <f aca="false">IF(A123="","",K123-N123)</f>
        <v/>
      </c>
      <c r="P123" s="28" t="str">
        <f aca="false">IF(A123="","",SUMIFS(Vendas!$J$5:$J$304,Vendas!$B$5:$B$304,A123))</f>
        <v/>
      </c>
      <c r="Q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20"/>
      <c r="G124" s="21"/>
      <c r="H124" s="21"/>
      <c r="I124" s="22" t="str">
        <f aca="false">IF(G124="","",G124-H124)</f>
        <v/>
      </c>
      <c r="J124" s="23" t="str">
        <f aca="false">IF(OR(G124="",G124=0),"",I124/G124)</f>
        <v/>
      </c>
      <c r="K124" s="24"/>
      <c r="L124" s="25"/>
      <c r="M124" s="1"/>
      <c r="N124" s="26" t="str">
        <f aca="false">IF(A124="","",SUMIFS(Vendas!$E$5:$E$304,Vendas!$B$5:$B$304,A124))</f>
        <v/>
      </c>
      <c r="O124" s="27" t="str">
        <f aca="false">IF(A124="","",K124-N124)</f>
        <v/>
      </c>
      <c r="P124" s="28" t="str">
        <f aca="false">IF(A124="","",SUMIFS(Vendas!$J$5:$J$304,Vendas!$B$5:$B$304,A124))</f>
        <v/>
      </c>
      <c r="Q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20"/>
      <c r="G125" s="21"/>
      <c r="H125" s="21"/>
      <c r="I125" s="22" t="str">
        <f aca="false">IF(G125="","",G125-H125)</f>
        <v/>
      </c>
      <c r="J125" s="23" t="str">
        <f aca="false">IF(OR(G125="",G125=0),"",I125/G125)</f>
        <v/>
      </c>
      <c r="K125" s="24"/>
      <c r="L125" s="25"/>
      <c r="M125" s="1"/>
      <c r="N125" s="26" t="str">
        <f aca="false">IF(A125="","",SUMIFS(Vendas!$E$5:$E$304,Vendas!$B$5:$B$304,A125))</f>
        <v/>
      </c>
      <c r="O125" s="27" t="str">
        <f aca="false">IF(A125="","",K125-N125)</f>
        <v/>
      </c>
      <c r="P125" s="28" t="str">
        <f aca="false">IF(A125="","",SUMIFS(Vendas!$J$5:$J$304,Vendas!$B$5:$B$304,A125))</f>
        <v/>
      </c>
      <c r="Q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20"/>
      <c r="G126" s="21"/>
      <c r="H126" s="21"/>
      <c r="I126" s="22" t="str">
        <f aca="false">IF(G126="","",G126-H126)</f>
        <v/>
      </c>
      <c r="J126" s="23" t="str">
        <f aca="false">IF(OR(G126="",G126=0),"",I126/G126)</f>
        <v/>
      </c>
      <c r="K126" s="24"/>
      <c r="L126" s="25"/>
      <c r="M126" s="1"/>
      <c r="N126" s="26" t="str">
        <f aca="false">IF(A126="","",SUMIFS(Vendas!$E$5:$E$304,Vendas!$B$5:$B$304,A126))</f>
        <v/>
      </c>
      <c r="O126" s="27" t="str">
        <f aca="false">IF(A126="","",K126-N126)</f>
        <v/>
      </c>
      <c r="P126" s="28" t="str">
        <f aca="false">IF(A126="","",SUMIFS(Vendas!$J$5:$J$304,Vendas!$B$5:$B$304,A126))</f>
        <v/>
      </c>
      <c r="Q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20"/>
      <c r="G127" s="21"/>
      <c r="H127" s="21"/>
      <c r="I127" s="22" t="str">
        <f aca="false">IF(G127="","",G127-H127)</f>
        <v/>
      </c>
      <c r="J127" s="23" t="str">
        <f aca="false">IF(OR(G127="",G127=0),"",I127/G127)</f>
        <v/>
      </c>
      <c r="K127" s="24"/>
      <c r="L127" s="25"/>
      <c r="M127" s="1"/>
      <c r="N127" s="26" t="str">
        <f aca="false">IF(A127="","",SUMIFS(Vendas!$E$5:$E$304,Vendas!$B$5:$B$304,A127))</f>
        <v/>
      </c>
      <c r="O127" s="27" t="str">
        <f aca="false">IF(A127="","",K127-N127)</f>
        <v/>
      </c>
      <c r="P127" s="28" t="str">
        <f aca="false">IF(A127="","",SUMIFS(Vendas!$J$5:$J$304,Vendas!$B$5:$B$304,A127))</f>
        <v/>
      </c>
      <c r="Q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20"/>
      <c r="G128" s="21"/>
      <c r="H128" s="21"/>
      <c r="I128" s="22" t="str">
        <f aca="false">IF(G128="","",G128-H128)</f>
        <v/>
      </c>
      <c r="J128" s="23" t="str">
        <f aca="false">IF(OR(G128="",G128=0),"",I128/G128)</f>
        <v/>
      </c>
      <c r="K128" s="24"/>
      <c r="L128" s="25"/>
      <c r="M128" s="1"/>
      <c r="N128" s="26" t="str">
        <f aca="false">IF(A128="","",SUMIFS(Vendas!$E$5:$E$304,Vendas!$B$5:$B$304,A128))</f>
        <v/>
      </c>
      <c r="O128" s="27" t="str">
        <f aca="false">IF(A128="","",K128-N128)</f>
        <v/>
      </c>
      <c r="P128" s="28" t="str">
        <f aca="false">IF(A128="","",SUMIFS(Vendas!$J$5:$J$304,Vendas!$B$5:$B$304,A128))</f>
        <v/>
      </c>
      <c r="Q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20"/>
      <c r="G129" s="21"/>
      <c r="H129" s="21"/>
      <c r="I129" s="22" t="str">
        <f aca="false">IF(G129="","",G129-H129)</f>
        <v/>
      </c>
      <c r="J129" s="23" t="str">
        <f aca="false">IF(OR(G129="",G129=0),"",I129/G129)</f>
        <v/>
      </c>
      <c r="K129" s="24"/>
      <c r="L129" s="25"/>
      <c r="M129" s="1"/>
      <c r="N129" s="26" t="str">
        <f aca="false">IF(A129="","",SUMIFS(Vendas!$E$5:$E$304,Vendas!$B$5:$B$304,A129))</f>
        <v/>
      </c>
      <c r="O129" s="27" t="str">
        <f aca="false">IF(A129="","",K129-N129)</f>
        <v/>
      </c>
      <c r="P129" s="28" t="str">
        <f aca="false">IF(A129="","",SUMIFS(Vendas!$J$5:$J$304,Vendas!$B$5:$B$304,A129))</f>
        <v/>
      </c>
      <c r="Q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20"/>
      <c r="G130" s="21"/>
      <c r="H130" s="21"/>
      <c r="I130" s="22" t="str">
        <f aca="false">IF(G130="","",G130-H130)</f>
        <v/>
      </c>
      <c r="J130" s="23" t="str">
        <f aca="false">IF(OR(G130="",G130=0),"",I130/G130)</f>
        <v/>
      </c>
      <c r="K130" s="24"/>
      <c r="L130" s="25"/>
      <c r="M130" s="1"/>
      <c r="N130" s="26" t="str">
        <f aca="false">IF(A130="","",SUMIFS(Vendas!$E$5:$E$304,Vendas!$B$5:$B$304,A130))</f>
        <v/>
      </c>
      <c r="O130" s="27" t="str">
        <f aca="false">IF(A130="","",K130-N130)</f>
        <v/>
      </c>
      <c r="P130" s="28" t="str">
        <f aca="false">IF(A130="","",SUMIFS(Vendas!$J$5:$J$304,Vendas!$B$5:$B$304,A130))</f>
        <v/>
      </c>
      <c r="Q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20"/>
      <c r="G131" s="21"/>
      <c r="H131" s="21"/>
      <c r="I131" s="22" t="str">
        <f aca="false">IF(G131="","",G131-H131)</f>
        <v/>
      </c>
      <c r="J131" s="23" t="str">
        <f aca="false">IF(OR(G131="",G131=0),"",I131/G131)</f>
        <v/>
      </c>
      <c r="K131" s="24"/>
      <c r="L131" s="25"/>
      <c r="M131" s="1"/>
      <c r="N131" s="26" t="str">
        <f aca="false">IF(A131="","",SUMIFS(Vendas!$E$5:$E$304,Vendas!$B$5:$B$304,A131))</f>
        <v/>
      </c>
      <c r="O131" s="27" t="str">
        <f aca="false">IF(A131="","",K131-N131)</f>
        <v/>
      </c>
      <c r="P131" s="28" t="str">
        <f aca="false">IF(A131="","",SUMIFS(Vendas!$J$5:$J$304,Vendas!$B$5:$B$304,A131))</f>
        <v/>
      </c>
      <c r="Q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20"/>
      <c r="G132" s="21"/>
      <c r="H132" s="21"/>
      <c r="I132" s="22" t="str">
        <f aca="false">IF(G132="","",G132-H132)</f>
        <v/>
      </c>
      <c r="J132" s="23" t="str">
        <f aca="false">IF(OR(G132="",G132=0),"",I132/G132)</f>
        <v/>
      </c>
      <c r="K132" s="24"/>
      <c r="L132" s="25"/>
      <c r="M132" s="1"/>
      <c r="N132" s="26" t="str">
        <f aca="false">IF(A132="","",SUMIFS(Vendas!$E$5:$E$304,Vendas!$B$5:$B$304,A132))</f>
        <v/>
      </c>
      <c r="O132" s="27" t="str">
        <f aca="false">IF(A132="","",K132-N132)</f>
        <v/>
      </c>
      <c r="P132" s="28" t="str">
        <f aca="false">IF(A132="","",SUMIFS(Vendas!$J$5:$J$304,Vendas!$B$5:$B$304,A132))</f>
        <v/>
      </c>
      <c r="Q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20"/>
      <c r="G133" s="21"/>
      <c r="H133" s="21"/>
      <c r="I133" s="22" t="str">
        <f aca="false">IF(G133="","",G133-H133)</f>
        <v/>
      </c>
      <c r="J133" s="23" t="str">
        <f aca="false">IF(OR(G133="",G133=0),"",I133/G133)</f>
        <v/>
      </c>
      <c r="K133" s="24"/>
      <c r="L133" s="25"/>
      <c r="M133" s="1"/>
      <c r="N133" s="26" t="str">
        <f aca="false">IF(A133="","",SUMIFS(Vendas!$E$5:$E$304,Vendas!$B$5:$B$304,A133))</f>
        <v/>
      </c>
      <c r="O133" s="27" t="str">
        <f aca="false">IF(A133="","",K133-N133)</f>
        <v/>
      </c>
      <c r="P133" s="28" t="str">
        <f aca="false">IF(A133="","",SUMIFS(Vendas!$J$5:$J$304,Vendas!$B$5:$B$304,A133))</f>
        <v/>
      </c>
      <c r="Q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20"/>
      <c r="G134" s="21"/>
      <c r="H134" s="21"/>
      <c r="I134" s="22" t="str">
        <f aca="false">IF(G134="","",G134-H134)</f>
        <v/>
      </c>
      <c r="J134" s="23" t="str">
        <f aca="false">IF(OR(G134="",G134=0),"",I134/G134)</f>
        <v/>
      </c>
      <c r="K134" s="24"/>
      <c r="L134" s="25"/>
      <c r="M134" s="1"/>
      <c r="N134" s="26" t="str">
        <f aca="false">IF(A134="","",SUMIFS(Vendas!$E$5:$E$304,Vendas!$B$5:$B$304,A134))</f>
        <v/>
      </c>
      <c r="O134" s="27" t="str">
        <f aca="false">IF(A134="","",K134-N134)</f>
        <v/>
      </c>
      <c r="P134" s="28" t="str">
        <f aca="false">IF(A134="","",SUMIFS(Vendas!$J$5:$J$304,Vendas!$B$5:$B$304,A134))</f>
        <v/>
      </c>
      <c r="Q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20"/>
      <c r="G135" s="21"/>
      <c r="H135" s="21"/>
      <c r="I135" s="22" t="str">
        <f aca="false">IF(G135="","",G135-H135)</f>
        <v/>
      </c>
      <c r="J135" s="23" t="str">
        <f aca="false">IF(OR(G135="",G135=0),"",I135/G135)</f>
        <v/>
      </c>
      <c r="K135" s="24"/>
      <c r="L135" s="25"/>
      <c r="M135" s="1"/>
      <c r="N135" s="26" t="str">
        <f aca="false">IF(A135="","",SUMIFS(Vendas!$E$5:$E$304,Vendas!$B$5:$B$304,A135))</f>
        <v/>
      </c>
      <c r="O135" s="27" t="str">
        <f aca="false">IF(A135="","",K135-N135)</f>
        <v/>
      </c>
      <c r="P135" s="28" t="str">
        <f aca="false">IF(A135="","",SUMIFS(Vendas!$J$5:$J$304,Vendas!$B$5:$B$304,A135))</f>
        <v/>
      </c>
      <c r="Q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20"/>
      <c r="G136" s="21"/>
      <c r="H136" s="21"/>
      <c r="I136" s="22" t="str">
        <f aca="false">IF(G136="","",G136-H136)</f>
        <v/>
      </c>
      <c r="J136" s="23" t="str">
        <f aca="false">IF(OR(G136="",G136=0),"",I136/G136)</f>
        <v/>
      </c>
      <c r="K136" s="24"/>
      <c r="L136" s="25"/>
      <c r="M136" s="1"/>
      <c r="N136" s="26" t="str">
        <f aca="false">IF(A136="","",SUMIFS(Vendas!$E$5:$E$304,Vendas!$B$5:$B$304,A136))</f>
        <v/>
      </c>
      <c r="O136" s="27" t="str">
        <f aca="false">IF(A136="","",K136-N136)</f>
        <v/>
      </c>
      <c r="P136" s="28" t="str">
        <f aca="false">IF(A136="","",SUMIFS(Vendas!$J$5:$J$304,Vendas!$B$5:$B$304,A136))</f>
        <v/>
      </c>
      <c r="Q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20"/>
      <c r="G137" s="21"/>
      <c r="H137" s="21"/>
      <c r="I137" s="22" t="str">
        <f aca="false">IF(G137="","",G137-H137)</f>
        <v/>
      </c>
      <c r="J137" s="23" t="str">
        <f aca="false">IF(OR(G137="",G137=0),"",I137/G137)</f>
        <v/>
      </c>
      <c r="K137" s="24"/>
      <c r="L137" s="25"/>
      <c r="M137" s="1"/>
      <c r="N137" s="26" t="str">
        <f aca="false">IF(A137="","",SUMIFS(Vendas!$E$5:$E$304,Vendas!$B$5:$B$304,A137))</f>
        <v/>
      </c>
      <c r="O137" s="27" t="str">
        <f aca="false">IF(A137="","",K137-N137)</f>
        <v/>
      </c>
      <c r="P137" s="28" t="str">
        <f aca="false">IF(A137="","",SUMIFS(Vendas!$J$5:$J$304,Vendas!$B$5:$B$304,A137))</f>
        <v/>
      </c>
      <c r="Q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20"/>
      <c r="G138" s="21"/>
      <c r="H138" s="21"/>
      <c r="I138" s="22" t="str">
        <f aca="false">IF(G138="","",G138-H138)</f>
        <v/>
      </c>
      <c r="J138" s="23" t="str">
        <f aca="false">IF(OR(G138="",G138=0),"",I138/G138)</f>
        <v/>
      </c>
      <c r="K138" s="24"/>
      <c r="L138" s="25"/>
      <c r="M138" s="1"/>
      <c r="N138" s="26" t="str">
        <f aca="false">IF(A138="","",SUMIFS(Vendas!$E$5:$E$304,Vendas!$B$5:$B$304,A138))</f>
        <v/>
      </c>
      <c r="O138" s="27" t="str">
        <f aca="false">IF(A138="","",K138-N138)</f>
        <v/>
      </c>
      <c r="P138" s="28" t="str">
        <f aca="false">IF(A138="","",SUMIFS(Vendas!$J$5:$J$304,Vendas!$B$5:$B$304,A138))</f>
        <v/>
      </c>
      <c r="Q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20"/>
      <c r="G139" s="21"/>
      <c r="H139" s="21"/>
      <c r="I139" s="22" t="str">
        <f aca="false">IF(G139="","",G139-H139)</f>
        <v/>
      </c>
      <c r="J139" s="23" t="str">
        <f aca="false">IF(OR(G139="",G139=0),"",I139/G139)</f>
        <v/>
      </c>
      <c r="K139" s="24"/>
      <c r="L139" s="25"/>
      <c r="M139" s="1"/>
      <c r="N139" s="26" t="str">
        <f aca="false">IF(A139="","",SUMIFS(Vendas!$E$5:$E$304,Vendas!$B$5:$B$304,A139))</f>
        <v/>
      </c>
      <c r="O139" s="27" t="str">
        <f aca="false">IF(A139="","",K139-N139)</f>
        <v/>
      </c>
      <c r="P139" s="28" t="str">
        <f aca="false">IF(A139="","",SUMIFS(Vendas!$J$5:$J$304,Vendas!$B$5:$B$304,A139))</f>
        <v/>
      </c>
      <c r="Q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20"/>
      <c r="G140" s="21"/>
      <c r="H140" s="21"/>
      <c r="I140" s="22" t="str">
        <f aca="false">IF(G140="","",G140-H140)</f>
        <v/>
      </c>
      <c r="J140" s="23" t="str">
        <f aca="false">IF(OR(G140="",G140=0),"",I140/G140)</f>
        <v/>
      </c>
      <c r="K140" s="24"/>
      <c r="L140" s="25"/>
      <c r="M140" s="1"/>
      <c r="N140" s="26" t="str">
        <f aca="false">IF(A140="","",SUMIFS(Vendas!$E$5:$E$304,Vendas!$B$5:$B$304,A140))</f>
        <v/>
      </c>
      <c r="O140" s="27" t="str">
        <f aca="false">IF(A140="","",K140-N140)</f>
        <v/>
      </c>
      <c r="P140" s="28" t="str">
        <f aca="false">IF(A140="","",SUMIFS(Vendas!$J$5:$J$304,Vendas!$B$5:$B$304,A140))</f>
        <v/>
      </c>
      <c r="Q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20"/>
      <c r="G141" s="21"/>
      <c r="H141" s="21"/>
      <c r="I141" s="22" t="str">
        <f aca="false">IF(G141="","",G141-H141)</f>
        <v/>
      </c>
      <c r="J141" s="23" t="str">
        <f aca="false">IF(OR(G141="",G141=0),"",I141/G141)</f>
        <v/>
      </c>
      <c r="K141" s="24"/>
      <c r="L141" s="25"/>
      <c r="M141" s="1"/>
      <c r="N141" s="26" t="str">
        <f aca="false">IF(A141="","",SUMIFS(Vendas!$E$5:$E$304,Vendas!$B$5:$B$304,A141))</f>
        <v/>
      </c>
      <c r="O141" s="27" t="str">
        <f aca="false">IF(A141="","",K141-N141)</f>
        <v/>
      </c>
      <c r="P141" s="28" t="str">
        <f aca="false">IF(A141="","",SUMIFS(Vendas!$J$5:$J$304,Vendas!$B$5:$B$304,A141))</f>
        <v/>
      </c>
      <c r="Q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20"/>
      <c r="G142" s="21"/>
      <c r="H142" s="21"/>
      <c r="I142" s="22" t="str">
        <f aca="false">IF(G142="","",G142-H142)</f>
        <v/>
      </c>
      <c r="J142" s="23" t="str">
        <f aca="false">IF(OR(G142="",G142=0),"",I142/G142)</f>
        <v/>
      </c>
      <c r="K142" s="24"/>
      <c r="L142" s="25"/>
      <c r="M142" s="1"/>
      <c r="N142" s="26" t="str">
        <f aca="false">IF(A142="","",SUMIFS(Vendas!$E$5:$E$304,Vendas!$B$5:$B$304,A142))</f>
        <v/>
      </c>
      <c r="O142" s="27" t="str">
        <f aca="false">IF(A142="","",K142-N142)</f>
        <v/>
      </c>
      <c r="P142" s="28" t="str">
        <f aca="false">IF(A142="","",SUMIFS(Vendas!$J$5:$J$304,Vendas!$B$5:$B$304,A142))</f>
        <v/>
      </c>
      <c r="Q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20"/>
      <c r="G143" s="21"/>
      <c r="H143" s="21"/>
      <c r="I143" s="22" t="str">
        <f aca="false">IF(G143="","",G143-H143)</f>
        <v/>
      </c>
      <c r="J143" s="23" t="str">
        <f aca="false">IF(OR(G143="",G143=0),"",I143/G143)</f>
        <v/>
      </c>
      <c r="K143" s="24"/>
      <c r="L143" s="25"/>
      <c r="M143" s="1"/>
      <c r="N143" s="26" t="str">
        <f aca="false">IF(A143="","",SUMIFS(Vendas!$E$5:$E$304,Vendas!$B$5:$B$304,A143))</f>
        <v/>
      </c>
      <c r="O143" s="27" t="str">
        <f aca="false">IF(A143="","",K143-N143)</f>
        <v/>
      </c>
      <c r="P143" s="28" t="str">
        <f aca="false">IF(A143="","",SUMIFS(Vendas!$J$5:$J$304,Vendas!$B$5:$B$304,A143))</f>
        <v/>
      </c>
      <c r="Q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20"/>
      <c r="G144" s="21"/>
      <c r="H144" s="21"/>
      <c r="I144" s="22" t="str">
        <f aca="false">IF(G144="","",G144-H144)</f>
        <v/>
      </c>
      <c r="J144" s="23" t="str">
        <f aca="false">IF(OR(G144="",G144=0),"",I144/G144)</f>
        <v/>
      </c>
      <c r="K144" s="24"/>
      <c r="L144" s="25"/>
      <c r="M144" s="1"/>
      <c r="N144" s="26" t="str">
        <f aca="false">IF(A144="","",SUMIFS(Vendas!$E$5:$E$304,Vendas!$B$5:$B$304,A144))</f>
        <v/>
      </c>
      <c r="O144" s="27" t="str">
        <f aca="false">IF(A144="","",K144-N144)</f>
        <v/>
      </c>
      <c r="P144" s="28" t="str">
        <f aca="false">IF(A144="","",SUMIFS(Vendas!$J$5:$J$304,Vendas!$B$5:$B$304,A144))</f>
        <v/>
      </c>
      <c r="Q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20"/>
      <c r="G145" s="21"/>
      <c r="H145" s="21"/>
      <c r="I145" s="22" t="str">
        <f aca="false">IF(G145="","",G145-H145)</f>
        <v/>
      </c>
      <c r="J145" s="23" t="str">
        <f aca="false">IF(OR(G145="",G145=0),"",I145/G145)</f>
        <v/>
      </c>
      <c r="K145" s="24"/>
      <c r="L145" s="25"/>
      <c r="M145" s="1"/>
      <c r="N145" s="26" t="str">
        <f aca="false">IF(A145="","",SUMIFS(Vendas!$E$5:$E$304,Vendas!$B$5:$B$304,A145))</f>
        <v/>
      </c>
      <c r="O145" s="27" t="str">
        <f aca="false">IF(A145="","",K145-N145)</f>
        <v/>
      </c>
      <c r="P145" s="28" t="str">
        <f aca="false">IF(A145="","",SUMIFS(Vendas!$J$5:$J$304,Vendas!$B$5:$B$304,A145))</f>
        <v/>
      </c>
      <c r="Q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20"/>
      <c r="G146" s="21"/>
      <c r="H146" s="21"/>
      <c r="I146" s="22" t="str">
        <f aca="false">IF(G146="","",G146-H146)</f>
        <v/>
      </c>
      <c r="J146" s="23" t="str">
        <f aca="false">IF(OR(G146="",G146=0),"",I146/G146)</f>
        <v/>
      </c>
      <c r="K146" s="24"/>
      <c r="L146" s="25"/>
      <c r="M146" s="1"/>
      <c r="N146" s="26" t="str">
        <f aca="false">IF(A146="","",SUMIFS(Vendas!$E$5:$E$304,Vendas!$B$5:$B$304,A146))</f>
        <v/>
      </c>
      <c r="O146" s="27" t="str">
        <f aca="false">IF(A146="","",K146-N146)</f>
        <v/>
      </c>
      <c r="P146" s="28" t="str">
        <f aca="false">IF(A146="","",SUMIFS(Vendas!$J$5:$J$304,Vendas!$B$5:$B$304,A146))</f>
        <v/>
      </c>
      <c r="Q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20"/>
      <c r="G147" s="21"/>
      <c r="H147" s="21"/>
      <c r="I147" s="22" t="str">
        <f aca="false">IF(G147="","",G147-H147)</f>
        <v/>
      </c>
      <c r="J147" s="23" t="str">
        <f aca="false">IF(OR(G147="",G147=0),"",I147/G147)</f>
        <v/>
      </c>
      <c r="K147" s="24"/>
      <c r="L147" s="25"/>
      <c r="M147" s="1"/>
      <c r="N147" s="26" t="str">
        <f aca="false">IF(A147="","",SUMIFS(Vendas!$E$5:$E$304,Vendas!$B$5:$B$304,A147))</f>
        <v/>
      </c>
      <c r="O147" s="27" t="str">
        <f aca="false">IF(A147="","",K147-N147)</f>
        <v/>
      </c>
      <c r="P147" s="28" t="str">
        <f aca="false">IF(A147="","",SUMIFS(Vendas!$J$5:$J$304,Vendas!$B$5:$B$304,A147))</f>
        <v/>
      </c>
      <c r="Q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20"/>
      <c r="G148" s="21"/>
      <c r="H148" s="21"/>
      <c r="I148" s="22" t="str">
        <f aca="false">IF(G148="","",G148-H148)</f>
        <v/>
      </c>
      <c r="J148" s="23" t="str">
        <f aca="false">IF(OR(G148="",G148=0),"",I148/G148)</f>
        <v/>
      </c>
      <c r="K148" s="24"/>
      <c r="L148" s="25"/>
      <c r="M148" s="1"/>
      <c r="N148" s="26" t="str">
        <f aca="false">IF(A148="","",SUMIFS(Vendas!$E$5:$E$304,Vendas!$B$5:$B$304,A148))</f>
        <v/>
      </c>
      <c r="O148" s="27" t="str">
        <f aca="false">IF(A148="","",K148-N148)</f>
        <v/>
      </c>
      <c r="P148" s="28" t="str">
        <f aca="false">IF(A148="","",SUMIFS(Vendas!$J$5:$J$304,Vendas!$B$5:$B$304,A148))</f>
        <v/>
      </c>
      <c r="Q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20"/>
      <c r="G149" s="21"/>
      <c r="H149" s="21"/>
      <c r="I149" s="22" t="str">
        <f aca="false">IF(G149="","",G149-H149)</f>
        <v/>
      </c>
      <c r="J149" s="23" t="str">
        <f aca="false">IF(OR(G149="",G149=0),"",I149/G149)</f>
        <v/>
      </c>
      <c r="K149" s="24"/>
      <c r="L149" s="25"/>
      <c r="M149" s="1"/>
      <c r="N149" s="26" t="str">
        <f aca="false">IF(A149="","",SUMIFS(Vendas!$E$5:$E$304,Vendas!$B$5:$B$304,A149))</f>
        <v/>
      </c>
      <c r="O149" s="27" t="str">
        <f aca="false">IF(A149="","",K149-N149)</f>
        <v/>
      </c>
      <c r="P149" s="28" t="str">
        <f aca="false">IF(A149="","",SUMIFS(Vendas!$J$5:$J$304,Vendas!$B$5:$B$304,A149))</f>
        <v/>
      </c>
      <c r="Q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20"/>
      <c r="G150" s="21"/>
      <c r="H150" s="21"/>
      <c r="I150" s="22" t="str">
        <f aca="false">IF(G150="","",G150-H150)</f>
        <v/>
      </c>
      <c r="J150" s="23" t="str">
        <f aca="false">IF(OR(G150="",G150=0),"",I150/G150)</f>
        <v/>
      </c>
      <c r="K150" s="24"/>
      <c r="L150" s="25"/>
      <c r="M150" s="1"/>
      <c r="N150" s="26" t="str">
        <f aca="false">IF(A150="","",SUMIFS(Vendas!$E$5:$E$304,Vendas!$B$5:$B$304,A150))</f>
        <v/>
      </c>
      <c r="O150" s="27" t="str">
        <f aca="false">IF(A150="","",K150-N150)</f>
        <v/>
      </c>
      <c r="P150" s="28" t="str">
        <f aca="false">IF(A150="","",SUMIFS(Vendas!$J$5:$J$304,Vendas!$B$5:$B$304,A150))</f>
        <v/>
      </c>
      <c r="Q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20"/>
      <c r="G151" s="21"/>
      <c r="H151" s="21"/>
      <c r="I151" s="22" t="str">
        <f aca="false">IF(G151="","",G151-H151)</f>
        <v/>
      </c>
      <c r="J151" s="23" t="str">
        <f aca="false">IF(OR(G151="",G151=0),"",I151/G151)</f>
        <v/>
      </c>
      <c r="K151" s="24"/>
      <c r="L151" s="25"/>
      <c r="M151" s="1"/>
      <c r="N151" s="26" t="str">
        <f aca="false">IF(A151="","",SUMIFS(Vendas!$E$5:$E$304,Vendas!$B$5:$B$304,A151))</f>
        <v/>
      </c>
      <c r="O151" s="27" t="str">
        <f aca="false">IF(A151="","",K151-N151)</f>
        <v/>
      </c>
      <c r="P151" s="28" t="str">
        <f aca="false">IF(A151="","",SUMIFS(Vendas!$J$5:$J$304,Vendas!$B$5:$B$304,A151))</f>
        <v/>
      </c>
      <c r="Q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20"/>
      <c r="G152" s="21"/>
      <c r="H152" s="21"/>
      <c r="I152" s="22" t="str">
        <f aca="false">IF(G152="","",G152-H152)</f>
        <v/>
      </c>
      <c r="J152" s="23" t="str">
        <f aca="false">IF(OR(G152="",G152=0),"",I152/G152)</f>
        <v/>
      </c>
      <c r="K152" s="24"/>
      <c r="L152" s="25"/>
      <c r="M152" s="1"/>
      <c r="N152" s="26" t="str">
        <f aca="false">IF(A152="","",SUMIFS(Vendas!$E$5:$E$304,Vendas!$B$5:$B$304,A152))</f>
        <v/>
      </c>
      <c r="O152" s="27" t="str">
        <f aca="false">IF(A152="","",K152-N152)</f>
        <v/>
      </c>
      <c r="P152" s="28" t="str">
        <f aca="false">IF(A152="","",SUMIFS(Vendas!$J$5:$J$304,Vendas!$B$5:$B$304,A152))</f>
        <v/>
      </c>
      <c r="Q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20"/>
      <c r="G153" s="21"/>
      <c r="H153" s="21"/>
      <c r="I153" s="22" t="str">
        <f aca="false">IF(G153="","",G153-H153)</f>
        <v/>
      </c>
      <c r="J153" s="23" t="str">
        <f aca="false">IF(OR(G153="",G153=0),"",I153/G153)</f>
        <v/>
      </c>
      <c r="K153" s="24"/>
      <c r="L153" s="25"/>
      <c r="M153" s="1"/>
      <c r="N153" s="26" t="str">
        <f aca="false">IF(A153="","",SUMIFS(Vendas!$E$5:$E$304,Vendas!$B$5:$B$304,A153))</f>
        <v/>
      </c>
      <c r="O153" s="27" t="str">
        <f aca="false">IF(A153="","",K153-N153)</f>
        <v/>
      </c>
      <c r="P153" s="28" t="str">
        <f aca="false">IF(A153="","",SUMIFS(Vendas!$J$5:$J$304,Vendas!$B$5:$B$304,A153))</f>
        <v/>
      </c>
      <c r="Q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20"/>
      <c r="G154" s="21"/>
      <c r="H154" s="21"/>
      <c r="I154" s="22" t="str">
        <f aca="false">IF(G154="","",G154-H154)</f>
        <v/>
      </c>
      <c r="J154" s="23" t="str">
        <f aca="false">IF(OR(G154="",G154=0),"",I154/G154)</f>
        <v/>
      </c>
      <c r="K154" s="24"/>
      <c r="L154" s="25"/>
      <c r="M154" s="1"/>
      <c r="N154" s="26" t="str">
        <f aca="false">IF(A154="","",SUMIFS(Vendas!$E$5:$E$304,Vendas!$B$5:$B$304,A154))</f>
        <v/>
      </c>
      <c r="O154" s="27" t="str">
        <f aca="false">IF(A154="","",K154-N154)</f>
        <v/>
      </c>
      <c r="P154" s="28" t="str">
        <f aca="false">IF(A154="","",SUMIFS(Vendas!$J$5:$J$304,Vendas!$B$5:$B$304,A154))</f>
        <v/>
      </c>
      <c r="Q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20"/>
      <c r="G155" s="21"/>
      <c r="H155" s="21"/>
      <c r="I155" s="22" t="str">
        <f aca="false">IF(G155="","",G155-H155)</f>
        <v/>
      </c>
      <c r="J155" s="23" t="str">
        <f aca="false">IF(OR(G155="",G155=0),"",I155/G155)</f>
        <v/>
      </c>
      <c r="K155" s="24"/>
      <c r="L155" s="25"/>
      <c r="M155" s="1"/>
      <c r="N155" s="26" t="str">
        <f aca="false">IF(A155="","",SUMIFS(Vendas!$E$5:$E$304,Vendas!$B$5:$B$304,A155))</f>
        <v/>
      </c>
      <c r="O155" s="27" t="str">
        <f aca="false">IF(A155="","",K155-N155)</f>
        <v/>
      </c>
      <c r="P155" s="28" t="str">
        <f aca="false">IF(A155="","",SUMIFS(Vendas!$J$5:$J$304,Vendas!$B$5:$B$304,A155))</f>
        <v/>
      </c>
      <c r="Q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20"/>
      <c r="G156" s="21"/>
      <c r="H156" s="21"/>
      <c r="I156" s="22" t="str">
        <f aca="false">IF(G156="","",G156-H156)</f>
        <v/>
      </c>
      <c r="J156" s="23" t="str">
        <f aca="false">IF(OR(G156="",G156=0),"",I156/G156)</f>
        <v/>
      </c>
      <c r="K156" s="24"/>
      <c r="L156" s="25"/>
      <c r="M156" s="1"/>
      <c r="N156" s="26" t="str">
        <f aca="false">IF(A156="","",SUMIFS(Vendas!$E$5:$E$304,Vendas!$B$5:$B$304,A156))</f>
        <v/>
      </c>
      <c r="O156" s="27" t="str">
        <f aca="false">IF(A156="","",K156-N156)</f>
        <v/>
      </c>
      <c r="P156" s="28" t="str">
        <f aca="false">IF(A156="","",SUMIFS(Vendas!$J$5:$J$304,Vendas!$B$5:$B$304,A156))</f>
        <v/>
      </c>
      <c r="Q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20"/>
      <c r="G157" s="21"/>
      <c r="H157" s="21"/>
      <c r="I157" s="22" t="str">
        <f aca="false">IF(G157="","",G157-H157)</f>
        <v/>
      </c>
      <c r="J157" s="23" t="str">
        <f aca="false">IF(OR(G157="",G157=0),"",I157/G157)</f>
        <v/>
      </c>
      <c r="K157" s="24"/>
      <c r="L157" s="25"/>
      <c r="M157" s="1"/>
      <c r="N157" s="26" t="str">
        <f aca="false">IF(A157="","",SUMIFS(Vendas!$E$5:$E$304,Vendas!$B$5:$B$304,A157))</f>
        <v/>
      </c>
      <c r="O157" s="27" t="str">
        <f aca="false">IF(A157="","",K157-N157)</f>
        <v/>
      </c>
      <c r="P157" s="28" t="str">
        <f aca="false">IF(A157="","",SUMIFS(Vendas!$J$5:$J$304,Vendas!$B$5:$B$304,A157))</f>
        <v/>
      </c>
      <c r="Q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20"/>
      <c r="G158" s="21"/>
      <c r="H158" s="21"/>
      <c r="I158" s="22" t="str">
        <f aca="false">IF(G158="","",G158-H158)</f>
        <v/>
      </c>
      <c r="J158" s="23" t="str">
        <f aca="false">IF(OR(G158="",G158=0),"",I158/G158)</f>
        <v/>
      </c>
      <c r="K158" s="24"/>
      <c r="L158" s="25"/>
      <c r="M158" s="1"/>
      <c r="N158" s="26" t="str">
        <f aca="false">IF(A158="","",SUMIFS(Vendas!$E$5:$E$304,Vendas!$B$5:$B$304,A158))</f>
        <v/>
      </c>
      <c r="O158" s="27" t="str">
        <f aca="false">IF(A158="","",K158-N158)</f>
        <v/>
      </c>
      <c r="P158" s="28" t="str">
        <f aca="false">IF(A158="","",SUMIFS(Vendas!$J$5:$J$304,Vendas!$B$5:$B$304,A158))</f>
        <v/>
      </c>
      <c r="Q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20"/>
      <c r="G159" s="21"/>
      <c r="H159" s="21"/>
      <c r="I159" s="22" t="str">
        <f aca="false">IF(G159="","",G159-H159)</f>
        <v/>
      </c>
      <c r="J159" s="23" t="str">
        <f aca="false">IF(OR(G159="",G159=0),"",I159/G159)</f>
        <v/>
      </c>
      <c r="K159" s="24"/>
      <c r="L159" s="25"/>
      <c r="M159" s="1"/>
      <c r="N159" s="26" t="str">
        <f aca="false">IF(A159="","",SUMIFS(Vendas!$E$5:$E$304,Vendas!$B$5:$B$304,A159))</f>
        <v/>
      </c>
      <c r="O159" s="27" t="str">
        <f aca="false">IF(A159="","",K159-N159)</f>
        <v/>
      </c>
      <c r="P159" s="28" t="str">
        <f aca="false">IF(A159="","",SUMIFS(Vendas!$J$5:$J$304,Vendas!$B$5:$B$304,A159))</f>
        <v/>
      </c>
      <c r="Q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20"/>
      <c r="G160" s="21"/>
      <c r="H160" s="21"/>
      <c r="I160" s="22" t="str">
        <f aca="false">IF(G160="","",G160-H160)</f>
        <v/>
      </c>
      <c r="J160" s="23" t="str">
        <f aca="false">IF(OR(G160="",G160=0),"",I160/G160)</f>
        <v/>
      </c>
      <c r="K160" s="24"/>
      <c r="L160" s="25"/>
      <c r="M160" s="1"/>
      <c r="N160" s="26" t="str">
        <f aca="false">IF(A160="","",SUMIFS(Vendas!$E$5:$E$304,Vendas!$B$5:$B$304,A160))</f>
        <v/>
      </c>
      <c r="O160" s="27" t="str">
        <f aca="false">IF(A160="","",K160-N160)</f>
        <v/>
      </c>
      <c r="P160" s="28" t="str">
        <f aca="false">IF(A160="","",SUMIFS(Vendas!$J$5:$J$304,Vendas!$B$5:$B$304,A160))</f>
        <v/>
      </c>
      <c r="Q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20"/>
      <c r="G161" s="21"/>
      <c r="H161" s="21"/>
      <c r="I161" s="22" t="str">
        <f aca="false">IF(G161="","",G161-H161)</f>
        <v/>
      </c>
      <c r="J161" s="23" t="str">
        <f aca="false">IF(OR(G161="",G161=0),"",I161/G161)</f>
        <v/>
      </c>
      <c r="K161" s="24"/>
      <c r="L161" s="25"/>
      <c r="M161" s="1"/>
      <c r="N161" s="26" t="str">
        <f aca="false">IF(A161="","",SUMIFS(Vendas!$E$5:$E$304,Vendas!$B$5:$B$304,A161))</f>
        <v/>
      </c>
      <c r="O161" s="27" t="str">
        <f aca="false">IF(A161="","",K161-N161)</f>
        <v/>
      </c>
      <c r="P161" s="28" t="str">
        <f aca="false">IF(A161="","",SUMIFS(Vendas!$J$5:$J$304,Vendas!$B$5:$B$304,A161))</f>
        <v/>
      </c>
      <c r="Q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20"/>
      <c r="G162" s="21"/>
      <c r="H162" s="21"/>
      <c r="I162" s="22" t="str">
        <f aca="false">IF(G162="","",G162-H162)</f>
        <v/>
      </c>
      <c r="J162" s="23" t="str">
        <f aca="false">IF(OR(G162="",G162=0),"",I162/G162)</f>
        <v/>
      </c>
      <c r="K162" s="24"/>
      <c r="L162" s="25"/>
      <c r="M162" s="1"/>
      <c r="N162" s="26" t="str">
        <f aca="false">IF(A162="","",SUMIFS(Vendas!$E$5:$E$304,Vendas!$B$5:$B$304,A162))</f>
        <v/>
      </c>
      <c r="O162" s="27" t="str">
        <f aca="false">IF(A162="","",K162-N162)</f>
        <v/>
      </c>
      <c r="P162" s="28" t="str">
        <f aca="false">IF(A162="","",SUMIFS(Vendas!$J$5:$J$304,Vendas!$B$5:$B$304,A162))</f>
        <v/>
      </c>
      <c r="Q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20"/>
      <c r="G163" s="21"/>
      <c r="H163" s="21"/>
      <c r="I163" s="22" t="str">
        <f aca="false">IF(G163="","",G163-H163)</f>
        <v/>
      </c>
      <c r="J163" s="23" t="str">
        <f aca="false">IF(OR(G163="",G163=0),"",I163/G163)</f>
        <v/>
      </c>
      <c r="K163" s="24"/>
      <c r="L163" s="25"/>
      <c r="M163" s="1"/>
      <c r="N163" s="26" t="str">
        <f aca="false">IF(A163="","",SUMIFS(Vendas!$E$5:$E$304,Vendas!$B$5:$B$304,A163))</f>
        <v/>
      </c>
      <c r="O163" s="27" t="str">
        <f aca="false">IF(A163="","",K163-N163)</f>
        <v/>
      </c>
      <c r="P163" s="28" t="str">
        <f aca="false">IF(A163="","",SUMIFS(Vendas!$J$5:$J$304,Vendas!$B$5:$B$304,A163))</f>
        <v/>
      </c>
      <c r="Q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20"/>
      <c r="G164" s="21"/>
      <c r="H164" s="21"/>
      <c r="I164" s="22" t="str">
        <f aca="false">IF(G164="","",G164-H164)</f>
        <v/>
      </c>
      <c r="J164" s="23" t="str">
        <f aca="false">IF(OR(G164="",G164=0),"",I164/G164)</f>
        <v/>
      </c>
      <c r="K164" s="24"/>
      <c r="L164" s="25"/>
      <c r="M164" s="1"/>
      <c r="N164" s="26" t="str">
        <f aca="false">IF(A164="","",SUMIFS(Vendas!$E$5:$E$304,Vendas!$B$5:$B$304,A164))</f>
        <v/>
      </c>
      <c r="O164" s="27" t="str">
        <f aca="false">IF(A164="","",K164-N164)</f>
        <v/>
      </c>
      <c r="P164" s="28" t="str">
        <f aca="false">IF(A164="","",SUMIFS(Vendas!$J$5:$J$304,Vendas!$B$5:$B$304,A164))</f>
        <v/>
      </c>
      <c r="Q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20"/>
      <c r="G165" s="21"/>
      <c r="H165" s="21"/>
      <c r="I165" s="22" t="str">
        <f aca="false">IF(G165="","",G165-H165)</f>
        <v/>
      </c>
      <c r="J165" s="23" t="str">
        <f aca="false">IF(OR(G165="",G165=0),"",I165/G165)</f>
        <v/>
      </c>
      <c r="K165" s="24"/>
      <c r="L165" s="25"/>
      <c r="M165" s="1"/>
      <c r="N165" s="26" t="str">
        <f aca="false">IF(A165="","",SUMIFS(Vendas!$E$5:$E$304,Vendas!$B$5:$B$304,A165))</f>
        <v/>
      </c>
      <c r="O165" s="27" t="str">
        <f aca="false">IF(A165="","",K165-N165)</f>
        <v/>
      </c>
      <c r="P165" s="28" t="str">
        <f aca="false">IF(A165="","",SUMIFS(Vendas!$J$5:$J$304,Vendas!$B$5:$B$304,A165))</f>
        <v/>
      </c>
      <c r="Q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20"/>
      <c r="G166" s="21"/>
      <c r="H166" s="21"/>
      <c r="I166" s="22" t="str">
        <f aca="false">IF(G166="","",G166-H166)</f>
        <v/>
      </c>
      <c r="J166" s="23" t="str">
        <f aca="false">IF(OR(G166="",G166=0),"",I166/G166)</f>
        <v/>
      </c>
      <c r="K166" s="24"/>
      <c r="L166" s="25"/>
      <c r="M166" s="1"/>
      <c r="N166" s="26" t="str">
        <f aca="false">IF(A166="","",SUMIFS(Vendas!$E$5:$E$304,Vendas!$B$5:$B$304,A166))</f>
        <v/>
      </c>
      <c r="O166" s="27" t="str">
        <f aca="false">IF(A166="","",K166-N166)</f>
        <v/>
      </c>
      <c r="P166" s="28" t="str">
        <f aca="false">IF(A166="","",SUMIFS(Vendas!$J$5:$J$304,Vendas!$B$5:$B$304,A166))</f>
        <v/>
      </c>
      <c r="Q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20"/>
      <c r="G167" s="21"/>
      <c r="H167" s="21"/>
      <c r="I167" s="22" t="str">
        <f aca="false">IF(G167="","",G167-H167)</f>
        <v/>
      </c>
      <c r="J167" s="23" t="str">
        <f aca="false">IF(OR(G167="",G167=0),"",I167/G167)</f>
        <v/>
      </c>
      <c r="K167" s="24"/>
      <c r="L167" s="25"/>
      <c r="M167" s="1"/>
      <c r="N167" s="26" t="str">
        <f aca="false">IF(A167="","",SUMIFS(Vendas!$E$5:$E$304,Vendas!$B$5:$B$304,A167))</f>
        <v/>
      </c>
      <c r="O167" s="27" t="str">
        <f aca="false">IF(A167="","",K167-N167)</f>
        <v/>
      </c>
      <c r="P167" s="28" t="str">
        <f aca="false">IF(A167="","",SUMIFS(Vendas!$J$5:$J$304,Vendas!$B$5:$B$304,A167))</f>
        <v/>
      </c>
      <c r="Q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20"/>
      <c r="G168" s="21"/>
      <c r="H168" s="21"/>
      <c r="I168" s="22" t="str">
        <f aca="false">IF(G168="","",G168-H168)</f>
        <v/>
      </c>
      <c r="J168" s="23" t="str">
        <f aca="false">IF(OR(G168="",G168=0),"",I168/G168)</f>
        <v/>
      </c>
      <c r="K168" s="24"/>
      <c r="L168" s="25"/>
      <c r="M168" s="1"/>
      <c r="N168" s="26" t="str">
        <f aca="false">IF(A168="","",SUMIFS(Vendas!$E$5:$E$304,Vendas!$B$5:$B$304,A168))</f>
        <v/>
      </c>
      <c r="O168" s="27" t="str">
        <f aca="false">IF(A168="","",K168-N168)</f>
        <v/>
      </c>
      <c r="P168" s="28" t="str">
        <f aca="false">IF(A168="","",SUMIFS(Vendas!$J$5:$J$304,Vendas!$B$5:$B$304,A168))</f>
        <v/>
      </c>
      <c r="Q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20"/>
      <c r="G169" s="21"/>
      <c r="H169" s="21"/>
      <c r="I169" s="22" t="str">
        <f aca="false">IF(G169="","",G169-H169)</f>
        <v/>
      </c>
      <c r="J169" s="23" t="str">
        <f aca="false">IF(OR(G169="",G169=0),"",I169/G169)</f>
        <v/>
      </c>
      <c r="K169" s="24"/>
      <c r="L169" s="25"/>
      <c r="M169" s="1"/>
      <c r="N169" s="26" t="str">
        <f aca="false">IF(A169="","",SUMIFS(Vendas!$E$5:$E$304,Vendas!$B$5:$B$304,A169))</f>
        <v/>
      </c>
      <c r="O169" s="27" t="str">
        <f aca="false">IF(A169="","",K169-N169)</f>
        <v/>
      </c>
      <c r="P169" s="28" t="str">
        <f aca="false">IF(A169="","",SUMIFS(Vendas!$J$5:$J$304,Vendas!$B$5:$B$304,A169))</f>
        <v/>
      </c>
      <c r="Q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20"/>
      <c r="G170" s="21"/>
      <c r="H170" s="21"/>
      <c r="I170" s="22" t="str">
        <f aca="false">IF(G170="","",G170-H170)</f>
        <v/>
      </c>
      <c r="J170" s="23" t="str">
        <f aca="false">IF(OR(G170="",G170=0),"",I170/G170)</f>
        <v/>
      </c>
      <c r="K170" s="24"/>
      <c r="L170" s="25"/>
      <c r="M170" s="1"/>
      <c r="N170" s="26" t="str">
        <f aca="false">IF(A170="","",SUMIFS(Vendas!$E$5:$E$304,Vendas!$B$5:$B$304,A170))</f>
        <v/>
      </c>
      <c r="O170" s="27" t="str">
        <f aca="false">IF(A170="","",K170-N170)</f>
        <v/>
      </c>
      <c r="P170" s="28" t="str">
        <f aca="false">IF(A170="","",SUMIFS(Vendas!$J$5:$J$304,Vendas!$B$5:$B$304,A170))</f>
        <v/>
      </c>
      <c r="Q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20"/>
      <c r="G171" s="21"/>
      <c r="H171" s="21"/>
      <c r="I171" s="22" t="str">
        <f aca="false">IF(G171="","",G171-H171)</f>
        <v/>
      </c>
      <c r="J171" s="23" t="str">
        <f aca="false">IF(OR(G171="",G171=0),"",I171/G171)</f>
        <v/>
      </c>
      <c r="K171" s="24"/>
      <c r="L171" s="25"/>
      <c r="M171" s="1"/>
      <c r="N171" s="26" t="str">
        <f aca="false">IF(A171="","",SUMIFS(Vendas!$E$5:$E$304,Vendas!$B$5:$B$304,A171))</f>
        <v/>
      </c>
      <c r="O171" s="27" t="str">
        <f aca="false">IF(A171="","",K171-N171)</f>
        <v/>
      </c>
      <c r="P171" s="28" t="str">
        <f aca="false">IF(A171="","",SUMIFS(Vendas!$J$5:$J$304,Vendas!$B$5:$B$304,A171))</f>
        <v/>
      </c>
      <c r="Q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20"/>
      <c r="G172" s="21"/>
      <c r="H172" s="21"/>
      <c r="I172" s="22" t="str">
        <f aca="false">IF(G172="","",G172-H172)</f>
        <v/>
      </c>
      <c r="J172" s="23" t="str">
        <f aca="false">IF(OR(G172="",G172=0),"",I172/G172)</f>
        <v/>
      </c>
      <c r="K172" s="24"/>
      <c r="L172" s="25"/>
      <c r="M172" s="1"/>
      <c r="N172" s="26" t="str">
        <f aca="false">IF(A172="","",SUMIFS(Vendas!$E$5:$E$304,Vendas!$B$5:$B$304,A172))</f>
        <v/>
      </c>
      <c r="O172" s="27" t="str">
        <f aca="false">IF(A172="","",K172-N172)</f>
        <v/>
      </c>
      <c r="P172" s="28" t="str">
        <f aca="false">IF(A172="","",SUMIFS(Vendas!$J$5:$J$304,Vendas!$B$5:$B$304,A172))</f>
        <v/>
      </c>
      <c r="Q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20"/>
      <c r="G173" s="21"/>
      <c r="H173" s="21"/>
      <c r="I173" s="22" t="str">
        <f aca="false">IF(G173="","",G173-H173)</f>
        <v/>
      </c>
      <c r="J173" s="23" t="str">
        <f aca="false">IF(OR(G173="",G173=0),"",I173/G173)</f>
        <v/>
      </c>
      <c r="K173" s="24"/>
      <c r="L173" s="25"/>
      <c r="M173" s="1"/>
      <c r="N173" s="26" t="str">
        <f aca="false">IF(A173="","",SUMIFS(Vendas!$E$5:$E$304,Vendas!$B$5:$B$304,A173))</f>
        <v/>
      </c>
      <c r="O173" s="27" t="str">
        <f aca="false">IF(A173="","",K173-N173)</f>
        <v/>
      </c>
      <c r="P173" s="28" t="str">
        <f aca="false">IF(A173="","",SUMIFS(Vendas!$J$5:$J$304,Vendas!$B$5:$B$304,A173))</f>
        <v/>
      </c>
      <c r="Q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20"/>
      <c r="G174" s="21"/>
      <c r="H174" s="21"/>
      <c r="I174" s="22" t="str">
        <f aca="false">IF(G174="","",G174-H174)</f>
        <v/>
      </c>
      <c r="J174" s="23" t="str">
        <f aca="false">IF(OR(G174="",G174=0),"",I174/G174)</f>
        <v/>
      </c>
      <c r="K174" s="24"/>
      <c r="L174" s="25"/>
      <c r="M174" s="1"/>
      <c r="N174" s="26" t="str">
        <f aca="false">IF(A174="","",SUMIFS(Vendas!$E$5:$E$304,Vendas!$B$5:$B$304,A174))</f>
        <v/>
      </c>
      <c r="O174" s="27" t="str">
        <f aca="false">IF(A174="","",K174-N174)</f>
        <v/>
      </c>
      <c r="P174" s="28" t="str">
        <f aca="false">IF(A174="","",SUMIFS(Vendas!$J$5:$J$304,Vendas!$B$5:$B$304,A174))</f>
        <v/>
      </c>
      <c r="Q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20"/>
      <c r="G175" s="21"/>
      <c r="H175" s="21"/>
      <c r="I175" s="22" t="str">
        <f aca="false">IF(G175="","",G175-H175)</f>
        <v/>
      </c>
      <c r="J175" s="23" t="str">
        <f aca="false">IF(OR(G175="",G175=0),"",I175/G175)</f>
        <v/>
      </c>
      <c r="K175" s="24"/>
      <c r="L175" s="25"/>
      <c r="M175" s="1"/>
      <c r="N175" s="26" t="str">
        <f aca="false">IF(A175="","",SUMIFS(Vendas!$E$5:$E$304,Vendas!$B$5:$B$304,A175))</f>
        <v/>
      </c>
      <c r="O175" s="27" t="str">
        <f aca="false">IF(A175="","",K175-N175)</f>
        <v/>
      </c>
      <c r="P175" s="28" t="str">
        <f aca="false">IF(A175="","",SUMIFS(Vendas!$J$5:$J$304,Vendas!$B$5:$B$304,A175))</f>
        <v/>
      </c>
      <c r="Q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20"/>
      <c r="G176" s="21"/>
      <c r="H176" s="21"/>
      <c r="I176" s="22" t="str">
        <f aca="false">IF(G176="","",G176-H176)</f>
        <v/>
      </c>
      <c r="J176" s="23" t="str">
        <f aca="false">IF(OR(G176="",G176=0),"",I176/G176)</f>
        <v/>
      </c>
      <c r="K176" s="24"/>
      <c r="L176" s="25"/>
      <c r="M176" s="1"/>
      <c r="N176" s="26" t="str">
        <f aca="false">IF(A176="","",SUMIFS(Vendas!$E$5:$E$304,Vendas!$B$5:$B$304,A176))</f>
        <v/>
      </c>
      <c r="O176" s="27" t="str">
        <f aca="false">IF(A176="","",K176-N176)</f>
        <v/>
      </c>
      <c r="P176" s="28" t="str">
        <f aca="false">IF(A176="","",SUMIFS(Vendas!$J$5:$J$304,Vendas!$B$5:$B$304,A176))</f>
        <v/>
      </c>
      <c r="Q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20"/>
      <c r="G177" s="21"/>
      <c r="H177" s="21"/>
      <c r="I177" s="22" t="str">
        <f aca="false">IF(G177="","",G177-H177)</f>
        <v/>
      </c>
      <c r="J177" s="23" t="str">
        <f aca="false">IF(OR(G177="",G177=0),"",I177/G177)</f>
        <v/>
      </c>
      <c r="K177" s="24"/>
      <c r="L177" s="25"/>
      <c r="M177" s="1"/>
      <c r="N177" s="26" t="str">
        <f aca="false">IF(A177="","",SUMIFS(Vendas!$E$5:$E$304,Vendas!$B$5:$B$304,A177))</f>
        <v/>
      </c>
      <c r="O177" s="27" t="str">
        <f aca="false">IF(A177="","",K177-N177)</f>
        <v/>
      </c>
      <c r="P177" s="28" t="str">
        <f aca="false">IF(A177="","",SUMIFS(Vendas!$J$5:$J$304,Vendas!$B$5:$B$304,A177))</f>
        <v/>
      </c>
      <c r="Q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20"/>
      <c r="G178" s="21"/>
      <c r="H178" s="21"/>
      <c r="I178" s="22" t="str">
        <f aca="false">IF(G178="","",G178-H178)</f>
        <v/>
      </c>
      <c r="J178" s="23" t="str">
        <f aca="false">IF(OR(G178="",G178=0),"",I178/G178)</f>
        <v/>
      </c>
      <c r="K178" s="24"/>
      <c r="L178" s="25"/>
      <c r="M178" s="1"/>
      <c r="N178" s="26" t="str">
        <f aca="false">IF(A178="","",SUMIFS(Vendas!$E$5:$E$304,Vendas!$B$5:$B$304,A178))</f>
        <v/>
      </c>
      <c r="O178" s="27" t="str">
        <f aca="false">IF(A178="","",K178-N178)</f>
        <v/>
      </c>
      <c r="P178" s="28" t="str">
        <f aca="false">IF(A178="","",SUMIFS(Vendas!$J$5:$J$304,Vendas!$B$5:$B$304,A178))</f>
        <v/>
      </c>
      <c r="Q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20"/>
      <c r="G179" s="21"/>
      <c r="H179" s="21"/>
      <c r="I179" s="22" t="str">
        <f aca="false">IF(G179="","",G179-H179)</f>
        <v/>
      </c>
      <c r="J179" s="23" t="str">
        <f aca="false">IF(OR(G179="",G179=0),"",I179/G179)</f>
        <v/>
      </c>
      <c r="K179" s="24"/>
      <c r="L179" s="25"/>
      <c r="M179" s="1"/>
      <c r="N179" s="26" t="str">
        <f aca="false">IF(A179="","",SUMIFS(Vendas!$E$5:$E$304,Vendas!$B$5:$B$304,A179))</f>
        <v/>
      </c>
      <c r="O179" s="27" t="str">
        <f aca="false">IF(A179="","",K179-N179)</f>
        <v/>
      </c>
      <c r="P179" s="28" t="str">
        <f aca="false">IF(A179="","",SUMIFS(Vendas!$J$5:$J$304,Vendas!$B$5:$B$304,A179))</f>
        <v/>
      </c>
      <c r="Q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20"/>
      <c r="G180" s="21"/>
      <c r="H180" s="21"/>
      <c r="I180" s="22" t="str">
        <f aca="false">IF(G180="","",G180-H180)</f>
        <v/>
      </c>
      <c r="J180" s="23" t="str">
        <f aca="false">IF(OR(G180="",G180=0),"",I180/G180)</f>
        <v/>
      </c>
      <c r="K180" s="24"/>
      <c r="L180" s="25"/>
      <c r="M180" s="1"/>
      <c r="N180" s="26" t="str">
        <f aca="false">IF(A180="","",SUMIFS(Vendas!$E$5:$E$304,Vendas!$B$5:$B$304,A180))</f>
        <v/>
      </c>
      <c r="O180" s="27" t="str">
        <f aca="false">IF(A180="","",K180-N180)</f>
        <v/>
      </c>
      <c r="P180" s="28" t="str">
        <f aca="false">IF(A180="","",SUMIFS(Vendas!$J$5:$J$304,Vendas!$B$5:$B$304,A180))</f>
        <v/>
      </c>
      <c r="Q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20"/>
      <c r="G181" s="21"/>
      <c r="H181" s="21"/>
      <c r="I181" s="22" t="str">
        <f aca="false">IF(G181="","",G181-H181)</f>
        <v/>
      </c>
      <c r="J181" s="23" t="str">
        <f aca="false">IF(OR(G181="",G181=0),"",I181/G181)</f>
        <v/>
      </c>
      <c r="K181" s="24"/>
      <c r="L181" s="25"/>
      <c r="M181" s="1"/>
      <c r="N181" s="26" t="str">
        <f aca="false">IF(A181="","",SUMIFS(Vendas!$E$5:$E$304,Vendas!$B$5:$B$304,A181))</f>
        <v/>
      </c>
      <c r="O181" s="27" t="str">
        <f aca="false">IF(A181="","",K181-N181)</f>
        <v/>
      </c>
      <c r="P181" s="28" t="str">
        <f aca="false">IF(A181="","",SUMIFS(Vendas!$J$5:$J$304,Vendas!$B$5:$B$304,A181))</f>
        <v/>
      </c>
      <c r="Q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20"/>
      <c r="G182" s="21"/>
      <c r="H182" s="21"/>
      <c r="I182" s="22" t="str">
        <f aca="false">IF(G182="","",G182-H182)</f>
        <v/>
      </c>
      <c r="J182" s="23" t="str">
        <f aca="false">IF(OR(G182="",G182=0),"",I182/G182)</f>
        <v/>
      </c>
      <c r="K182" s="24"/>
      <c r="L182" s="25"/>
      <c r="M182" s="1"/>
      <c r="N182" s="26" t="str">
        <f aca="false">IF(A182="","",SUMIFS(Vendas!$E$5:$E$304,Vendas!$B$5:$B$304,A182))</f>
        <v/>
      </c>
      <c r="O182" s="27" t="str">
        <f aca="false">IF(A182="","",K182-N182)</f>
        <v/>
      </c>
      <c r="P182" s="28" t="str">
        <f aca="false">IF(A182="","",SUMIFS(Vendas!$J$5:$J$304,Vendas!$B$5:$B$304,A182))</f>
        <v/>
      </c>
      <c r="Q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20"/>
      <c r="G183" s="21"/>
      <c r="H183" s="21"/>
      <c r="I183" s="22" t="str">
        <f aca="false">IF(G183="","",G183-H183)</f>
        <v/>
      </c>
      <c r="J183" s="23" t="str">
        <f aca="false">IF(OR(G183="",G183=0),"",I183/G183)</f>
        <v/>
      </c>
      <c r="K183" s="24"/>
      <c r="L183" s="25"/>
      <c r="M183" s="1"/>
      <c r="N183" s="26" t="str">
        <f aca="false">IF(A183="","",SUMIFS(Vendas!$E$5:$E$304,Vendas!$B$5:$B$304,A183))</f>
        <v/>
      </c>
      <c r="O183" s="27" t="str">
        <f aca="false">IF(A183="","",K183-N183)</f>
        <v/>
      </c>
      <c r="P183" s="28" t="str">
        <f aca="false">IF(A183="","",SUMIFS(Vendas!$J$5:$J$304,Vendas!$B$5:$B$304,A183))</f>
        <v/>
      </c>
      <c r="Q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20"/>
      <c r="G184" s="21"/>
      <c r="H184" s="21"/>
      <c r="I184" s="22" t="str">
        <f aca="false">IF(G184="","",G184-H184)</f>
        <v/>
      </c>
      <c r="J184" s="23" t="str">
        <f aca="false">IF(OR(G184="",G184=0),"",I184/G184)</f>
        <v/>
      </c>
      <c r="K184" s="24"/>
      <c r="L184" s="25"/>
      <c r="M184" s="1"/>
      <c r="N184" s="26" t="str">
        <f aca="false">IF(A184="","",SUMIFS(Vendas!$E$5:$E$304,Vendas!$B$5:$B$304,A184))</f>
        <v/>
      </c>
      <c r="O184" s="27" t="str">
        <f aca="false">IF(A184="","",K184-N184)</f>
        <v/>
      </c>
      <c r="P184" s="28" t="str">
        <f aca="false">IF(A184="","",SUMIFS(Vendas!$J$5:$J$304,Vendas!$B$5:$B$304,A184))</f>
        <v/>
      </c>
      <c r="Q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20"/>
      <c r="G185" s="21"/>
      <c r="H185" s="21"/>
      <c r="I185" s="22" t="str">
        <f aca="false">IF(G185="","",G185-H185)</f>
        <v/>
      </c>
      <c r="J185" s="23" t="str">
        <f aca="false">IF(OR(G185="",G185=0),"",I185/G185)</f>
        <v/>
      </c>
      <c r="K185" s="24"/>
      <c r="L185" s="25"/>
      <c r="M185" s="1"/>
      <c r="N185" s="26" t="str">
        <f aca="false">IF(A185="","",SUMIFS(Vendas!$E$5:$E$304,Vendas!$B$5:$B$304,A185))</f>
        <v/>
      </c>
      <c r="O185" s="27" t="str">
        <f aca="false">IF(A185="","",K185-N185)</f>
        <v/>
      </c>
      <c r="P185" s="28" t="str">
        <f aca="false">IF(A185="","",SUMIFS(Vendas!$J$5:$J$304,Vendas!$B$5:$B$304,A185))</f>
        <v/>
      </c>
      <c r="Q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20"/>
      <c r="G186" s="21"/>
      <c r="H186" s="21"/>
      <c r="I186" s="22" t="str">
        <f aca="false">IF(G186="","",G186-H186)</f>
        <v/>
      </c>
      <c r="J186" s="23" t="str">
        <f aca="false">IF(OR(G186="",G186=0),"",I186/G186)</f>
        <v/>
      </c>
      <c r="K186" s="24"/>
      <c r="L186" s="25"/>
      <c r="M186" s="1"/>
      <c r="N186" s="26" t="str">
        <f aca="false">IF(A186="","",SUMIFS(Vendas!$E$5:$E$304,Vendas!$B$5:$B$304,A186))</f>
        <v/>
      </c>
      <c r="O186" s="27" t="str">
        <f aca="false">IF(A186="","",K186-N186)</f>
        <v/>
      </c>
      <c r="P186" s="28" t="str">
        <f aca="false">IF(A186="","",SUMIFS(Vendas!$J$5:$J$304,Vendas!$B$5:$B$304,A186))</f>
        <v/>
      </c>
      <c r="Q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20"/>
      <c r="G187" s="21"/>
      <c r="H187" s="21"/>
      <c r="I187" s="22" t="str">
        <f aca="false">IF(G187="","",G187-H187)</f>
        <v/>
      </c>
      <c r="J187" s="23" t="str">
        <f aca="false">IF(OR(G187="",G187=0),"",I187/G187)</f>
        <v/>
      </c>
      <c r="K187" s="24"/>
      <c r="L187" s="25"/>
      <c r="M187" s="1"/>
      <c r="N187" s="26" t="str">
        <f aca="false">IF(A187="","",SUMIFS(Vendas!$E$5:$E$304,Vendas!$B$5:$B$304,A187))</f>
        <v/>
      </c>
      <c r="O187" s="27" t="str">
        <f aca="false">IF(A187="","",K187-N187)</f>
        <v/>
      </c>
      <c r="P187" s="28" t="str">
        <f aca="false">IF(A187="","",SUMIFS(Vendas!$J$5:$J$304,Vendas!$B$5:$B$304,A187))</f>
        <v/>
      </c>
      <c r="Q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20"/>
      <c r="G188" s="21"/>
      <c r="H188" s="21"/>
      <c r="I188" s="22" t="str">
        <f aca="false">IF(G188="","",G188-H188)</f>
        <v/>
      </c>
      <c r="J188" s="23" t="str">
        <f aca="false">IF(OR(G188="",G188=0),"",I188/G188)</f>
        <v/>
      </c>
      <c r="K188" s="24"/>
      <c r="L188" s="25"/>
      <c r="M188" s="1"/>
      <c r="N188" s="26" t="str">
        <f aca="false">IF(A188="","",SUMIFS(Vendas!$E$5:$E$304,Vendas!$B$5:$B$304,A188))</f>
        <v/>
      </c>
      <c r="O188" s="27" t="str">
        <f aca="false">IF(A188="","",K188-N188)</f>
        <v/>
      </c>
      <c r="P188" s="28" t="str">
        <f aca="false">IF(A188="","",SUMIFS(Vendas!$J$5:$J$304,Vendas!$B$5:$B$304,A188))</f>
        <v/>
      </c>
      <c r="Q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20"/>
      <c r="G189" s="21"/>
      <c r="H189" s="21"/>
      <c r="I189" s="22" t="str">
        <f aca="false">IF(G189="","",G189-H189)</f>
        <v/>
      </c>
      <c r="J189" s="23" t="str">
        <f aca="false">IF(OR(G189="",G189=0),"",I189/G189)</f>
        <v/>
      </c>
      <c r="K189" s="24"/>
      <c r="L189" s="25"/>
      <c r="M189" s="1"/>
      <c r="N189" s="26" t="str">
        <f aca="false">IF(A189="","",SUMIFS(Vendas!$E$5:$E$304,Vendas!$B$5:$B$304,A189))</f>
        <v/>
      </c>
      <c r="O189" s="27" t="str">
        <f aca="false">IF(A189="","",K189-N189)</f>
        <v/>
      </c>
      <c r="P189" s="28" t="str">
        <f aca="false">IF(A189="","",SUMIFS(Vendas!$J$5:$J$304,Vendas!$B$5:$B$304,A189))</f>
        <v/>
      </c>
      <c r="Q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20"/>
      <c r="G190" s="21"/>
      <c r="H190" s="21"/>
      <c r="I190" s="22" t="str">
        <f aca="false">IF(G190="","",G190-H190)</f>
        <v/>
      </c>
      <c r="J190" s="23" t="str">
        <f aca="false">IF(OR(G190="",G190=0),"",I190/G190)</f>
        <v/>
      </c>
      <c r="K190" s="24"/>
      <c r="L190" s="25"/>
      <c r="M190" s="1"/>
      <c r="N190" s="26" t="str">
        <f aca="false">IF(A190="","",SUMIFS(Vendas!$E$5:$E$304,Vendas!$B$5:$B$304,A190))</f>
        <v/>
      </c>
      <c r="O190" s="27" t="str">
        <f aca="false">IF(A190="","",K190-N190)</f>
        <v/>
      </c>
      <c r="P190" s="28" t="str">
        <f aca="false">IF(A190="","",SUMIFS(Vendas!$J$5:$J$304,Vendas!$B$5:$B$304,A190))</f>
        <v/>
      </c>
      <c r="Q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20"/>
      <c r="G191" s="21"/>
      <c r="H191" s="21"/>
      <c r="I191" s="22" t="str">
        <f aca="false">IF(G191="","",G191-H191)</f>
        <v/>
      </c>
      <c r="J191" s="23" t="str">
        <f aca="false">IF(OR(G191="",G191=0),"",I191/G191)</f>
        <v/>
      </c>
      <c r="K191" s="24"/>
      <c r="L191" s="25"/>
      <c r="M191" s="1"/>
      <c r="N191" s="26" t="str">
        <f aca="false">IF(A191="","",SUMIFS(Vendas!$E$5:$E$304,Vendas!$B$5:$B$304,A191))</f>
        <v/>
      </c>
      <c r="O191" s="27" t="str">
        <f aca="false">IF(A191="","",K191-N191)</f>
        <v/>
      </c>
      <c r="P191" s="28" t="str">
        <f aca="false">IF(A191="","",SUMIFS(Vendas!$J$5:$J$304,Vendas!$B$5:$B$304,A191))</f>
        <v/>
      </c>
      <c r="Q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20"/>
      <c r="G192" s="21"/>
      <c r="H192" s="21"/>
      <c r="I192" s="22" t="str">
        <f aca="false">IF(G192="","",G192-H192)</f>
        <v/>
      </c>
      <c r="J192" s="23" t="str">
        <f aca="false">IF(OR(G192="",G192=0),"",I192/G192)</f>
        <v/>
      </c>
      <c r="K192" s="24"/>
      <c r="L192" s="25"/>
      <c r="M192" s="1"/>
      <c r="N192" s="26" t="str">
        <f aca="false">IF(A192="","",SUMIFS(Vendas!$E$5:$E$304,Vendas!$B$5:$B$304,A192))</f>
        <v/>
      </c>
      <c r="O192" s="27" t="str">
        <f aca="false">IF(A192="","",K192-N192)</f>
        <v/>
      </c>
      <c r="P192" s="28" t="str">
        <f aca="false">IF(A192="","",SUMIFS(Vendas!$J$5:$J$304,Vendas!$B$5:$B$304,A192))</f>
        <v/>
      </c>
      <c r="Q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20"/>
      <c r="G193" s="21"/>
      <c r="H193" s="21"/>
      <c r="I193" s="22" t="str">
        <f aca="false">IF(G193="","",G193-H193)</f>
        <v/>
      </c>
      <c r="J193" s="23" t="str">
        <f aca="false">IF(OR(G193="",G193=0),"",I193/G193)</f>
        <v/>
      </c>
      <c r="K193" s="24"/>
      <c r="L193" s="25"/>
      <c r="M193" s="1"/>
      <c r="N193" s="26" t="str">
        <f aca="false">IF(A193="","",SUMIFS(Vendas!$E$5:$E$304,Vendas!$B$5:$B$304,A193))</f>
        <v/>
      </c>
      <c r="O193" s="27" t="str">
        <f aca="false">IF(A193="","",K193-N193)</f>
        <v/>
      </c>
      <c r="P193" s="28" t="str">
        <f aca="false">IF(A193="","",SUMIFS(Vendas!$J$5:$J$304,Vendas!$B$5:$B$304,A193))</f>
        <v/>
      </c>
      <c r="Q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20"/>
      <c r="G194" s="21"/>
      <c r="H194" s="21"/>
      <c r="I194" s="22" t="str">
        <f aca="false">IF(G194="","",G194-H194)</f>
        <v/>
      </c>
      <c r="J194" s="23" t="str">
        <f aca="false">IF(OR(G194="",G194=0),"",I194/G194)</f>
        <v/>
      </c>
      <c r="K194" s="24"/>
      <c r="L194" s="25"/>
      <c r="M194" s="1"/>
      <c r="N194" s="26" t="str">
        <f aca="false">IF(A194="","",SUMIFS(Vendas!$E$5:$E$304,Vendas!$B$5:$B$304,A194))</f>
        <v/>
      </c>
      <c r="O194" s="27" t="str">
        <f aca="false">IF(A194="","",K194-N194)</f>
        <v/>
      </c>
      <c r="P194" s="28" t="str">
        <f aca="false">IF(A194="","",SUMIFS(Vendas!$J$5:$J$304,Vendas!$B$5:$B$304,A194))</f>
        <v/>
      </c>
      <c r="Q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20"/>
      <c r="G195" s="21"/>
      <c r="H195" s="21"/>
      <c r="I195" s="22" t="str">
        <f aca="false">IF(G195="","",G195-H195)</f>
        <v/>
      </c>
      <c r="J195" s="23" t="str">
        <f aca="false">IF(OR(G195="",G195=0),"",I195/G195)</f>
        <v/>
      </c>
      <c r="K195" s="24"/>
      <c r="L195" s="25"/>
      <c r="M195" s="1"/>
      <c r="N195" s="26" t="str">
        <f aca="false">IF(A195="","",SUMIFS(Vendas!$E$5:$E$304,Vendas!$B$5:$B$304,A195))</f>
        <v/>
      </c>
      <c r="O195" s="27" t="str">
        <f aca="false">IF(A195="","",K195-N195)</f>
        <v/>
      </c>
      <c r="P195" s="28" t="str">
        <f aca="false">IF(A195="","",SUMIFS(Vendas!$J$5:$J$304,Vendas!$B$5:$B$304,A195))</f>
        <v/>
      </c>
      <c r="Q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20"/>
      <c r="G196" s="21"/>
      <c r="H196" s="21"/>
      <c r="I196" s="22" t="str">
        <f aca="false">IF(G196="","",G196-H196)</f>
        <v/>
      </c>
      <c r="J196" s="23" t="str">
        <f aca="false">IF(OR(G196="",G196=0),"",I196/G196)</f>
        <v/>
      </c>
      <c r="K196" s="24"/>
      <c r="L196" s="25"/>
      <c r="M196" s="1"/>
      <c r="N196" s="26" t="str">
        <f aca="false">IF(A196="","",SUMIFS(Vendas!$E$5:$E$304,Vendas!$B$5:$B$304,A196))</f>
        <v/>
      </c>
      <c r="O196" s="27" t="str">
        <f aca="false">IF(A196="","",K196-N196)</f>
        <v/>
      </c>
      <c r="P196" s="28" t="str">
        <f aca="false">IF(A196="","",SUMIFS(Vendas!$J$5:$J$304,Vendas!$B$5:$B$304,A196))</f>
        <v/>
      </c>
      <c r="Q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20"/>
      <c r="G197" s="21"/>
      <c r="H197" s="21"/>
      <c r="I197" s="22" t="str">
        <f aca="false">IF(G197="","",G197-H197)</f>
        <v/>
      </c>
      <c r="J197" s="23" t="str">
        <f aca="false">IF(OR(G197="",G197=0),"",I197/G197)</f>
        <v/>
      </c>
      <c r="K197" s="24"/>
      <c r="L197" s="25"/>
      <c r="M197" s="1"/>
      <c r="N197" s="26" t="str">
        <f aca="false">IF(A197="","",SUMIFS(Vendas!$E$5:$E$304,Vendas!$B$5:$B$304,A197))</f>
        <v/>
      </c>
      <c r="O197" s="27" t="str">
        <f aca="false">IF(A197="","",K197-N197)</f>
        <v/>
      </c>
      <c r="P197" s="28" t="str">
        <f aca="false">IF(A197="","",SUMIFS(Vendas!$J$5:$J$304,Vendas!$B$5:$B$304,A197))</f>
        <v/>
      </c>
      <c r="Q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20"/>
      <c r="G198" s="21"/>
      <c r="H198" s="21"/>
      <c r="I198" s="22" t="str">
        <f aca="false">IF(G198="","",G198-H198)</f>
        <v/>
      </c>
      <c r="J198" s="23" t="str">
        <f aca="false">IF(OR(G198="",G198=0),"",I198/G198)</f>
        <v/>
      </c>
      <c r="K198" s="24"/>
      <c r="L198" s="25"/>
      <c r="M198" s="1"/>
      <c r="N198" s="26" t="str">
        <f aca="false">IF(A198="","",SUMIFS(Vendas!$E$5:$E$304,Vendas!$B$5:$B$304,A198))</f>
        <v/>
      </c>
      <c r="O198" s="27" t="str">
        <f aca="false">IF(A198="","",K198-N198)</f>
        <v/>
      </c>
      <c r="P198" s="28" t="str">
        <f aca="false">IF(A198="","",SUMIFS(Vendas!$J$5:$J$304,Vendas!$B$5:$B$304,A198))</f>
        <v/>
      </c>
      <c r="Q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20"/>
      <c r="G199" s="21"/>
      <c r="H199" s="21"/>
      <c r="I199" s="22" t="str">
        <f aca="false">IF(G199="","",G199-H199)</f>
        <v/>
      </c>
      <c r="J199" s="23" t="str">
        <f aca="false">IF(OR(G199="",G199=0),"",I199/G199)</f>
        <v/>
      </c>
      <c r="K199" s="24"/>
      <c r="L199" s="25"/>
      <c r="M199" s="1"/>
      <c r="N199" s="26" t="str">
        <f aca="false">IF(A199="","",SUMIFS(Vendas!$E$5:$E$304,Vendas!$B$5:$B$304,A199))</f>
        <v/>
      </c>
      <c r="O199" s="27" t="str">
        <f aca="false">IF(A199="","",K199-N199)</f>
        <v/>
      </c>
      <c r="P199" s="28" t="str">
        <f aca="false">IF(A199="","",SUMIFS(Vendas!$J$5:$J$304,Vendas!$B$5:$B$304,A199))</f>
        <v/>
      </c>
      <c r="Q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20"/>
      <c r="G200" s="21"/>
      <c r="H200" s="21"/>
      <c r="I200" s="22" t="str">
        <f aca="false">IF(G200="","",G200-H200)</f>
        <v/>
      </c>
      <c r="J200" s="23" t="str">
        <f aca="false">IF(OR(G200="",G200=0),"",I200/G200)</f>
        <v/>
      </c>
      <c r="K200" s="24"/>
      <c r="L200" s="25"/>
      <c r="M200" s="1"/>
      <c r="N200" s="26" t="str">
        <f aca="false">IF(A200="","",SUMIFS(Vendas!$E$5:$E$304,Vendas!$B$5:$B$304,A200))</f>
        <v/>
      </c>
      <c r="O200" s="27" t="str">
        <f aca="false">IF(A200="","",K200-N200)</f>
        <v/>
      </c>
      <c r="P200" s="28" t="str">
        <f aca="false">IF(A200="","",SUMIFS(Vendas!$J$5:$J$304,Vendas!$B$5:$B$304,A200))</f>
        <v/>
      </c>
      <c r="Q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20"/>
      <c r="G201" s="21"/>
      <c r="H201" s="21"/>
      <c r="I201" s="22" t="str">
        <f aca="false">IF(G201="","",G201-H201)</f>
        <v/>
      </c>
      <c r="J201" s="23" t="str">
        <f aca="false">IF(OR(G201="",G201=0),"",I201/G201)</f>
        <v/>
      </c>
      <c r="K201" s="24"/>
      <c r="L201" s="25"/>
      <c r="M201" s="1"/>
      <c r="N201" s="26" t="str">
        <f aca="false">IF(A201="","",SUMIFS(Vendas!$E$5:$E$304,Vendas!$B$5:$B$304,A201))</f>
        <v/>
      </c>
      <c r="O201" s="27" t="str">
        <f aca="false">IF(A201="","",K201-N201)</f>
        <v/>
      </c>
      <c r="P201" s="28" t="str">
        <f aca="false">IF(A201="","",SUMIFS(Vendas!$J$5:$J$304,Vendas!$B$5:$B$304,A201))</f>
        <v/>
      </c>
      <c r="Q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20"/>
      <c r="G202" s="21"/>
      <c r="H202" s="21"/>
      <c r="I202" s="22" t="str">
        <f aca="false">IF(G202="","",G202-H202)</f>
        <v/>
      </c>
      <c r="J202" s="23" t="str">
        <f aca="false">IF(OR(G202="",G202=0),"",I202/G202)</f>
        <v/>
      </c>
      <c r="K202" s="24"/>
      <c r="L202" s="25"/>
      <c r="M202" s="1"/>
      <c r="N202" s="26" t="str">
        <f aca="false">IF(A202="","",SUMIFS(Vendas!$E$5:$E$304,Vendas!$B$5:$B$304,A202))</f>
        <v/>
      </c>
      <c r="O202" s="27" t="str">
        <f aca="false">IF(A202="","",K202-N202)</f>
        <v/>
      </c>
      <c r="P202" s="28" t="str">
        <f aca="false">IF(A202="","",SUMIFS(Vendas!$J$5:$J$304,Vendas!$B$5:$B$304,A202))</f>
        <v/>
      </c>
      <c r="Q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20"/>
      <c r="G203" s="21"/>
      <c r="H203" s="21"/>
      <c r="I203" s="22" t="str">
        <f aca="false">IF(G203="","",G203-H203)</f>
        <v/>
      </c>
      <c r="J203" s="23" t="str">
        <f aca="false">IF(OR(G203="",G203=0),"",I203/G203)</f>
        <v/>
      </c>
      <c r="K203" s="24"/>
      <c r="L203" s="25"/>
      <c r="M203" s="1"/>
      <c r="N203" s="26" t="str">
        <f aca="false">IF(A203="","",SUMIFS(Vendas!$E$5:$E$304,Vendas!$B$5:$B$304,A203))</f>
        <v/>
      </c>
      <c r="O203" s="27" t="str">
        <f aca="false">IF(A203="","",K203-N203)</f>
        <v/>
      </c>
      <c r="P203" s="28" t="str">
        <f aca="false">IF(A203="","",SUMIFS(Vendas!$J$5:$J$304,Vendas!$B$5:$B$304,A203))</f>
        <v/>
      </c>
      <c r="Q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20"/>
      <c r="G204" s="21"/>
      <c r="H204" s="21"/>
      <c r="I204" s="22" t="str">
        <f aca="false">IF(G204="","",G204-H204)</f>
        <v/>
      </c>
      <c r="J204" s="23" t="str">
        <f aca="false">IF(OR(G204="",G204=0),"",I204/G204)</f>
        <v/>
      </c>
      <c r="K204" s="24"/>
      <c r="L204" s="25"/>
      <c r="M204" s="1"/>
      <c r="N204" s="26" t="str">
        <f aca="false">IF(A204="","",SUMIFS(Vendas!$E$5:$E$304,Vendas!$B$5:$B$304,A204))</f>
        <v/>
      </c>
      <c r="O204" s="27" t="str">
        <f aca="false">IF(A204="","",K204-N204)</f>
        <v/>
      </c>
      <c r="P204" s="28" t="str">
        <f aca="false">IF(A204="","",SUMIFS(Vendas!$J$5:$J$304,Vendas!$B$5:$B$304,A204))</f>
        <v/>
      </c>
      <c r="Q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20"/>
      <c r="G205" s="21"/>
      <c r="H205" s="21"/>
      <c r="I205" s="22" t="str">
        <f aca="false">IF(G205="","",G205-H205)</f>
        <v/>
      </c>
      <c r="J205" s="23" t="str">
        <f aca="false">IF(OR(G205="",G205=0),"",I205/G205)</f>
        <v/>
      </c>
      <c r="K205" s="24"/>
      <c r="L205" s="25"/>
      <c r="M205" s="1"/>
      <c r="N205" s="26" t="str">
        <f aca="false">IF(A205="","",SUMIFS(Vendas!$E$5:$E$304,Vendas!$B$5:$B$304,A205))</f>
        <v/>
      </c>
      <c r="O205" s="27" t="str">
        <f aca="false">IF(A205="","",K205-N205)</f>
        <v/>
      </c>
      <c r="P205" s="28" t="str">
        <f aca="false">IF(A205="","",SUMIFS(Vendas!$J$5:$J$304,Vendas!$B$5:$B$304,A205))</f>
        <v/>
      </c>
      <c r="Q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20"/>
      <c r="G206" s="21"/>
      <c r="H206" s="21"/>
      <c r="I206" s="22" t="str">
        <f aca="false">IF(G206="","",G206-H206)</f>
        <v/>
      </c>
      <c r="J206" s="23" t="str">
        <f aca="false">IF(OR(G206="",G206=0),"",I206/G206)</f>
        <v/>
      </c>
      <c r="K206" s="24"/>
      <c r="L206" s="25"/>
      <c r="M206" s="1"/>
      <c r="N206" s="26" t="str">
        <f aca="false">IF(A206="","",SUMIFS(Vendas!$E$5:$E$304,Vendas!$B$5:$B$304,A206))</f>
        <v/>
      </c>
      <c r="O206" s="27" t="str">
        <f aca="false">IF(A206="","",K206-N206)</f>
        <v/>
      </c>
      <c r="P206" s="28" t="str">
        <f aca="false">IF(A206="","",SUMIFS(Vendas!$J$5:$J$304,Vendas!$B$5:$B$304,A206))</f>
        <v/>
      </c>
      <c r="Q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20"/>
      <c r="G207" s="21"/>
      <c r="H207" s="21"/>
      <c r="I207" s="22" t="str">
        <f aca="false">IF(G207="","",G207-H207)</f>
        <v/>
      </c>
      <c r="J207" s="23" t="str">
        <f aca="false">IF(OR(G207="",G207=0),"",I207/G207)</f>
        <v/>
      </c>
      <c r="K207" s="24"/>
      <c r="L207" s="25"/>
      <c r="M207" s="1"/>
      <c r="N207" s="26" t="str">
        <f aca="false">IF(A207="","",SUMIFS(Vendas!$E$5:$E$304,Vendas!$B$5:$B$304,A207))</f>
        <v/>
      </c>
      <c r="O207" s="27" t="str">
        <f aca="false">IF(A207="","",K207-N207)</f>
        <v/>
      </c>
      <c r="P207" s="28" t="str">
        <f aca="false">IF(A207="","",SUMIFS(Vendas!$J$5:$J$304,Vendas!$B$5:$B$304,A207))</f>
        <v/>
      </c>
      <c r="Q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20"/>
      <c r="G208" s="21"/>
      <c r="H208" s="21"/>
      <c r="I208" s="22" t="str">
        <f aca="false">IF(G208="","",G208-H208)</f>
        <v/>
      </c>
      <c r="J208" s="23" t="str">
        <f aca="false">IF(OR(G208="",G208=0),"",I208/G208)</f>
        <v/>
      </c>
      <c r="K208" s="24"/>
      <c r="L208" s="25"/>
      <c r="M208" s="1"/>
      <c r="N208" s="26" t="str">
        <f aca="false">IF(A208="","",SUMIFS(Vendas!$E$5:$E$304,Vendas!$B$5:$B$304,A208))</f>
        <v/>
      </c>
      <c r="O208" s="27" t="str">
        <f aca="false">IF(A208="","",K208-N208)</f>
        <v/>
      </c>
      <c r="P208" s="28" t="str">
        <f aca="false">IF(A208="","",SUMIFS(Vendas!$J$5:$J$304,Vendas!$B$5:$B$304,A208))</f>
        <v/>
      </c>
      <c r="Q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20"/>
      <c r="G209" s="21"/>
      <c r="H209" s="21"/>
      <c r="I209" s="22" t="str">
        <f aca="false">IF(G209="","",G209-H209)</f>
        <v/>
      </c>
      <c r="J209" s="23" t="str">
        <f aca="false">IF(OR(G209="",G209=0),"",I209/G209)</f>
        <v/>
      </c>
      <c r="K209" s="24"/>
      <c r="L209" s="25"/>
      <c r="M209" s="1"/>
      <c r="N209" s="26" t="str">
        <f aca="false">IF(A209="","",SUMIFS(Vendas!$E$5:$E$304,Vendas!$B$5:$B$304,A209))</f>
        <v/>
      </c>
      <c r="O209" s="27" t="str">
        <f aca="false">IF(A209="","",K209-N209)</f>
        <v/>
      </c>
      <c r="P209" s="28" t="str">
        <f aca="false">IF(A209="","",SUMIFS(Vendas!$J$5:$J$304,Vendas!$B$5:$B$304,A209))</f>
        <v/>
      </c>
      <c r="Q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20"/>
      <c r="G210" s="21"/>
      <c r="H210" s="21"/>
      <c r="I210" s="22" t="str">
        <f aca="false">IF(G210="","",G210-H210)</f>
        <v/>
      </c>
      <c r="J210" s="23" t="str">
        <f aca="false">IF(OR(G210="",G210=0),"",I210/G210)</f>
        <v/>
      </c>
      <c r="K210" s="24"/>
      <c r="L210" s="25"/>
      <c r="M210" s="1"/>
      <c r="N210" s="26" t="str">
        <f aca="false">IF(A210="","",SUMIFS(Vendas!$E$5:$E$304,Vendas!$B$5:$B$304,A210))</f>
        <v/>
      </c>
      <c r="O210" s="27" t="str">
        <f aca="false">IF(A210="","",K210-N210)</f>
        <v/>
      </c>
      <c r="P210" s="28" t="str">
        <f aca="false">IF(A210="","",SUMIFS(Vendas!$J$5:$J$304,Vendas!$B$5:$B$304,A210))</f>
        <v/>
      </c>
      <c r="Q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20"/>
      <c r="G211" s="21"/>
      <c r="H211" s="21"/>
      <c r="I211" s="22" t="str">
        <f aca="false">IF(G211="","",G211-H211)</f>
        <v/>
      </c>
      <c r="J211" s="23" t="str">
        <f aca="false">IF(OR(G211="",G211=0),"",I211/G211)</f>
        <v/>
      </c>
      <c r="K211" s="24"/>
      <c r="L211" s="25"/>
      <c r="M211" s="1"/>
      <c r="N211" s="26" t="str">
        <f aca="false">IF(A211="","",SUMIFS(Vendas!$E$5:$E$304,Vendas!$B$5:$B$304,A211))</f>
        <v/>
      </c>
      <c r="O211" s="27" t="str">
        <f aca="false">IF(A211="","",K211-N211)</f>
        <v/>
      </c>
      <c r="P211" s="28" t="str">
        <f aca="false">IF(A211="","",SUMIFS(Vendas!$J$5:$J$304,Vendas!$B$5:$B$304,A211))</f>
        <v/>
      </c>
      <c r="Q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20"/>
      <c r="G212" s="21"/>
      <c r="H212" s="21"/>
      <c r="I212" s="22" t="str">
        <f aca="false">IF(G212="","",G212-H212)</f>
        <v/>
      </c>
      <c r="J212" s="23" t="str">
        <f aca="false">IF(OR(G212="",G212=0),"",I212/G212)</f>
        <v/>
      </c>
      <c r="K212" s="24"/>
      <c r="L212" s="25"/>
      <c r="M212" s="1"/>
      <c r="N212" s="26" t="str">
        <f aca="false">IF(A212="","",SUMIFS(Vendas!$E$5:$E$304,Vendas!$B$5:$B$304,A212))</f>
        <v/>
      </c>
      <c r="O212" s="27" t="str">
        <f aca="false">IF(A212="","",K212-N212)</f>
        <v/>
      </c>
      <c r="P212" s="28" t="str">
        <f aca="false">IF(A212="","",SUMIFS(Vendas!$J$5:$J$304,Vendas!$B$5:$B$304,A212))</f>
        <v/>
      </c>
      <c r="Q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20"/>
      <c r="G213" s="21"/>
      <c r="H213" s="21"/>
      <c r="I213" s="22" t="str">
        <f aca="false">IF(G213="","",G213-H213)</f>
        <v/>
      </c>
      <c r="J213" s="23" t="str">
        <f aca="false">IF(OR(G213="",G213=0),"",I213/G213)</f>
        <v/>
      </c>
      <c r="K213" s="24"/>
      <c r="L213" s="25"/>
      <c r="M213" s="1"/>
      <c r="N213" s="26" t="str">
        <f aca="false">IF(A213="","",SUMIFS(Vendas!$E$5:$E$304,Vendas!$B$5:$B$304,A213))</f>
        <v/>
      </c>
      <c r="O213" s="27" t="str">
        <f aca="false">IF(A213="","",K213-N213)</f>
        <v/>
      </c>
      <c r="P213" s="28" t="str">
        <f aca="false">IF(A213="","",SUMIFS(Vendas!$J$5:$J$304,Vendas!$B$5:$B$304,A213))</f>
        <v/>
      </c>
      <c r="Q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20"/>
      <c r="G214" s="21"/>
      <c r="H214" s="21"/>
      <c r="I214" s="22" t="str">
        <f aca="false">IF(G214="","",G214-H214)</f>
        <v/>
      </c>
      <c r="J214" s="23" t="str">
        <f aca="false">IF(OR(G214="",G214=0),"",I214/G214)</f>
        <v/>
      </c>
      <c r="K214" s="24"/>
      <c r="L214" s="25"/>
      <c r="M214" s="1"/>
      <c r="N214" s="26" t="str">
        <f aca="false">IF(A214="","",SUMIFS(Vendas!$E$5:$E$304,Vendas!$B$5:$B$304,A214))</f>
        <v/>
      </c>
      <c r="O214" s="27" t="str">
        <f aca="false">IF(A214="","",K214-N214)</f>
        <v/>
      </c>
      <c r="P214" s="28" t="str">
        <f aca="false">IF(A214="","",SUMIFS(Vendas!$J$5:$J$304,Vendas!$B$5:$B$304,A214))</f>
        <v/>
      </c>
      <c r="Q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20"/>
      <c r="G215" s="21"/>
      <c r="H215" s="21"/>
      <c r="I215" s="22" t="str">
        <f aca="false">IF(G215="","",G215-H215)</f>
        <v/>
      </c>
      <c r="J215" s="23" t="str">
        <f aca="false">IF(OR(G215="",G215=0),"",I215/G215)</f>
        <v/>
      </c>
      <c r="K215" s="24"/>
      <c r="L215" s="25"/>
      <c r="M215" s="1"/>
      <c r="N215" s="26" t="str">
        <f aca="false">IF(A215="","",SUMIFS(Vendas!$E$5:$E$304,Vendas!$B$5:$B$304,A215))</f>
        <v/>
      </c>
      <c r="O215" s="27" t="str">
        <f aca="false">IF(A215="","",K215-N215)</f>
        <v/>
      </c>
      <c r="P215" s="28" t="str">
        <f aca="false">IF(A215="","",SUMIFS(Vendas!$J$5:$J$304,Vendas!$B$5:$B$304,A215))</f>
        <v/>
      </c>
      <c r="Q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20"/>
      <c r="G216" s="21"/>
      <c r="H216" s="21"/>
      <c r="I216" s="22" t="str">
        <f aca="false">IF(G216="","",G216-H216)</f>
        <v/>
      </c>
      <c r="J216" s="23" t="str">
        <f aca="false">IF(OR(G216="",G216=0),"",I216/G216)</f>
        <v/>
      </c>
      <c r="K216" s="24"/>
      <c r="L216" s="25"/>
      <c r="M216" s="1"/>
      <c r="N216" s="26" t="str">
        <f aca="false">IF(A216="","",SUMIFS(Vendas!$E$5:$E$304,Vendas!$B$5:$B$304,A216))</f>
        <v/>
      </c>
      <c r="O216" s="27" t="str">
        <f aca="false">IF(A216="","",K216-N216)</f>
        <v/>
      </c>
      <c r="P216" s="28" t="str">
        <f aca="false">IF(A216="","",SUMIFS(Vendas!$J$5:$J$304,Vendas!$B$5:$B$304,A216))</f>
        <v/>
      </c>
      <c r="Q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20"/>
      <c r="G217" s="21"/>
      <c r="H217" s="21"/>
      <c r="I217" s="22" t="str">
        <f aca="false">IF(G217="","",G217-H217)</f>
        <v/>
      </c>
      <c r="J217" s="23" t="str">
        <f aca="false">IF(OR(G217="",G217=0),"",I217/G217)</f>
        <v/>
      </c>
      <c r="K217" s="24"/>
      <c r="L217" s="25"/>
      <c r="M217" s="1"/>
      <c r="N217" s="26" t="str">
        <f aca="false">IF(A217="","",SUMIFS(Vendas!$E$5:$E$304,Vendas!$B$5:$B$304,A217))</f>
        <v/>
      </c>
      <c r="O217" s="27" t="str">
        <f aca="false">IF(A217="","",K217-N217)</f>
        <v/>
      </c>
      <c r="P217" s="28" t="str">
        <f aca="false">IF(A217="","",SUMIFS(Vendas!$J$5:$J$304,Vendas!$B$5:$B$304,A217))</f>
        <v/>
      </c>
      <c r="Q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20"/>
      <c r="G218" s="21"/>
      <c r="H218" s="21"/>
      <c r="I218" s="22" t="str">
        <f aca="false">IF(G218="","",G218-H218)</f>
        <v/>
      </c>
      <c r="J218" s="23" t="str">
        <f aca="false">IF(OR(G218="",G218=0),"",I218/G218)</f>
        <v/>
      </c>
      <c r="K218" s="24"/>
      <c r="L218" s="25"/>
      <c r="M218" s="1"/>
      <c r="N218" s="26" t="str">
        <f aca="false">IF(A218="","",SUMIFS(Vendas!$E$5:$E$304,Vendas!$B$5:$B$304,A218))</f>
        <v/>
      </c>
      <c r="O218" s="27" t="str">
        <f aca="false">IF(A218="","",K218-N218)</f>
        <v/>
      </c>
      <c r="P218" s="28" t="str">
        <f aca="false">IF(A218="","",SUMIFS(Vendas!$J$5:$J$304,Vendas!$B$5:$B$304,A218))</f>
        <v/>
      </c>
      <c r="Q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20"/>
      <c r="G219" s="21"/>
      <c r="H219" s="21"/>
      <c r="I219" s="22" t="str">
        <f aca="false">IF(G219="","",G219-H219)</f>
        <v/>
      </c>
      <c r="J219" s="23" t="str">
        <f aca="false">IF(OR(G219="",G219=0),"",I219/G219)</f>
        <v/>
      </c>
      <c r="K219" s="24"/>
      <c r="L219" s="25"/>
      <c r="M219" s="1"/>
      <c r="N219" s="26" t="str">
        <f aca="false">IF(A219="","",SUMIFS(Vendas!$E$5:$E$304,Vendas!$B$5:$B$304,A219))</f>
        <v/>
      </c>
      <c r="O219" s="27" t="str">
        <f aca="false">IF(A219="","",K219-N219)</f>
        <v/>
      </c>
      <c r="P219" s="28" t="str">
        <f aca="false">IF(A219="","",SUMIFS(Vendas!$J$5:$J$304,Vendas!$B$5:$B$304,A219))</f>
        <v/>
      </c>
      <c r="Q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20"/>
      <c r="G220" s="21"/>
      <c r="H220" s="21"/>
      <c r="I220" s="22" t="str">
        <f aca="false">IF(G220="","",G220-H220)</f>
        <v/>
      </c>
      <c r="J220" s="23" t="str">
        <f aca="false">IF(OR(G220="",G220=0),"",I220/G220)</f>
        <v/>
      </c>
      <c r="K220" s="24"/>
      <c r="L220" s="25"/>
      <c r="M220" s="1"/>
      <c r="N220" s="26" t="str">
        <f aca="false">IF(A220="","",SUMIFS(Vendas!$E$5:$E$304,Vendas!$B$5:$B$304,A220))</f>
        <v/>
      </c>
      <c r="O220" s="27" t="str">
        <f aca="false">IF(A220="","",K220-N220)</f>
        <v/>
      </c>
      <c r="P220" s="28" t="str">
        <f aca="false">IF(A220="","",SUMIFS(Vendas!$J$5:$J$304,Vendas!$B$5:$B$304,A220))</f>
        <v/>
      </c>
      <c r="Q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20"/>
      <c r="G221" s="21"/>
      <c r="H221" s="21"/>
      <c r="I221" s="22" t="str">
        <f aca="false">IF(G221="","",G221-H221)</f>
        <v/>
      </c>
      <c r="J221" s="23" t="str">
        <f aca="false">IF(OR(G221="",G221=0),"",I221/G221)</f>
        <v/>
      </c>
      <c r="K221" s="24"/>
      <c r="L221" s="25"/>
      <c r="M221" s="1"/>
      <c r="N221" s="26" t="str">
        <f aca="false">IF(A221="","",SUMIFS(Vendas!$E$5:$E$304,Vendas!$B$5:$B$304,A221))</f>
        <v/>
      </c>
      <c r="O221" s="27" t="str">
        <f aca="false">IF(A221="","",K221-N221)</f>
        <v/>
      </c>
      <c r="P221" s="28" t="str">
        <f aca="false">IF(A221="","",SUMIFS(Vendas!$J$5:$J$304,Vendas!$B$5:$B$304,A221))</f>
        <v/>
      </c>
      <c r="Q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20"/>
      <c r="G222" s="21"/>
      <c r="H222" s="21"/>
      <c r="I222" s="22" t="str">
        <f aca="false">IF(G222="","",G222-H222)</f>
        <v/>
      </c>
      <c r="J222" s="23" t="str">
        <f aca="false">IF(OR(G222="",G222=0),"",I222/G222)</f>
        <v/>
      </c>
      <c r="K222" s="24"/>
      <c r="L222" s="25"/>
      <c r="M222" s="1"/>
      <c r="N222" s="26" t="str">
        <f aca="false">IF(A222="","",SUMIFS(Vendas!$E$5:$E$304,Vendas!$B$5:$B$304,A222))</f>
        <v/>
      </c>
      <c r="O222" s="27" t="str">
        <f aca="false">IF(A222="","",K222-N222)</f>
        <v/>
      </c>
      <c r="P222" s="28" t="str">
        <f aca="false">IF(A222="","",SUMIFS(Vendas!$J$5:$J$304,Vendas!$B$5:$B$304,A222))</f>
        <v/>
      </c>
      <c r="Q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20"/>
      <c r="G223" s="21"/>
      <c r="H223" s="21"/>
      <c r="I223" s="22" t="str">
        <f aca="false">IF(G223="","",G223-H223)</f>
        <v/>
      </c>
      <c r="J223" s="23" t="str">
        <f aca="false">IF(OR(G223="",G223=0),"",I223/G223)</f>
        <v/>
      </c>
      <c r="K223" s="24"/>
      <c r="L223" s="25"/>
      <c r="M223" s="1"/>
      <c r="N223" s="26" t="str">
        <f aca="false">IF(A223="","",SUMIFS(Vendas!$E$5:$E$304,Vendas!$B$5:$B$304,A223))</f>
        <v/>
      </c>
      <c r="O223" s="27" t="str">
        <f aca="false">IF(A223="","",K223-N223)</f>
        <v/>
      </c>
      <c r="P223" s="28" t="str">
        <f aca="false">IF(A223="","",SUMIFS(Vendas!$J$5:$J$304,Vendas!$B$5:$B$304,A223))</f>
        <v/>
      </c>
      <c r="Q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20"/>
      <c r="G224" s="21"/>
      <c r="H224" s="21"/>
      <c r="I224" s="22" t="str">
        <f aca="false">IF(G224="","",G224-H224)</f>
        <v/>
      </c>
      <c r="J224" s="23" t="str">
        <f aca="false">IF(OR(G224="",G224=0),"",I224/G224)</f>
        <v/>
      </c>
      <c r="K224" s="24"/>
      <c r="L224" s="25"/>
      <c r="M224" s="1"/>
      <c r="N224" s="26" t="str">
        <f aca="false">IF(A224="","",SUMIFS(Vendas!$E$5:$E$304,Vendas!$B$5:$B$304,A224))</f>
        <v/>
      </c>
      <c r="O224" s="27" t="str">
        <f aca="false">IF(A224="","",K224-N224)</f>
        <v/>
      </c>
      <c r="P224" s="28" t="str">
        <f aca="false">IF(A224="","",SUMIFS(Vendas!$J$5:$J$304,Vendas!$B$5:$B$304,A224))</f>
        <v/>
      </c>
      <c r="Q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20"/>
      <c r="G225" s="21"/>
      <c r="H225" s="21"/>
      <c r="I225" s="22" t="str">
        <f aca="false">IF(G225="","",G225-H225)</f>
        <v/>
      </c>
      <c r="J225" s="23" t="str">
        <f aca="false">IF(OR(G225="",G225=0),"",I225/G225)</f>
        <v/>
      </c>
      <c r="K225" s="24"/>
      <c r="L225" s="25"/>
      <c r="M225" s="1"/>
      <c r="N225" s="26" t="str">
        <f aca="false">IF(A225="","",SUMIFS(Vendas!$E$5:$E$304,Vendas!$B$5:$B$304,A225))</f>
        <v/>
      </c>
      <c r="O225" s="27" t="str">
        <f aca="false">IF(A225="","",K225-N225)</f>
        <v/>
      </c>
      <c r="P225" s="28" t="str">
        <f aca="false">IF(A225="","",SUMIFS(Vendas!$J$5:$J$304,Vendas!$B$5:$B$304,A225))</f>
        <v/>
      </c>
      <c r="Q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20"/>
      <c r="G226" s="21"/>
      <c r="H226" s="21"/>
      <c r="I226" s="22" t="str">
        <f aca="false">IF(G226="","",G226-H226)</f>
        <v/>
      </c>
      <c r="J226" s="23" t="str">
        <f aca="false">IF(OR(G226="",G226=0),"",I226/G226)</f>
        <v/>
      </c>
      <c r="K226" s="24"/>
      <c r="L226" s="25"/>
      <c r="M226" s="1"/>
      <c r="N226" s="26" t="str">
        <f aca="false">IF(A226="","",SUMIFS(Vendas!$E$5:$E$304,Vendas!$B$5:$B$304,A226))</f>
        <v/>
      </c>
      <c r="O226" s="27" t="str">
        <f aca="false">IF(A226="","",K226-N226)</f>
        <v/>
      </c>
      <c r="P226" s="28" t="str">
        <f aca="false">IF(A226="","",SUMIFS(Vendas!$J$5:$J$304,Vendas!$B$5:$B$304,A226))</f>
        <v/>
      </c>
      <c r="Q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20"/>
      <c r="G227" s="21"/>
      <c r="H227" s="21"/>
      <c r="I227" s="22" t="str">
        <f aca="false">IF(G227="","",G227-H227)</f>
        <v/>
      </c>
      <c r="J227" s="23" t="str">
        <f aca="false">IF(OR(G227="",G227=0),"",I227/G227)</f>
        <v/>
      </c>
      <c r="K227" s="24"/>
      <c r="L227" s="25"/>
      <c r="M227" s="1"/>
      <c r="N227" s="26" t="str">
        <f aca="false">IF(A227="","",SUMIFS(Vendas!$E$5:$E$304,Vendas!$B$5:$B$304,A227))</f>
        <v/>
      </c>
      <c r="O227" s="27" t="str">
        <f aca="false">IF(A227="","",K227-N227)</f>
        <v/>
      </c>
      <c r="P227" s="28" t="str">
        <f aca="false">IF(A227="","",SUMIFS(Vendas!$J$5:$J$304,Vendas!$B$5:$B$304,A227))</f>
        <v/>
      </c>
      <c r="Q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20"/>
      <c r="G228" s="21"/>
      <c r="H228" s="21"/>
      <c r="I228" s="22" t="str">
        <f aca="false">IF(G228="","",G228-H228)</f>
        <v/>
      </c>
      <c r="J228" s="23" t="str">
        <f aca="false">IF(OR(G228="",G228=0),"",I228/G228)</f>
        <v/>
      </c>
      <c r="K228" s="24"/>
      <c r="L228" s="25"/>
      <c r="M228" s="1"/>
      <c r="N228" s="26" t="str">
        <f aca="false">IF(A228="","",SUMIFS(Vendas!$E$5:$E$304,Vendas!$B$5:$B$304,A228))</f>
        <v/>
      </c>
      <c r="O228" s="27" t="str">
        <f aca="false">IF(A228="","",K228-N228)</f>
        <v/>
      </c>
      <c r="P228" s="28" t="str">
        <f aca="false">IF(A228="","",SUMIFS(Vendas!$J$5:$J$304,Vendas!$B$5:$B$304,A228))</f>
        <v/>
      </c>
      <c r="Q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20"/>
      <c r="G229" s="21"/>
      <c r="H229" s="21"/>
      <c r="I229" s="22" t="str">
        <f aca="false">IF(G229="","",G229-H229)</f>
        <v/>
      </c>
      <c r="J229" s="23" t="str">
        <f aca="false">IF(OR(G229="",G229=0),"",I229/G229)</f>
        <v/>
      </c>
      <c r="K229" s="24"/>
      <c r="L229" s="25"/>
      <c r="M229" s="1"/>
      <c r="N229" s="26" t="str">
        <f aca="false">IF(A229="","",SUMIFS(Vendas!$E$5:$E$304,Vendas!$B$5:$B$304,A229))</f>
        <v/>
      </c>
      <c r="O229" s="27" t="str">
        <f aca="false">IF(A229="","",K229-N229)</f>
        <v/>
      </c>
      <c r="P229" s="28" t="str">
        <f aca="false">IF(A229="","",SUMIFS(Vendas!$J$5:$J$304,Vendas!$B$5:$B$304,A229))</f>
        <v/>
      </c>
      <c r="Q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20"/>
      <c r="G230" s="21"/>
      <c r="H230" s="21"/>
      <c r="I230" s="22" t="str">
        <f aca="false">IF(G230="","",G230-H230)</f>
        <v/>
      </c>
      <c r="J230" s="23" t="str">
        <f aca="false">IF(OR(G230="",G230=0),"",I230/G230)</f>
        <v/>
      </c>
      <c r="K230" s="24"/>
      <c r="L230" s="25"/>
      <c r="M230" s="1"/>
      <c r="N230" s="26" t="str">
        <f aca="false">IF(A230="","",SUMIFS(Vendas!$E$5:$E$304,Vendas!$B$5:$B$304,A230))</f>
        <v/>
      </c>
      <c r="O230" s="27" t="str">
        <f aca="false">IF(A230="","",K230-N230)</f>
        <v/>
      </c>
      <c r="P230" s="28" t="str">
        <f aca="false">IF(A230="","",SUMIFS(Vendas!$J$5:$J$304,Vendas!$B$5:$B$304,A230))</f>
        <v/>
      </c>
      <c r="Q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20"/>
      <c r="G231" s="21"/>
      <c r="H231" s="21"/>
      <c r="I231" s="22" t="str">
        <f aca="false">IF(G231="","",G231-H231)</f>
        <v/>
      </c>
      <c r="J231" s="23" t="str">
        <f aca="false">IF(OR(G231="",G231=0),"",I231/G231)</f>
        <v/>
      </c>
      <c r="K231" s="24"/>
      <c r="L231" s="25"/>
      <c r="M231" s="1"/>
      <c r="N231" s="26" t="str">
        <f aca="false">IF(A231="","",SUMIFS(Vendas!$E$5:$E$304,Vendas!$B$5:$B$304,A231))</f>
        <v/>
      </c>
      <c r="O231" s="27" t="str">
        <f aca="false">IF(A231="","",K231-N231)</f>
        <v/>
      </c>
      <c r="P231" s="28" t="str">
        <f aca="false">IF(A231="","",SUMIFS(Vendas!$J$5:$J$304,Vendas!$B$5:$B$304,A231))</f>
        <v/>
      </c>
      <c r="Q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20"/>
      <c r="G232" s="21"/>
      <c r="H232" s="21"/>
      <c r="I232" s="22" t="str">
        <f aca="false">IF(G232="","",G232-H232)</f>
        <v/>
      </c>
      <c r="J232" s="23" t="str">
        <f aca="false">IF(OR(G232="",G232=0),"",I232/G232)</f>
        <v/>
      </c>
      <c r="K232" s="24"/>
      <c r="L232" s="25"/>
      <c r="M232" s="1"/>
      <c r="N232" s="26" t="str">
        <f aca="false">IF(A232="","",SUMIFS(Vendas!$E$5:$E$304,Vendas!$B$5:$B$304,A232))</f>
        <v/>
      </c>
      <c r="O232" s="27" t="str">
        <f aca="false">IF(A232="","",K232-N232)</f>
        <v/>
      </c>
      <c r="P232" s="28" t="str">
        <f aca="false">IF(A232="","",SUMIFS(Vendas!$J$5:$J$304,Vendas!$B$5:$B$304,A232))</f>
        <v/>
      </c>
      <c r="Q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20"/>
      <c r="G233" s="21"/>
      <c r="H233" s="21"/>
      <c r="I233" s="22" t="str">
        <f aca="false">IF(G233="","",G233-H233)</f>
        <v/>
      </c>
      <c r="J233" s="23" t="str">
        <f aca="false">IF(OR(G233="",G233=0),"",I233/G233)</f>
        <v/>
      </c>
      <c r="K233" s="24"/>
      <c r="L233" s="25"/>
      <c r="M233" s="1"/>
      <c r="N233" s="26" t="str">
        <f aca="false">IF(A233="","",SUMIFS(Vendas!$E$5:$E$304,Vendas!$B$5:$B$304,A233))</f>
        <v/>
      </c>
      <c r="O233" s="27" t="str">
        <f aca="false">IF(A233="","",K233-N233)</f>
        <v/>
      </c>
      <c r="P233" s="28" t="str">
        <f aca="false">IF(A233="","",SUMIFS(Vendas!$J$5:$J$304,Vendas!$B$5:$B$304,A233))</f>
        <v/>
      </c>
      <c r="Q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20"/>
      <c r="G234" s="21"/>
      <c r="H234" s="21"/>
      <c r="I234" s="22" t="str">
        <f aca="false">IF(G234="","",G234-H234)</f>
        <v/>
      </c>
      <c r="J234" s="23" t="str">
        <f aca="false">IF(OR(G234="",G234=0),"",I234/G234)</f>
        <v/>
      </c>
      <c r="K234" s="24"/>
      <c r="L234" s="25"/>
      <c r="M234" s="1"/>
      <c r="N234" s="26" t="str">
        <f aca="false">IF(A234="","",SUMIFS(Vendas!$E$5:$E$304,Vendas!$B$5:$B$304,A234))</f>
        <v/>
      </c>
      <c r="O234" s="27" t="str">
        <f aca="false">IF(A234="","",K234-N234)</f>
        <v/>
      </c>
      <c r="P234" s="28" t="str">
        <f aca="false">IF(A234="","",SUMIFS(Vendas!$J$5:$J$304,Vendas!$B$5:$B$304,A234))</f>
        <v/>
      </c>
      <c r="Q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20"/>
      <c r="G235" s="21"/>
      <c r="H235" s="21"/>
      <c r="I235" s="22" t="str">
        <f aca="false">IF(G235="","",G235-H235)</f>
        <v/>
      </c>
      <c r="J235" s="23" t="str">
        <f aca="false">IF(OR(G235="",G235=0),"",I235/G235)</f>
        <v/>
      </c>
      <c r="K235" s="24"/>
      <c r="L235" s="25"/>
      <c r="M235" s="1"/>
      <c r="N235" s="26" t="str">
        <f aca="false">IF(A235="","",SUMIFS(Vendas!$E$5:$E$304,Vendas!$B$5:$B$304,A235))</f>
        <v/>
      </c>
      <c r="O235" s="27" t="str">
        <f aca="false">IF(A235="","",K235-N235)</f>
        <v/>
      </c>
      <c r="P235" s="28" t="str">
        <f aca="false">IF(A235="","",SUMIFS(Vendas!$J$5:$J$304,Vendas!$B$5:$B$304,A235))</f>
        <v/>
      </c>
      <c r="Q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20"/>
      <c r="G236" s="21"/>
      <c r="H236" s="21"/>
      <c r="I236" s="22" t="str">
        <f aca="false">IF(G236="","",G236-H236)</f>
        <v/>
      </c>
      <c r="J236" s="23" t="str">
        <f aca="false">IF(OR(G236="",G236=0),"",I236/G236)</f>
        <v/>
      </c>
      <c r="K236" s="24"/>
      <c r="L236" s="25"/>
      <c r="M236" s="1"/>
      <c r="N236" s="26" t="str">
        <f aca="false">IF(A236="","",SUMIFS(Vendas!$E$5:$E$304,Vendas!$B$5:$B$304,A236))</f>
        <v/>
      </c>
      <c r="O236" s="27" t="str">
        <f aca="false">IF(A236="","",K236-N236)</f>
        <v/>
      </c>
      <c r="P236" s="28" t="str">
        <f aca="false">IF(A236="","",SUMIFS(Vendas!$J$5:$J$304,Vendas!$B$5:$B$304,A236))</f>
        <v/>
      </c>
      <c r="Q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20"/>
      <c r="G237" s="21"/>
      <c r="H237" s="21"/>
      <c r="I237" s="22" t="str">
        <f aca="false">IF(G237="","",G237-H237)</f>
        <v/>
      </c>
      <c r="J237" s="23" t="str">
        <f aca="false">IF(OR(G237="",G237=0),"",I237/G237)</f>
        <v/>
      </c>
      <c r="K237" s="24"/>
      <c r="L237" s="25"/>
      <c r="M237" s="1"/>
      <c r="N237" s="26" t="str">
        <f aca="false">IF(A237="","",SUMIFS(Vendas!$E$5:$E$304,Vendas!$B$5:$B$304,A237))</f>
        <v/>
      </c>
      <c r="O237" s="27" t="str">
        <f aca="false">IF(A237="","",K237-N237)</f>
        <v/>
      </c>
      <c r="P237" s="28" t="str">
        <f aca="false">IF(A237="","",SUMIFS(Vendas!$J$5:$J$304,Vendas!$B$5:$B$304,A237))</f>
        <v/>
      </c>
      <c r="Q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20"/>
      <c r="G238" s="21"/>
      <c r="H238" s="21"/>
      <c r="I238" s="22" t="str">
        <f aca="false">IF(G238="","",G238-H238)</f>
        <v/>
      </c>
      <c r="J238" s="23" t="str">
        <f aca="false">IF(OR(G238="",G238=0),"",I238/G238)</f>
        <v/>
      </c>
      <c r="K238" s="24"/>
      <c r="L238" s="25"/>
      <c r="M238" s="1"/>
      <c r="N238" s="26" t="str">
        <f aca="false">IF(A238="","",SUMIFS(Vendas!$E$5:$E$304,Vendas!$B$5:$B$304,A238))</f>
        <v/>
      </c>
      <c r="O238" s="27" t="str">
        <f aca="false">IF(A238="","",K238-N238)</f>
        <v/>
      </c>
      <c r="P238" s="28" t="str">
        <f aca="false">IF(A238="","",SUMIFS(Vendas!$J$5:$J$304,Vendas!$B$5:$B$304,A238))</f>
        <v/>
      </c>
      <c r="Q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20"/>
      <c r="G239" s="21"/>
      <c r="H239" s="21"/>
      <c r="I239" s="22" t="str">
        <f aca="false">IF(G239="","",G239-H239)</f>
        <v/>
      </c>
      <c r="J239" s="23" t="str">
        <f aca="false">IF(OR(G239="",G239=0),"",I239/G239)</f>
        <v/>
      </c>
      <c r="K239" s="24"/>
      <c r="L239" s="25"/>
      <c r="M239" s="1"/>
      <c r="N239" s="26" t="str">
        <f aca="false">IF(A239="","",SUMIFS(Vendas!$E$5:$E$304,Vendas!$B$5:$B$304,A239))</f>
        <v/>
      </c>
      <c r="O239" s="27" t="str">
        <f aca="false">IF(A239="","",K239-N239)</f>
        <v/>
      </c>
      <c r="P239" s="28" t="str">
        <f aca="false">IF(A239="","",SUMIFS(Vendas!$J$5:$J$304,Vendas!$B$5:$B$304,A239))</f>
        <v/>
      </c>
      <c r="Q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20"/>
      <c r="G240" s="21"/>
      <c r="H240" s="21"/>
      <c r="I240" s="22" t="str">
        <f aca="false">IF(G240="","",G240-H240)</f>
        <v/>
      </c>
      <c r="J240" s="23" t="str">
        <f aca="false">IF(OR(G240="",G240=0),"",I240/G240)</f>
        <v/>
      </c>
      <c r="K240" s="24"/>
      <c r="L240" s="25"/>
      <c r="M240" s="1"/>
      <c r="N240" s="26" t="str">
        <f aca="false">IF(A240="","",SUMIFS(Vendas!$E$5:$E$304,Vendas!$B$5:$B$304,A240))</f>
        <v/>
      </c>
      <c r="O240" s="27" t="str">
        <f aca="false">IF(A240="","",K240-N240)</f>
        <v/>
      </c>
      <c r="P240" s="28" t="str">
        <f aca="false">IF(A240="","",SUMIFS(Vendas!$J$5:$J$304,Vendas!$B$5:$B$304,A240))</f>
        <v/>
      </c>
      <c r="Q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20"/>
      <c r="G241" s="21"/>
      <c r="H241" s="21"/>
      <c r="I241" s="22" t="str">
        <f aca="false">IF(G241="","",G241-H241)</f>
        <v/>
      </c>
      <c r="J241" s="23" t="str">
        <f aca="false">IF(OR(G241="",G241=0),"",I241/G241)</f>
        <v/>
      </c>
      <c r="K241" s="24"/>
      <c r="L241" s="25"/>
      <c r="M241" s="1"/>
      <c r="N241" s="26" t="str">
        <f aca="false">IF(A241="","",SUMIFS(Vendas!$E$5:$E$304,Vendas!$B$5:$B$304,A241))</f>
        <v/>
      </c>
      <c r="O241" s="27" t="str">
        <f aca="false">IF(A241="","",K241-N241)</f>
        <v/>
      </c>
      <c r="P241" s="28" t="str">
        <f aca="false">IF(A241="","",SUMIFS(Vendas!$J$5:$J$304,Vendas!$B$5:$B$304,A241))</f>
        <v/>
      </c>
      <c r="Q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20"/>
      <c r="G242" s="21"/>
      <c r="H242" s="21"/>
      <c r="I242" s="22" t="str">
        <f aca="false">IF(G242="","",G242-H242)</f>
        <v/>
      </c>
      <c r="J242" s="23" t="str">
        <f aca="false">IF(OR(G242="",G242=0),"",I242/G242)</f>
        <v/>
      </c>
      <c r="K242" s="24"/>
      <c r="L242" s="25"/>
      <c r="M242" s="1"/>
      <c r="N242" s="26" t="str">
        <f aca="false">IF(A242="","",SUMIFS(Vendas!$E$5:$E$304,Vendas!$B$5:$B$304,A242))</f>
        <v/>
      </c>
      <c r="O242" s="27" t="str">
        <f aca="false">IF(A242="","",K242-N242)</f>
        <v/>
      </c>
      <c r="P242" s="28" t="str">
        <f aca="false">IF(A242="","",SUMIFS(Vendas!$J$5:$J$304,Vendas!$B$5:$B$304,A242))</f>
        <v/>
      </c>
      <c r="Q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20"/>
      <c r="G243" s="21"/>
      <c r="H243" s="21"/>
      <c r="I243" s="22" t="str">
        <f aca="false">IF(G243="","",G243-H243)</f>
        <v/>
      </c>
      <c r="J243" s="23" t="str">
        <f aca="false">IF(OR(G243="",G243=0),"",I243/G243)</f>
        <v/>
      </c>
      <c r="K243" s="24"/>
      <c r="L243" s="25"/>
      <c r="M243" s="1"/>
      <c r="N243" s="26" t="str">
        <f aca="false">IF(A243="","",SUMIFS(Vendas!$E$5:$E$304,Vendas!$B$5:$B$304,A243))</f>
        <v/>
      </c>
      <c r="O243" s="27" t="str">
        <f aca="false">IF(A243="","",K243-N243)</f>
        <v/>
      </c>
      <c r="P243" s="28" t="str">
        <f aca="false">IF(A243="","",SUMIFS(Vendas!$J$5:$J$304,Vendas!$B$5:$B$304,A243))</f>
        <v/>
      </c>
      <c r="Q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20"/>
      <c r="G244" s="21"/>
      <c r="H244" s="21"/>
      <c r="I244" s="22" t="str">
        <f aca="false">IF(G244="","",G244-H244)</f>
        <v/>
      </c>
      <c r="J244" s="23" t="str">
        <f aca="false">IF(OR(G244="",G244=0),"",I244/G244)</f>
        <v/>
      </c>
      <c r="K244" s="24"/>
      <c r="L244" s="25"/>
      <c r="M244" s="1"/>
      <c r="N244" s="26" t="str">
        <f aca="false">IF(A244="","",SUMIFS(Vendas!$E$5:$E$304,Vendas!$B$5:$B$304,A244))</f>
        <v/>
      </c>
      <c r="O244" s="27" t="str">
        <f aca="false">IF(A244="","",K244-N244)</f>
        <v/>
      </c>
      <c r="P244" s="28" t="str">
        <f aca="false">IF(A244="","",SUMIFS(Vendas!$J$5:$J$304,Vendas!$B$5:$B$304,A244))</f>
        <v/>
      </c>
      <c r="Q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20"/>
      <c r="G245" s="21"/>
      <c r="H245" s="21"/>
      <c r="I245" s="22" t="str">
        <f aca="false">IF(G245="","",G245-H245)</f>
        <v/>
      </c>
      <c r="J245" s="23" t="str">
        <f aca="false">IF(OR(G245="",G245=0),"",I245/G245)</f>
        <v/>
      </c>
      <c r="K245" s="24"/>
      <c r="L245" s="25"/>
      <c r="M245" s="1"/>
      <c r="N245" s="26" t="str">
        <f aca="false">IF(A245="","",SUMIFS(Vendas!$E$5:$E$304,Vendas!$B$5:$B$304,A245))</f>
        <v/>
      </c>
      <c r="O245" s="27" t="str">
        <f aca="false">IF(A245="","",K245-N245)</f>
        <v/>
      </c>
      <c r="P245" s="28" t="str">
        <f aca="false">IF(A245="","",SUMIFS(Vendas!$J$5:$J$304,Vendas!$B$5:$B$304,A245))</f>
        <v/>
      </c>
      <c r="Q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20"/>
      <c r="G246" s="21"/>
      <c r="H246" s="21"/>
      <c r="I246" s="22" t="str">
        <f aca="false">IF(G246="","",G246-H246)</f>
        <v/>
      </c>
      <c r="J246" s="23" t="str">
        <f aca="false">IF(OR(G246="",G246=0),"",I246/G246)</f>
        <v/>
      </c>
      <c r="K246" s="24"/>
      <c r="L246" s="25"/>
      <c r="M246" s="1"/>
      <c r="N246" s="26" t="str">
        <f aca="false">IF(A246="","",SUMIFS(Vendas!$E$5:$E$304,Vendas!$B$5:$B$304,A246))</f>
        <v/>
      </c>
      <c r="O246" s="27" t="str">
        <f aca="false">IF(A246="","",K246-N246)</f>
        <v/>
      </c>
      <c r="P246" s="28" t="str">
        <f aca="false">IF(A246="","",SUMIFS(Vendas!$J$5:$J$304,Vendas!$B$5:$B$304,A246))</f>
        <v/>
      </c>
      <c r="Q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20"/>
      <c r="G247" s="21"/>
      <c r="H247" s="21"/>
      <c r="I247" s="22" t="str">
        <f aca="false">IF(G247="","",G247-H247)</f>
        <v/>
      </c>
      <c r="J247" s="23" t="str">
        <f aca="false">IF(OR(G247="",G247=0),"",I247/G247)</f>
        <v/>
      </c>
      <c r="K247" s="24"/>
      <c r="L247" s="25"/>
      <c r="M247" s="1"/>
      <c r="N247" s="26" t="str">
        <f aca="false">IF(A247="","",SUMIFS(Vendas!$E$5:$E$304,Vendas!$B$5:$B$304,A247))</f>
        <v/>
      </c>
      <c r="O247" s="27" t="str">
        <f aca="false">IF(A247="","",K247-N247)</f>
        <v/>
      </c>
      <c r="P247" s="28" t="str">
        <f aca="false">IF(A247="","",SUMIFS(Vendas!$J$5:$J$304,Vendas!$B$5:$B$304,A247))</f>
        <v/>
      </c>
      <c r="Q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20"/>
      <c r="G248" s="21"/>
      <c r="H248" s="21"/>
      <c r="I248" s="22" t="str">
        <f aca="false">IF(G248="","",G248-H248)</f>
        <v/>
      </c>
      <c r="J248" s="23" t="str">
        <f aca="false">IF(OR(G248="",G248=0),"",I248/G248)</f>
        <v/>
      </c>
      <c r="K248" s="24"/>
      <c r="L248" s="25"/>
      <c r="M248" s="1"/>
      <c r="N248" s="26" t="str">
        <f aca="false">IF(A248="","",SUMIFS(Vendas!$E$5:$E$304,Vendas!$B$5:$B$304,A248))</f>
        <v/>
      </c>
      <c r="O248" s="27" t="str">
        <f aca="false">IF(A248="","",K248-N248)</f>
        <v/>
      </c>
      <c r="P248" s="28" t="str">
        <f aca="false">IF(A248="","",SUMIFS(Vendas!$J$5:$J$304,Vendas!$B$5:$B$304,A248))</f>
        <v/>
      </c>
      <c r="Q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20"/>
      <c r="G249" s="21"/>
      <c r="H249" s="21"/>
      <c r="I249" s="22" t="str">
        <f aca="false">IF(G249="","",G249-H249)</f>
        <v/>
      </c>
      <c r="J249" s="23" t="str">
        <f aca="false">IF(OR(G249="",G249=0),"",I249/G249)</f>
        <v/>
      </c>
      <c r="K249" s="24"/>
      <c r="L249" s="25"/>
      <c r="M249" s="1"/>
      <c r="N249" s="26" t="str">
        <f aca="false">IF(A249="","",SUMIFS(Vendas!$E$5:$E$304,Vendas!$B$5:$B$304,A249))</f>
        <v/>
      </c>
      <c r="O249" s="27" t="str">
        <f aca="false">IF(A249="","",K249-N249)</f>
        <v/>
      </c>
      <c r="P249" s="28" t="str">
        <f aca="false">IF(A249="","",SUMIFS(Vendas!$J$5:$J$304,Vendas!$B$5:$B$304,A249))</f>
        <v/>
      </c>
      <c r="Q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20"/>
      <c r="G250" s="21"/>
      <c r="H250" s="21"/>
      <c r="I250" s="22" t="str">
        <f aca="false">IF(G250="","",G250-H250)</f>
        <v/>
      </c>
      <c r="J250" s="23" t="str">
        <f aca="false">IF(OR(G250="",G250=0),"",I250/G250)</f>
        <v/>
      </c>
      <c r="K250" s="24"/>
      <c r="L250" s="25"/>
      <c r="M250" s="1"/>
      <c r="N250" s="26" t="str">
        <f aca="false">IF(A250="","",SUMIFS(Vendas!$E$5:$E$304,Vendas!$B$5:$B$304,A250))</f>
        <v/>
      </c>
      <c r="O250" s="27" t="str">
        <f aca="false">IF(A250="","",K250-N250)</f>
        <v/>
      </c>
      <c r="P250" s="28" t="str">
        <f aca="false">IF(A250="","",SUMIFS(Vendas!$J$5:$J$304,Vendas!$B$5:$B$304,A250))</f>
        <v/>
      </c>
      <c r="Q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20"/>
      <c r="G251" s="21"/>
      <c r="H251" s="21"/>
      <c r="I251" s="22" t="str">
        <f aca="false">IF(G251="","",G251-H251)</f>
        <v/>
      </c>
      <c r="J251" s="23" t="str">
        <f aca="false">IF(OR(G251="",G251=0),"",I251/G251)</f>
        <v/>
      </c>
      <c r="K251" s="24"/>
      <c r="L251" s="25"/>
      <c r="M251" s="1"/>
      <c r="N251" s="26" t="str">
        <f aca="false">IF(A251="","",SUMIFS(Vendas!$E$5:$E$304,Vendas!$B$5:$B$304,A251))</f>
        <v/>
      </c>
      <c r="O251" s="27" t="str">
        <f aca="false">IF(A251="","",K251-N251)</f>
        <v/>
      </c>
      <c r="P251" s="28" t="str">
        <f aca="false">IF(A251="","",SUMIFS(Vendas!$J$5:$J$304,Vendas!$B$5:$B$304,A251))</f>
        <v/>
      </c>
      <c r="Q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20"/>
      <c r="G252" s="21"/>
      <c r="H252" s="21"/>
      <c r="I252" s="22" t="str">
        <f aca="false">IF(G252="","",G252-H252)</f>
        <v/>
      </c>
      <c r="J252" s="23" t="str">
        <f aca="false">IF(OR(G252="",G252=0),"",I252/G252)</f>
        <v/>
      </c>
      <c r="K252" s="24"/>
      <c r="L252" s="25"/>
      <c r="M252" s="1"/>
      <c r="N252" s="26" t="str">
        <f aca="false">IF(A252="","",SUMIFS(Vendas!$E$5:$E$304,Vendas!$B$5:$B$304,A252))</f>
        <v/>
      </c>
      <c r="O252" s="27" t="str">
        <f aca="false">IF(A252="","",K252-N252)</f>
        <v/>
      </c>
      <c r="P252" s="28" t="str">
        <f aca="false">IF(A252="","",SUMIFS(Vendas!$J$5:$J$304,Vendas!$B$5:$B$304,A252))</f>
        <v/>
      </c>
      <c r="Q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20"/>
      <c r="G253" s="21"/>
      <c r="H253" s="21"/>
      <c r="I253" s="22" t="str">
        <f aca="false">IF(G253="","",G253-H253)</f>
        <v/>
      </c>
      <c r="J253" s="23" t="str">
        <f aca="false">IF(OR(G253="",G253=0),"",I253/G253)</f>
        <v/>
      </c>
      <c r="K253" s="24"/>
      <c r="L253" s="25"/>
      <c r="M253" s="1"/>
      <c r="N253" s="26" t="str">
        <f aca="false">IF(A253="","",SUMIFS(Vendas!$E$5:$E$304,Vendas!$B$5:$B$304,A253))</f>
        <v/>
      </c>
      <c r="O253" s="27" t="str">
        <f aca="false">IF(A253="","",K253-N253)</f>
        <v/>
      </c>
      <c r="P253" s="28" t="str">
        <f aca="false">IF(A253="","",SUMIFS(Vendas!$J$5:$J$304,Vendas!$B$5:$B$304,A253))</f>
        <v/>
      </c>
      <c r="Q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20"/>
      <c r="G254" s="21"/>
      <c r="H254" s="21"/>
      <c r="I254" s="22" t="str">
        <f aca="false">IF(G254="","",G254-H254)</f>
        <v/>
      </c>
      <c r="J254" s="23" t="str">
        <f aca="false">IF(OR(G254="",G254=0),"",I254/G254)</f>
        <v/>
      </c>
      <c r="K254" s="24"/>
      <c r="L254" s="25"/>
      <c r="M254" s="1"/>
      <c r="N254" s="26" t="str">
        <f aca="false">IF(A254="","",SUMIFS(Vendas!$E$5:$E$304,Vendas!$B$5:$B$304,A254))</f>
        <v/>
      </c>
      <c r="O254" s="27" t="str">
        <f aca="false">IF(A254="","",K254-N254)</f>
        <v/>
      </c>
      <c r="P254" s="28" t="str">
        <f aca="false">IF(A254="","",SUMIFS(Vendas!$J$5:$J$304,Vendas!$B$5:$B$304,A254))</f>
        <v/>
      </c>
      <c r="Q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20"/>
      <c r="G255" s="21"/>
      <c r="H255" s="21"/>
      <c r="I255" s="22" t="str">
        <f aca="false">IF(G255="","",G255-H255)</f>
        <v/>
      </c>
      <c r="J255" s="23" t="str">
        <f aca="false">IF(OR(G255="",G255=0),"",I255/G255)</f>
        <v/>
      </c>
      <c r="K255" s="24"/>
      <c r="L255" s="25"/>
      <c r="M255" s="1"/>
      <c r="N255" s="26" t="str">
        <f aca="false">IF(A255="","",SUMIFS(Vendas!$E$5:$E$304,Vendas!$B$5:$B$304,A255))</f>
        <v/>
      </c>
      <c r="O255" s="27" t="str">
        <f aca="false">IF(A255="","",K255-N255)</f>
        <v/>
      </c>
      <c r="P255" s="28" t="str">
        <f aca="false">IF(A255="","",SUMIFS(Vendas!$J$5:$J$304,Vendas!$B$5:$B$304,A255))</f>
        <v/>
      </c>
      <c r="Q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20"/>
      <c r="G256" s="21"/>
      <c r="H256" s="21"/>
      <c r="I256" s="22" t="str">
        <f aca="false">IF(G256="","",G256-H256)</f>
        <v/>
      </c>
      <c r="J256" s="23" t="str">
        <f aca="false">IF(OR(G256="",G256=0),"",I256/G256)</f>
        <v/>
      </c>
      <c r="K256" s="24"/>
      <c r="L256" s="25"/>
      <c r="M256" s="1"/>
      <c r="N256" s="26" t="str">
        <f aca="false">IF(A256="","",SUMIFS(Vendas!$E$5:$E$304,Vendas!$B$5:$B$304,A256))</f>
        <v/>
      </c>
      <c r="O256" s="27" t="str">
        <f aca="false">IF(A256="","",K256-N256)</f>
        <v/>
      </c>
      <c r="P256" s="28" t="str">
        <f aca="false">IF(A256="","",SUMIFS(Vendas!$J$5:$J$304,Vendas!$B$5:$B$304,A256))</f>
        <v/>
      </c>
      <c r="Q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20"/>
      <c r="G257" s="21"/>
      <c r="H257" s="21"/>
      <c r="I257" s="22" t="str">
        <f aca="false">IF(G257="","",G257-H257)</f>
        <v/>
      </c>
      <c r="J257" s="23" t="str">
        <f aca="false">IF(OR(G257="",G257=0),"",I257/G257)</f>
        <v/>
      </c>
      <c r="K257" s="24"/>
      <c r="L257" s="25"/>
      <c r="M257" s="1"/>
      <c r="N257" s="26" t="str">
        <f aca="false">IF(A257="","",SUMIFS(Vendas!$E$5:$E$304,Vendas!$B$5:$B$304,A257))</f>
        <v/>
      </c>
      <c r="O257" s="27" t="str">
        <f aca="false">IF(A257="","",K257-N257)</f>
        <v/>
      </c>
      <c r="P257" s="28" t="str">
        <f aca="false">IF(A257="","",SUMIFS(Vendas!$J$5:$J$304,Vendas!$B$5:$B$304,A257))</f>
        <v/>
      </c>
      <c r="Q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20"/>
      <c r="G258" s="21"/>
      <c r="H258" s="21"/>
      <c r="I258" s="22" t="str">
        <f aca="false">IF(G258="","",G258-H258)</f>
        <v/>
      </c>
      <c r="J258" s="23" t="str">
        <f aca="false">IF(OR(G258="",G258=0),"",I258/G258)</f>
        <v/>
      </c>
      <c r="K258" s="24"/>
      <c r="L258" s="25"/>
      <c r="M258" s="1"/>
      <c r="N258" s="26" t="str">
        <f aca="false">IF(A258="","",SUMIFS(Vendas!$E$5:$E$304,Vendas!$B$5:$B$304,A258))</f>
        <v/>
      </c>
      <c r="O258" s="27" t="str">
        <f aca="false">IF(A258="","",K258-N258)</f>
        <v/>
      </c>
      <c r="P258" s="28" t="str">
        <f aca="false">IF(A258="","",SUMIFS(Vendas!$J$5:$J$304,Vendas!$B$5:$B$304,A258))</f>
        <v/>
      </c>
      <c r="Q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20"/>
      <c r="G259" s="21"/>
      <c r="H259" s="21"/>
      <c r="I259" s="22" t="str">
        <f aca="false">IF(G259="","",G259-H259)</f>
        <v/>
      </c>
      <c r="J259" s="23" t="str">
        <f aca="false">IF(OR(G259="",G259=0),"",I259/G259)</f>
        <v/>
      </c>
      <c r="K259" s="24"/>
      <c r="L259" s="25"/>
      <c r="M259" s="1"/>
      <c r="N259" s="26" t="str">
        <f aca="false">IF(A259="","",SUMIFS(Vendas!$E$5:$E$304,Vendas!$B$5:$B$304,A259))</f>
        <v/>
      </c>
      <c r="O259" s="27" t="str">
        <f aca="false">IF(A259="","",K259-N259)</f>
        <v/>
      </c>
      <c r="P259" s="28" t="str">
        <f aca="false">IF(A259="","",SUMIFS(Vendas!$J$5:$J$304,Vendas!$B$5:$B$304,A259))</f>
        <v/>
      </c>
      <c r="Q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20"/>
      <c r="G260" s="21"/>
      <c r="H260" s="21"/>
      <c r="I260" s="22" t="str">
        <f aca="false">IF(G260="","",G260-H260)</f>
        <v/>
      </c>
      <c r="J260" s="23" t="str">
        <f aca="false">IF(OR(G260="",G260=0),"",I260/G260)</f>
        <v/>
      </c>
      <c r="K260" s="24"/>
      <c r="L260" s="25"/>
      <c r="M260" s="1"/>
      <c r="N260" s="26" t="str">
        <f aca="false">IF(A260="","",SUMIFS(Vendas!$E$5:$E$304,Vendas!$B$5:$B$304,A260))</f>
        <v/>
      </c>
      <c r="O260" s="27" t="str">
        <f aca="false">IF(A260="","",K260-N260)</f>
        <v/>
      </c>
      <c r="P260" s="28" t="str">
        <f aca="false">IF(A260="","",SUMIFS(Vendas!$J$5:$J$304,Vendas!$B$5:$B$304,A260))</f>
        <v/>
      </c>
      <c r="Q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20"/>
      <c r="G261" s="21"/>
      <c r="H261" s="21"/>
      <c r="I261" s="22" t="str">
        <f aca="false">IF(G261="","",G261-H261)</f>
        <v/>
      </c>
      <c r="J261" s="23" t="str">
        <f aca="false">IF(OR(G261="",G261=0),"",I261/G261)</f>
        <v/>
      </c>
      <c r="K261" s="24"/>
      <c r="L261" s="25"/>
      <c r="M261" s="1"/>
      <c r="N261" s="26" t="str">
        <f aca="false">IF(A261="","",SUMIFS(Vendas!$E$5:$E$304,Vendas!$B$5:$B$304,A261))</f>
        <v/>
      </c>
      <c r="O261" s="27" t="str">
        <f aca="false">IF(A261="","",K261-N261)</f>
        <v/>
      </c>
      <c r="P261" s="28" t="str">
        <f aca="false">IF(A261="","",SUMIFS(Vendas!$J$5:$J$304,Vendas!$B$5:$B$304,A261))</f>
        <v/>
      </c>
      <c r="Q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20"/>
      <c r="G262" s="21"/>
      <c r="H262" s="21"/>
      <c r="I262" s="22" t="str">
        <f aca="false">IF(G262="","",G262-H262)</f>
        <v/>
      </c>
      <c r="J262" s="23" t="str">
        <f aca="false">IF(OR(G262="",G262=0),"",I262/G262)</f>
        <v/>
      </c>
      <c r="K262" s="24"/>
      <c r="L262" s="25"/>
      <c r="M262" s="1"/>
      <c r="N262" s="26" t="str">
        <f aca="false">IF(A262="","",SUMIFS(Vendas!$E$5:$E$304,Vendas!$B$5:$B$304,A262))</f>
        <v/>
      </c>
      <c r="O262" s="27" t="str">
        <f aca="false">IF(A262="","",K262-N262)</f>
        <v/>
      </c>
      <c r="P262" s="28" t="str">
        <f aca="false">IF(A262="","",SUMIFS(Vendas!$J$5:$J$304,Vendas!$B$5:$B$304,A262))</f>
        <v/>
      </c>
      <c r="Q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20"/>
      <c r="G263" s="21"/>
      <c r="H263" s="21"/>
      <c r="I263" s="22" t="str">
        <f aca="false">IF(G263="","",G263-H263)</f>
        <v/>
      </c>
      <c r="J263" s="23" t="str">
        <f aca="false">IF(OR(G263="",G263=0),"",I263/G263)</f>
        <v/>
      </c>
      <c r="K263" s="24"/>
      <c r="L263" s="25"/>
      <c r="M263" s="1"/>
      <c r="N263" s="26" t="str">
        <f aca="false">IF(A263="","",SUMIFS(Vendas!$E$5:$E$304,Vendas!$B$5:$B$304,A263))</f>
        <v/>
      </c>
      <c r="O263" s="27" t="str">
        <f aca="false">IF(A263="","",K263-N263)</f>
        <v/>
      </c>
      <c r="P263" s="28" t="str">
        <f aca="false">IF(A263="","",SUMIFS(Vendas!$J$5:$J$304,Vendas!$B$5:$B$304,A263))</f>
        <v/>
      </c>
      <c r="Q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20"/>
      <c r="G264" s="21"/>
      <c r="H264" s="21"/>
      <c r="I264" s="22" t="str">
        <f aca="false">IF(G264="","",G264-H264)</f>
        <v/>
      </c>
      <c r="J264" s="23" t="str">
        <f aca="false">IF(OR(G264="",G264=0),"",I264/G264)</f>
        <v/>
      </c>
      <c r="K264" s="24"/>
      <c r="L264" s="25"/>
      <c r="M264" s="1"/>
      <c r="N264" s="26" t="str">
        <f aca="false">IF(A264="","",SUMIFS(Vendas!$E$5:$E$304,Vendas!$B$5:$B$304,A264))</f>
        <v/>
      </c>
      <c r="O264" s="27" t="str">
        <f aca="false">IF(A264="","",K264-N264)</f>
        <v/>
      </c>
      <c r="P264" s="28" t="str">
        <f aca="false">IF(A264="","",SUMIFS(Vendas!$J$5:$J$304,Vendas!$B$5:$B$304,A264))</f>
        <v/>
      </c>
      <c r="Q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20"/>
      <c r="G265" s="21"/>
      <c r="H265" s="21"/>
      <c r="I265" s="22" t="str">
        <f aca="false">IF(G265="","",G265-H265)</f>
        <v/>
      </c>
      <c r="J265" s="23" t="str">
        <f aca="false">IF(OR(G265="",G265=0),"",I265/G265)</f>
        <v/>
      </c>
      <c r="K265" s="24"/>
      <c r="L265" s="25"/>
      <c r="M265" s="1"/>
      <c r="N265" s="26" t="str">
        <f aca="false">IF(A265="","",SUMIFS(Vendas!$E$5:$E$304,Vendas!$B$5:$B$304,A265))</f>
        <v/>
      </c>
      <c r="O265" s="27" t="str">
        <f aca="false">IF(A265="","",K265-N265)</f>
        <v/>
      </c>
      <c r="P265" s="28" t="str">
        <f aca="false">IF(A265="","",SUMIFS(Vendas!$J$5:$J$304,Vendas!$B$5:$B$304,A265))</f>
        <v/>
      </c>
      <c r="Q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20"/>
      <c r="G266" s="21"/>
      <c r="H266" s="21"/>
      <c r="I266" s="22" t="str">
        <f aca="false">IF(G266="","",G266-H266)</f>
        <v/>
      </c>
      <c r="J266" s="23" t="str">
        <f aca="false">IF(OR(G266="",G266=0),"",I266/G266)</f>
        <v/>
      </c>
      <c r="K266" s="24"/>
      <c r="L266" s="25"/>
      <c r="M266" s="1"/>
      <c r="N266" s="26" t="str">
        <f aca="false">IF(A266="","",SUMIFS(Vendas!$E$5:$E$304,Vendas!$B$5:$B$304,A266))</f>
        <v/>
      </c>
      <c r="O266" s="27" t="str">
        <f aca="false">IF(A266="","",K266-N266)</f>
        <v/>
      </c>
      <c r="P266" s="28" t="str">
        <f aca="false">IF(A266="","",SUMIFS(Vendas!$J$5:$J$304,Vendas!$B$5:$B$304,A266))</f>
        <v/>
      </c>
      <c r="Q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20"/>
      <c r="G267" s="21"/>
      <c r="H267" s="21"/>
      <c r="I267" s="22" t="str">
        <f aca="false">IF(G267="","",G267-H267)</f>
        <v/>
      </c>
      <c r="J267" s="23" t="str">
        <f aca="false">IF(OR(G267="",G267=0),"",I267/G267)</f>
        <v/>
      </c>
      <c r="K267" s="24"/>
      <c r="L267" s="25"/>
      <c r="M267" s="1"/>
      <c r="N267" s="26" t="str">
        <f aca="false">IF(A267="","",SUMIFS(Vendas!$E$5:$E$304,Vendas!$B$5:$B$304,A267))</f>
        <v/>
      </c>
      <c r="O267" s="27" t="str">
        <f aca="false">IF(A267="","",K267-N267)</f>
        <v/>
      </c>
      <c r="P267" s="28" t="str">
        <f aca="false">IF(A267="","",SUMIFS(Vendas!$J$5:$J$304,Vendas!$B$5:$B$304,A267))</f>
        <v/>
      </c>
      <c r="Q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20"/>
      <c r="G268" s="21"/>
      <c r="H268" s="21"/>
      <c r="I268" s="22" t="str">
        <f aca="false">IF(G268="","",G268-H268)</f>
        <v/>
      </c>
      <c r="J268" s="23" t="str">
        <f aca="false">IF(OR(G268="",G268=0),"",I268/G268)</f>
        <v/>
      </c>
      <c r="K268" s="24"/>
      <c r="L268" s="25"/>
      <c r="M268" s="1"/>
      <c r="N268" s="26" t="str">
        <f aca="false">IF(A268="","",SUMIFS(Vendas!$E$5:$E$304,Vendas!$B$5:$B$304,A268))</f>
        <v/>
      </c>
      <c r="O268" s="27" t="str">
        <f aca="false">IF(A268="","",K268-N268)</f>
        <v/>
      </c>
      <c r="P268" s="28" t="str">
        <f aca="false">IF(A268="","",SUMIFS(Vendas!$J$5:$J$304,Vendas!$B$5:$B$304,A268))</f>
        <v/>
      </c>
      <c r="Q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20"/>
      <c r="G269" s="21"/>
      <c r="H269" s="21"/>
      <c r="I269" s="22" t="str">
        <f aca="false">IF(G269="","",G269-H269)</f>
        <v/>
      </c>
      <c r="J269" s="23" t="str">
        <f aca="false">IF(OR(G269="",G269=0),"",I269/G269)</f>
        <v/>
      </c>
      <c r="K269" s="24"/>
      <c r="L269" s="25"/>
      <c r="M269" s="1"/>
      <c r="N269" s="26" t="str">
        <f aca="false">IF(A269="","",SUMIFS(Vendas!$E$5:$E$304,Vendas!$B$5:$B$304,A269))</f>
        <v/>
      </c>
      <c r="O269" s="27" t="str">
        <f aca="false">IF(A269="","",K269-N269)</f>
        <v/>
      </c>
      <c r="P269" s="28" t="str">
        <f aca="false">IF(A269="","",SUMIFS(Vendas!$J$5:$J$304,Vendas!$B$5:$B$304,A269))</f>
        <v/>
      </c>
      <c r="Q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20"/>
      <c r="G270" s="21"/>
      <c r="H270" s="21"/>
      <c r="I270" s="22" t="str">
        <f aca="false">IF(G270="","",G270-H270)</f>
        <v/>
      </c>
      <c r="J270" s="23" t="str">
        <f aca="false">IF(OR(G270="",G270=0),"",I270/G270)</f>
        <v/>
      </c>
      <c r="K270" s="24"/>
      <c r="L270" s="25"/>
      <c r="M270" s="1"/>
      <c r="N270" s="26" t="str">
        <f aca="false">IF(A270="","",SUMIFS(Vendas!$E$5:$E$304,Vendas!$B$5:$B$304,A270))</f>
        <v/>
      </c>
      <c r="O270" s="27" t="str">
        <f aca="false">IF(A270="","",K270-N270)</f>
        <v/>
      </c>
      <c r="P270" s="28" t="str">
        <f aca="false">IF(A270="","",SUMIFS(Vendas!$J$5:$J$304,Vendas!$B$5:$B$304,A270))</f>
        <v/>
      </c>
      <c r="Q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20"/>
      <c r="G271" s="21"/>
      <c r="H271" s="21"/>
      <c r="I271" s="22" t="str">
        <f aca="false">IF(G271="","",G271-H271)</f>
        <v/>
      </c>
      <c r="J271" s="23" t="str">
        <f aca="false">IF(OR(G271="",G271=0),"",I271/G271)</f>
        <v/>
      </c>
      <c r="K271" s="24"/>
      <c r="L271" s="25"/>
      <c r="M271" s="1"/>
      <c r="N271" s="26" t="str">
        <f aca="false">IF(A271="","",SUMIFS(Vendas!$E$5:$E$304,Vendas!$B$5:$B$304,A271))</f>
        <v/>
      </c>
      <c r="O271" s="27" t="str">
        <f aca="false">IF(A271="","",K271-N271)</f>
        <v/>
      </c>
      <c r="P271" s="28" t="str">
        <f aca="false">IF(A271="","",SUMIFS(Vendas!$J$5:$J$304,Vendas!$B$5:$B$304,A271))</f>
        <v/>
      </c>
      <c r="Q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20"/>
      <c r="G272" s="21"/>
      <c r="H272" s="21"/>
      <c r="I272" s="22" t="str">
        <f aca="false">IF(G272="","",G272-H272)</f>
        <v/>
      </c>
      <c r="J272" s="23" t="str">
        <f aca="false">IF(OR(G272="",G272=0),"",I272/G272)</f>
        <v/>
      </c>
      <c r="K272" s="24"/>
      <c r="L272" s="25"/>
      <c r="M272" s="1"/>
      <c r="N272" s="26" t="str">
        <f aca="false">IF(A272="","",SUMIFS(Vendas!$E$5:$E$304,Vendas!$B$5:$B$304,A272))</f>
        <v/>
      </c>
      <c r="O272" s="27" t="str">
        <f aca="false">IF(A272="","",K272-N272)</f>
        <v/>
      </c>
      <c r="P272" s="28" t="str">
        <f aca="false">IF(A272="","",SUMIFS(Vendas!$J$5:$J$304,Vendas!$B$5:$B$304,A272))</f>
        <v/>
      </c>
      <c r="Q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20"/>
      <c r="G273" s="21"/>
      <c r="H273" s="21"/>
      <c r="I273" s="22" t="str">
        <f aca="false">IF(G273="","",G273-H273)</f>
        <v/>
      </c>
      <c r="J273" s="23" t="str">
        <f aca="false">IF(OR(G273="",G273=0),"",I273/G273)</f>
        <v/>
      </c>
      <c r="K273" s="24"/>
      <c r="L273" s="25"/>
      <c r="M273" s="1"/>
      <c r="N273" s="26" t="str">
        <f aca="false">IF(A273="","",SUMIFS(Vendas!$E$5:$E$304,Vendas!$B$5:$B$304,A273))</f>
        <v/>
      </c>
      <c r="O273" s="27" t="str">
        <f aca="false">IF(A273="","",K273-N273)</f>
        <v/>
      </c>
      <c r="P273" s="28" t="str">
        <f aca="false">IF(A273="","",SUMIFS(Vendas!$J$5:$J$304,Vendas!$B$5:$B$304,A273))</f>
        <v/>
      </c>
      <c r="Q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20"/>
      <c r="G274" s="21"/>
      <c r="H274" s="21"/>
      <c r="I274" s="22" t="str">
        <f aca="false">IF(G274="","",G274-H274)</f>
        <v/>
      </c>
      <c r="J274" s="23" t="str">
        <f aca="false">IF(OR(G274="",G274=0),"",I274/G274)</f>
        <v/>
      </c>
      <c r="K274" s="24"/>
      <c r="L274" s="25"/>
      <c r="M274" s="1"/>
      <c r="N274" s="26" t="str">
        <f aca="false">IF(A274="","",SUMIFS(Vendas!$E$5:$E$304,Vendas!$B$5:$B$304,A274))</f>
        <v/>
      </c>
      <c r="O274" s="27" t="str">
        <f aca="false">IF(A274="","",K274-N274)</f>
        <v/>
      </c>
      <c r="P274" s="28" t="str">
        <f aca="false">IF(A274="","",SUMIFS(Vendas!$J$5:$J$304,Vendas!$B$5:$B$304,A274))</f>
        <v/>
      </c>
      <c r="Q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20"/>
      <c r="G275" s="21"/>
      <c r="H275" s="21"/>
      <c r="I275" s="22" t="str">
        <f aca="false">IF(G275="","",G275-H275)</f>
        <v/>
      </c>
      <c r="J275" s="23" t="str">
        <f aca="false">IF(OR(G275="",G275=0),"",I275/G275)</f>
        <v/>
      </c>
      <c r="K275" s="24"/>
      <c r="L275" s="25"/>
      <c r="M275" s="1"/>
      <c r="N275" s="26" t="str">
        <f aca="false">IF(A275="","",SUMIFS(Vendas!$E$5:$E$304,Vendas!$B$5:$B$304,A275))</f>
        <v/>
      </c>
      <c r="O275" s="27" t="str">
        <f aca="false">IF(A275="","",K275-N275)</f>
        <v/>
      </c>
      <c r="P275" s="28" t="str">
        <f aca="false">IF(A275="","",SUMIFS(Vendas!$J$5:$J$304,Vendas!$B$5:$B$304,A275))</f>
        <v/>
      </c>
      <c r="Q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20"/>
      <c r="G276" s="21"/>
      <c r="H276" s="21"/>
      <c r="I276" s="22" t="str">
        <f aca="false">IF(G276="","",G276-H276)</f>
        <v/>
      </c>
      <c r="J276" s="23" t="str">
        <f aca="false">IF(OR(G276="",G276=0),"",I276/G276)</f>
        <v/>
      </c>
      <c r="K276" s="24"/>
      <c r="L276" s="25"/>
      <c r="M276" s="1"/>
      <c r="N276" s="26" t="str">
        <f aca="false">IF(A276="","",SUMIFS(Vendas!$E$5:$E$304,Vendas!$B$5:$B$304,A276))</f>
        <v/>
      </c>
      <c r="O276" s="27" t="str">
        <f aca="false">IF(A276="","",K276-N276)</f>
        <v/>
      </c>
      <c r="P276" s="28" t="str">
        <f aca="false">IF(A276="","",SUMIFS(Vendas!$J$5:$J$304,Vendas!$B$5:$B$304,A276))</f>
        <v/>
      </c>
      <c r="Q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20"/>
      <c r="G277" s="21"/>
      <c r="H277" s="21"/>
      <c r="I277" s="22" t="str">
        <f aca="false">IF(G277="","",G277-H277)</f>
        <v/>
      </c>
      <c r="J277" s="23" t="str">
        <f aca="false">IF(OR(G277="",G277=0),"",I277/G277)</f>
        <v/>
      </c>
      <c r="K277" s="24"/>
      <c r="L277" s="25"/>
      <c r="M277" s="1"/>
      <c r="N277" s="26" t="str">
        <f aca="false">IF(A277="","",SUMIFS(Vendas!$E$5:$E$304,Vendas!$B$5:$B$304,A277))</f>
        <v/>
      </c>
      <c r="O277" s="27" t="str">
        <f aca="false">IF(A277="","",K277-N277)</f>
        <v/>
      </c>
      <c r="P277" s="28" t="str">
        <f aca="false">IF(A277="","",SUMIFS(Vendas!$J$5:$J$304,Vendas!$B$5:$B$304,A277))</f>
        <v/>
      </c>
      <c r="Q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20"/>
      <c r="G278" s="21"/>
      <c r="H278" s="21"/>
      <c r="I278" s="22" t="str">
        <f aca="false">IF(G278="","",G278-H278)</f>
        <v/>
      </c>
      <c r="J278" s="23" t="str">
        <f aca="false">IF(OR(G278="",G278=0),"",I278/G278)</f>
        <v/>
      </c>
      <c r="K278" s="24"/>
      <c r="L278" s="25"/>
      <c r="M278" s="1"/>
      <c r="N278" s="26" t="str">
        <f aca="false">IF(A278="","",SUMIFS(Vendas!$E$5:$E$304,Vendas!$B$5:$B$304,A278))</f>
        <v/>
      </c>
      <c r="O278" s="27" t="str">
        <f aca="false">IF(A278="","",K278-N278)</f>
        <v/>
      </c>
      <c r="P278" s="28" t="str">
        <f aca="false">IF(A278="","",SUMIFS(Vendas!$J$5:$J$304,Vendas!$B$5:$B$304,A278))</f>
        <v/>
      </c>
      <c r="Q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20"/>
      <c r="G279" s="21"/>
      <c r="H279" s="21"/>
      <c r="I279" s="22" t="str">
        <f aca="false">IF(G279="","",G279-H279)</f>
        <v/>
      </c>
      <c r="J279" s="23" t="str">
        <f aca="false">IF(OR(G279="",G279=0),"",I279/G279)</f>
        <v/>
      </c>
      <c r="K279" s="24"/>
      <c r="L279" s="25"/>
      <c r="M279" s="1"/>
      <c r="N279" s="26" t="str">
        <f aca="false">IF(A279="","",SUMIFS(Vendas!$E$5:$E$304,Vendas!$B$5:$B$304,A279))</f>
        <v/>
      </c>
      <c r="O279" s="27" t="str">
        <f aca="false">IF(A279="","",K279-N279)</f>
        <v/>
      </c>
      <c r="P279" s="28" t="str">
        <f aca="false">IF(A279="","",SUMIFS(Vendas!$J$5:$J$304,Vendas!$B$5:$B$304,A279))</f>
        <v/>
      </c>
      <c r="Q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20"/>
      <c r="G280" s="21"/>
      <c r="H280" s="21"/>
      <c r="I280" s="22" t="str">
        <f aca="false">IF(G280="","",G280-H280)</f>
        <v/>
      </c>
      <c r="J280" s="23" t="str">
        <f aca="false">IF(OR(G280="",G280=0),"",I280/G280)</f>
        <v/>
      </c>
      <c r="K280" s="24"/>
      <c r="L280" s="25"/>
      <c r="M280" s="1"/>
      <c r="N280" s="26" t="str">
        <f aca="false">IF(A280="","",SUMIFS(Vendas!$E$5:$E$304,Vendas!$B$5:$B$304,A280))</f>
        <v/>
      </c>
      <c r="O280" s="27" t="str">
        <f aca="false">IF(A280="","",K280-N280)</f>
        <v/>
      </c>
      <c r="P280" s="28" t="str">
        <f aca="false">IF(A280="","",SUMIFS(Vendas!$J$5:$J$304,Vendas!$B$5:$B$304,A280))</f>
        <v/>
      </c>
      <c r="Q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20"/>
      <c r="G281" s="21"/>
      <c r="H281" s="21"/>
      <c r="I281" s="22" t="str">
        <f aca="false">IF(G281="","",G281-H281)</f>
        <v/>
      </c>
      <c r="J281" s="23" t="str">
        <f aca="false">IF(OR(G281="",G281=0),"",I281/G281)</f>
        <v/>
      </c>
      <c r="K281" s="24"/>
      <c r="L281" s="25"/>
      <c r="M281" s="1"/>
      <c r="N281" s="26" t="str">
        <f aca="false">IF(A281="","",SUMIFS(Vendas!$E$5:$E$304,Vendas!$B$5:$B$304,A281))</f>
        <v/>
      </c>
      <c r="O281" s="27" t="str">
        <f aca="false">IF(A281="","",K281-N281)</f>
        <v/>
      </c>
      <c r="P281" s="28" t="str">
        <f aca="false">IF(A281="","",SUMIFS(Vendas!$J$5:$J$304,Vendas!$B$5:$B$304,A281))</f>
        <v/>
      </c>
      <c r="Q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20"/>
      <c r="G282" s="21"/>
      <c r="H282" s="21"/>
      <c r="I282" s="22" t="str">
        <f aca="false">IF(G282="","",G282-H282)</f>
        <v/>
      </c>
      <c r="J282" s="23" t="str">
        <f aca="false">IF(OR(G282="",G282=0),"",I282/G282)</f>
        <v/>
      </c>
      <c r="K282" s="24"/>
      <c r="L282" s="25"/>
      <c r="M282" s="1"/>
      <c r="N282" s="26" t="str">
        <f aca="false">IF(A282="","",SUMIFS(Vendas!$E$5:$E$304,Vendas!$B$5:$B$304,A282))</f>
        <v/>
      </c>
      <c r="O282" s="27" t="str">
        <f aca="false">IF(A282="","",K282-N282)</f>
        <v/>
      </c>
      <c r="P282" s="28" t="str">
        <f aca="false">IF(A282="","",SUMIFS(Vendas!$J$5:$J$304,Vendas!$B$5:$B$304,A282))</f>
        <v/>
      </c>
      <c r="Q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20"/>
      <c r="G283" s="21"/>
      <c r="H283" s="21"/>
      <c r="I283" s="22" t="str">
        <f aca="false">IF(G283="","",G283-H283)</f>
        <v/>
      </c>
      <c r="J283" s="23" t="str">
        <f aca="false">IF(OR(G283="",G283=0),"",I283/G283)</f>
        <v/>
      </c>
      <c r="K283" s="24"/>
      <c r="L283" s="25"/>
      <c r="M283" s="1"/>
      <c r="N283" s="26" t="str">
        <f aca="false">IF(A283="","",SUMIFS(Vendas!$E$5:$E$304,Vendas!$B$5:$B$304,A283))</f>
        <v/>
      </c>
      <c r="O283" s="27" t="str">
        <f aca="false">IF(A283="","",K283-N283)</f>
        <v/>
      </c>
      <c r="P283" s="28" t="str">
        <f aca="false">IF(A283="","",SUMIFS(Vendas!$J$5:$J$304,Vendas!$B$5:$B$304,A283))</f>
        <v/>
      </c>
      <c r="Q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20"/>
      <c r="G284" s="21"/>
      <c r="H284" s="21"/>
      <c r="I284" s="22" t="str">
        <f aca="false">IF(G284="","",G284-H284)</f>
        <v/>
      </c>
      <c r="J284" s="23" t="str">
        <f aca="false">IF(OR(G284="",G284=0),"",I284/G284)</f>
        <v/>
      </c>
      <c r="K284" s="24"/>
      <c r="L284" s="25"/>
      <c r="M284" s="1"/>
      <c r="N284" s="26" t="str">
        <f aca="false">IF(A284="","",SUMIFS(Vendas!$E$5:$E$304,Vendas!$B$5:$B$304,A284))</f>
        <v/>
      </c>
      <c r="O284" s="27" t="str">
        <f aca="false">IF(A284="","",K284-N284)</f>
        <v/>
      </c>
      <c r="P284" s="28" t="str">
        <f aca="false">IF(A284="","",SUMIFS(Vendas!$J$5:$J$304,Vendas!$B$5:$B$304,A284))</f>
        <v/>
      </c>
      <c r="Q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20"/>
      <c r="G285" s="21"/>
      <c r="H285" s="21"/>
      <c r="I285" s="22" t="str">
        <f aca="false">IF(G285="","",G285-H285)</f>
        <v/>
      </c>
      <c r="J285" s="23" t="str">
        <f aca="false">IF(OR(G285="",G285=0),"",I285/G285)</f>
        <v/>
      </c>
      <c r="K285" s="24"/>
      <c r="L285" s="25"/>
      <c r="M285" s="1"/>
      <c r="N285" s="26" t="str">
        <f aca="false">IF(A285="","",SUMIFS(Vendas!$E$5:$E$304,Vendas!$B$5:$B$304,A285))</f>
        <v/>
      </c>
      <c r="O285" s="27" t="str">
        <f aca="false">IF(A285="","",K285-N285)</f>
        <v/>
      </c>
      <c r="P285" s="28" t="str">
        <f aca="false">IF(A285="","",SUMIFS(Vendas!$J$5:$J$304,Vendas!$B$5:$B$304,A285))</f>
        <v/>
      </c>
      <c r="Q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20"/>
      <c r="G286" s="21"/>
      <c r="H286" s="21"/>
      <c r="I286" s="22" t="str">
        <f aca="false">IF(G286="","",G286-H286)</f>
        <v/>
      </c>
      <c r="J286" s="23" t="str">
        <f aca="false">IF(OR(G286="",G286=0),"",I286/G286)</f>
        <v/>
      </c>
      <c r="K286" s="24"/>
      <c r="L286" s="25"/>
      <c r="M286" s="1"/>
      <c r="N286" s="26" t="str">
        <f aca="false">IF(A286="","",SUMIFS(Vendas!$E$5:$E$304,Vendas!$B$5:$B$304,A286))</f>
        <v/>
      </c>
      <c r="O286" s="27" t="str">
        <f aca="false">IF(A286="","",K286-N286)</f>
        <v/>
      </c>
      <c r="P286" s="28" t="str">
        <f aca="false">IF(A286="","",SUMIFS(Vendas!$J$5:$J$304,Vendas!$B$5:$B$304,A286))</f>
        <v/>
      </c>
      <c r="Q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20"/>
      <c r="G287" s="21"/>
      <c r="H287" s="21"/>
      <c r="I287" s="22" t="str">
        <f aca="false">IF(G287="","",G287-H287)</f>
        <v/>
      </c>
      <c r="J287" s="23" t="str">
        <f aca="false">IF(OR(G287="",G287=0),"",I287/G287)</f>
        <v/>
      </c>
      <c r="K287" s="24"/>
      <c r="L287" s="25"/>
      <c r="M287" s="1"/>
      <c r="N287" s="26" t="str">
        <f aca="false">IF(A287="","",SUMIFS(Vendas!$E$5:$E$304,Vendas!$B$5:$B$304,A287))</f>
        <v/>
      </c>
      <c r="O287" s="27" t="str">
        <f aca="false">IF(A287="","",K287-N287)</f>
        <v/>
      </c>
      <c r="P287" s="28" t="str">
        <f aca="false">IF(A287="","",SUMIFS(Vendas!$J$5:$J$304,Vendas!$B$5:$B$304,A287))</f>
        <v/>
      </c>
      <c r="Q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20"/>
      <c r="G288" s="21"/>
      <c r="H288" s="21"/>
      <c r="I288" s="22" t="str">
        <f aca="false">IF(G288="","",G288-H288)</f>
        <v/>
      </c>
      <c r="J288" s="23" t="str">
        <f aca="false">IF(OR(G288="",G288=0),"",I288/G288)</f>
        <v/>
      </c>
      <c r="K288" s="24"/>
      <c r="L288" s="25"/>
      <c r="M288" s="1"/>
      <c r="N288" s="26" t="str">
        <f aca="false">IF(A288="","",SUMIFS(Vendas!$E$5:$E$304,Vendas!$B$5:$B$304,A288))</f>
        <v/>
      </c>
      <c r="O288" s="27" t="str">
        <f aca="false">IF(A288="","",K288-N288)</f>
        <v/>
      </c>
      <c r="P288" s="28" t="str">
        <f aca="false">IF(A288="","",SUMIFS(Vendas!$J$5:$J$304,Vendas!$B$5:$B$304,A288))</f>
        <v/>
      </c>
      <c r="Q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20"/>
      <c r="G289" s="21"/>
      <c r="H289" s="21"/>
      <c r="I289" s="22" t="str">
        <f aca="false">IF(G289="","",G289-H289)</f>
        <v/>
      </c>
      <c r="J289" s="23" t="str">
        <f aca="false">IF(OR(G289="",G289=0),"",I289/G289)</f>
        <v/>
      </c>
      <c r="K289" s="24"/>
      <c r="L289" s="25"/>
      <c r="M289" s="1"/>
      <c r="N289" s="26" t="str">
        <f aca="false">IF(A289="","",SUMIFS(Vendas!$E$5:$E$304,Vendas!$B$5:$B$304,A289))</f>
        <v/>
      </c>
      <c r="O289" s="27" t="str">
        <f aca="false">IF(A289="","",K289-N289)</f>
        <v/>
      </c>
      <c r="P289" s="28" t="str">
        <f aca="false">IF(A289="","",SUMIFS(Vendas!$J$5:$J$304,Vendas!$B$5:$B$304,A289))</f>
        <v/>
      </c>
      <c r="Q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20"/>
      <c r="G290" s="21"/>
      <c r="H290" s="21"/>
      <c r="I290" s="22" t="str">
        <f aca="false">IF(G290="","",G290-H290)</f>
        <v/>
      </c>
      <c r="J290" s="23" t="str">
        <f aca="false">IF(OR(G290="",G290=0),"",I290/G290)</f>
        <v/>
      </c>
      <c r="K290" s="24"/>
      <c r="L290" s="25"/>
      <c r="M290" s="1"/>
      <c r="N290" s="26" t="str">
        <f aca="false">IF(A290="","",SUMIFS(Vendas!$E$5:$E$304,Vendas!$B$5:$B$304,A290))</f>
        <v/>
      </c>
      <c r="O290" s="27" t="str">
        <f aca="false">IF(A290="","",K290-N290)</f>
        <v/>
      </c>
      <c r="P290" s="28" t="str">
        <f aca="false">IF(A290="","",SUMIFS(Vendas!$J$5:$J$304,Vendas!$B$5:$B$304,A290))</f>
        <v/>
      </c>
      <c r="Q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20"/>
      <c r="G291" s="21"/>
      <c r="H291" s="21"/>
      <c r="I291" s="22" t="str">
        <f aca="false">IF(G291="","",G291-H291)</f>
        <v/>
      </c>
      <c r="J291" s="23" t="str">
        <f aca="false">IF(OR(G291="",G291=0),"",I291/G291)</f>
        <v/>
      </c>
      <c r="K291" s="24"/>
      <c r="L291" s="25"/>
      <c r="M291" s="1"/>
      <c r="N291" s="26" t="str">
        <f aca="false">IF(A291="","",SUMIFS(Vendas!$E$5:$E$304,Vendas!$B$5:$B$304,A291))</f>
        <v/>
      </c>
      <c r="O291" s="27" t="str">
        <f aca="false">IF(A291="","",K291-N291)</f>
        <v/>
      </c>
      <c r="P291" s="28" t="str">
        <f aca="false">IF(A291="","",SUMIFS(Vendas!$J$5:$J$304,Vendas!$B$5:$B$304,A291))</f>
        <v/>
      </c>
      <c r="Q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20"/>
      <c r="G292" s="21"/>
      <c r="H292" s="21"/>
      <c r="I292" s="22" t="str">
        <f aca="false">IF(G292="","",G292-H292)</f>
        <v/>
      </c>
      <c r="J292" s="23" t="str">
        <f aca="false">IF(OR(G292="",G292=0),"",I292/G292)</f>
        <v/>
      </c>
      <c r="K292" s="24"/>
      <c r="L292" s="25"/>
      <c r="M292" s="1"/>
      <c r="N292" s="26" t="str">
        <f aca="false">IF(A292="","",SUMIFS(Vendas!$E$5:$E$304,Vendas!$B$5:$B$304,A292))</f>
        <v/>
      </c>
      <c r="O292" s="27" t="str">
        <f aca="false">IF(A292="","",K292-N292)</f>
        <v/>
      </c>
      <c r="P292" s="28" t="str">
        <f aca="false">IF(A292="","",SUMIFS(Vendas!$J$5:$J$304,Vendas!$B$5:$B$304,A292))</f>
        <v/>
      </c>
      <c r="Q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20"/>
      <c r="G293" s="21"/>
      <c r="H293" s="21"/>
      <c r="I293" s="22" t="str">
        <f aca="false">IF(G293="","",G293-H293)</f>
        <v/>
      </c>
      <c r="J293" s="23" t="str">
        <f aca="false">IF(OR(G293="",G293=0),"",I293/G293)</f>
        <v/>
      </c>
      <c r="K293" s="24"/>
      <c r="L293" s="25"/>
      <c r="M293" s="1"/>
      <c r="N293" s="26" t="str">
        <f aca="false">IF(A293="","",SUMIFS(Vendas!$E$5:$E$304,Vendas!$B$5:$B$304,A293))</f>
        <v/>
      </c>
      <c r="O293" s="27" t="str">
        <f aca="false">IF(A293="","",K293-N293)</f>
        <v/>
      </c>
      <c r="P293" s="28" t="str">
        <f aca="false">IF(A293="","",SUMIFS(Vendas!$J$5:$J$304,Vendas!$B$5:$B$304,A293))</f>
        <v/>
      </c>
      <c r="Q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20"/>
      <c r="G294" s="21"/>
      <c r="H294" s="21"/>
      <c r="I294" s="22" t="str">
        <f aca="false">IF(G294="","",G294-H294)</f>
        <v/>
      </c>
      <c r="J294" s="23" t="str">
        <f aca="false">IF(OR(G294="",G294=0),"",I294/G294)</f>
        <v/>
      </c>
      <c r="K294" s="24"/>
      <c r="L294" s="25"/>
      <c r="M294" s="1"/>
      <c r="N294" s="26" t="str">
        <f aca="false">IF(A294="","",SUMIFS(Vendas!$E$5:$E$304,Vendas!$B$5:$B$304,A294))</f>
        <v/>
      </c>
      <c r="O294" s="27" t="str">
        <f aca="false">IF(A294="","",K294-N294)</f>
        <v/>
      </c>
      <c r="P294" s="28" t="str">
        <f aca="false">IF(A294="","",SUMIFS(Vendas!$J$5:$J$304,Vendas!$B$5:$B$304,A294))</f>
        <v/>
      </c>
      <c r="Q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20"/>
      <c r="G295" s="21"/>
      <c r="H295" s="21"/>
      <c r="I295" s="22" t="str">
        <f aca="false">IF(G295="","",G295-H295)</f>
        <v/>
      </c>
      <c r="J295" s="23" t="str">
        <f aca="false">IF(OR(G295="",G295=0),"",I295/G295)</f>
        <v/>
      </c>
      <c r="K295" s="24"/>
      <c r="L295" s="25"/>
      <c r="M295" s="1"/>
      <c r="N295" s="26" t="str">
        <f aca="false">IF(A295="","",SUMIFS(Vendas!$E$5:$E$304,Vendas!$B$5:$B$304,A295))</f>
        <v/>
      </c>
      <c r="O295" s="27" t="str">
        <f aca="false">IF(A295="","",K295-N295)</f>
        <v/>
      </c>
      <c r="P295" s="28" t="str">
        <f aca="false">IF(A295="","",SUMIFS(Vendas!$J$5:$J$304,Vendas!$B$5:$B$304,A295))</f>
        <v/>
      </c>
      <c r="Q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20"/>
      <c r="G296" s="21"/>
      <c r="H296" s="21"/>
      <c r="I296" s="22" t="str">
        <f aca="false">IF(G296="","",G296-H296)</f>
        <v/>
      </c>
      <c r="J296" s="23" t="str">
        <f aca="false">IF(OR(G296="",G296=0),"",I296/G296)</f>
        <v/>
      </c>
      <c r="K296" s="24"/>
      <c r="L296" s="25"/>
      <c r="M296" s="1"/>
      <c r="N296" s="26" t="str">
        <f aca="false">IF(A296="","",SUMIFS(Vendas!$E$5:$E$304,Vendas!$B$5:$B$304,A296))</f>
        <v/>
      </c>
      <c r="O296" s="27" t="str">
        <f aca="false">IF(A296="","",K296-N296)</f>
        <v/>
      </c>
      <c r="P296" s="28" t="str">
        <f aca="false">IF(A296="","",SUMIFS(Vendas!$J$5:$J$304,Vendas!$B$5:$B$304,A296))</f>
        <v/>
      </c>
      <c r="Q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20"/>
      <c r="G297" s="21"/>
      <c r="H297" s="21"/>
      <c r="I297" s="22" t="str">
        <f aca="false">IF(G297="","",G297-H297)</f>
        <v/>
      </c>
      <c r="J297" s="23" t="str">
        <f aca="false">IF(OR(G297="",G297=0),"",I297/G297)</f>
        <v/>
      </c>
      <c r="K297" s="24"/>
      <c r="L297" s="25"/>
      <c r="M297" s="1"/>
      <c r="N297" s="26" t="str">
        <f aca="false">IF(A297="","",SUMIFS(Vendas!$E$5:$E$304,Vendas!$B$5:$B$304,A297))</f>
        <v/>
      </c>
      <c r="O297" s="27" t="str">
        <f aca="false">IF(A297="","",K297-N297)</f>
        <v/>
      </c>
      <c r="P297" s="28" t="str">
        <f aca="false">IF(A297="","",SUMIFS(Vendas!$J$5:$J$304,Vendas!$B$5:$B$304,A297))</f>
        <v/>
      </c>
      <c r="Q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20"/>
      <c r="G298" s="21"/>
      <c r="H298" s="21"/>
      <c r="I298" s="22" t="str">
        <f aca="false">IF(G298="","",G298-H298)</f>
        <v/>
      </c>
      <c r="J298" s="23" t="str">
        <f aca="false">IF(OR(G298="",G298=0),"",I298/G298)</f>
        <v/>
      </c>
      <c r="K298" s="24"/>
      <c r="L298" s="25"/>
      <c r="M298" s="1"/>
      <c r="N298" s="26" t="str">
        <f aca="false">IF(A298="","",SUMIFS(Vendas!$E$5:$E$304,Vendas!$B$5:$B$304,A298))</f>
        <v/>
      </c>
      <c r="O298" s="27" t="str">
        <f aca="false">IF(A298="","",K298-N298)</f>
        <v/>
      </c>
      <c r="P298" s="28" t="str">
        <f aca="false">IF(A298="","",SUMIFS(Vendas!$J$5:$J$304,Vendas!$B$5:$B$304,A298))</f>
        <v/>
      </c>
      <c r="Q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20"/>
      <c r="G299" s="21"/>
      <c r="H299" s="21"/>
      <c r="I299" s="22" t="str">
        <f aca="false">IF(G299="","",G299-H299)</f>
        <v/>
      </c>
      <c r="J299" s="23" t="str">
        <f aca="false">IF(OR(G299="",G299=0),"",I299/G299)</f>
        <v/>
      </c>
      <c r="K299" s="24"/>
      <c r="L299" s="25"/>
      <c r="M299" s="1"/>
      <c r="N299" s="26" t="str">
        <f aca="false">IF(A299="","",SUMIFS(Vendas!$E$5:$E$304,Vendas!$B$5:$B$304,A299))</f>
        <v/>
      </c>
      <c r="O299" s="27" t="str">
        <f aca="false">IF(A299="","",K299-N299)</f>
        <v/>
      </c>
      <c r="P299" s="28" t="str">
        <f aca="false">IF(A299="","",SUMIFS(Vendas!$J$5:$J$304,Vendas!$B$5:$B$304,A299))</f>
        <v/>
      </c>
      <c r="Q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20"/>
      <c r="G300" s="21"/>
      <c r="H300" s="21"/>
      <c r="I300" s="22" t="str">
        <f aca="false">IF(G300="","",G300-H300)</f>
        <v/>
      </c>
      <c r="J300" s="23" t="str">
        <f aca="false">IF(OR(G300="",G300=0),"",I300/G300)</f>
        <v/>
      </c>
      <c r="K300" s="24"/>
      <c r="L300" s="25"/>
      <c r="M300" s="1"/>
      <c r="N300" s="26" t="str">
        <f aca="false">IF(A300="","",SUMIFS(Vendas!$E$5:$E$304,Vendas!$B$5:$B$304,A300))</f>
        <v/>
      </c>
      <c r="O300" s="27" t="str">
        <f aca="false">IF(A300="","",K300-N300)</f>
        <v/>
      </c>
      <c r="P300" s="28" t="str">
        <f aca="false">IF(A300="","",SUMIFS(Vendas!$J$5:$J$304,Vendas!$B$5:$B$304,A300))</f>
        <v/>
      </c>
      <c r="Q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20"/>
      <c r="G301" s="21"/>
      <c r="H301" s="21"/>
      <c r="I301" s="22" t="str">
        <f aca="false">IF(G301="","",G301-H301)</f>
        <v/>
      </c>
      <c r="J301" s="23" t="str">
        <f aca="false">IF(OR(G301="",G301=0),"",I301/G301)</f>
        <v/>
      </c>
      <c r="K301" s="24"/>
      <c r="L301" s="25"/>
      <c r="M301" s="1"/>
      <c r="N301" s="26" t="str">
        <f aca="false">IF(A301="","",SUMIFS(Vendas!$E$5:$E$304,Vendas!$B$5:$B$304,A301))</f>
        <v/>
      </c>
      <c r="O301" s="27" t="str">
        <f aca="false">IF(A301="","",K301-N301)</f>
        <v/>
      </c>
      <c r="P301" s="28" t="str">
        <f aca="false">IF(A301="","",SUMIFS(Vendas!$J$5:$J$304,Vendas!$B$5:$B$304,A301))</f>
        <v/>
      </c>
      <c r="Q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20"/>
      <c r="G302" s="21"/>
      <c r="H302" s="21"/>
      <c r="I302" s="22" t="str">
        <f aca="false">IF(G302="","",G302-H302)</f>
        <v/>
      </c>
      <c r="J302" s="23" t="str">
        <f aca="false">IF(OR(G302="",G302=0),"",I302/G302)</f>
        <v/>
      </c>
      <c r="K302" s="24"/>
      <c r="L302" s="25"/>
      <c r="M302" s="1"/>
      <c r="N302" s="26" t="str">
        <f aca="false">IF(A302="","",SUMIFS(Vendas!$E$5:$E$304,Vendas!$B$5:$B$304,A302))</f>
        <v/>
      </c>
      <c r="O302" s="27" t="str">
        <f aca="false">IF(A302="","",K302-N302)</f>
        <v/>
      </c>
      <c r="P302" s="28" t="str">
        <f aca="false">IF(A302="","",SUMIFS(Vendas!$J$5:$J$304,Vendas!$B$5:$B$304,A302))</f>
        <v/>
      </c>
      <c r="Q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20"/>
      <c r="G303" s="21"/>
      <c r="H303" s="21"/>
      <c r="I303" s="22" t="str">
        <f aca="false">IF(G303="","",G303-H303)</f>
        <v/>
      </c>
      <c r="J303" s="23" t="str">
        <f aca="false">IF(OR(G303="",G303=0),"",I303/G303)</f>
        <v/>
      </c>
      <c r="K303" s="24"/>
      <c r="L303" s="25"/>
      <c r="M303" s="1"/>
      <c r="N303" s="26" t="str">
        <f aca="false">IF(A303="","",SUMIFS(Vendas!$E$5:$E$304,Vendas!$B$5:$B$304,A303))</f>
        <v/>
      </c>
      <c r="O303" s="27" t="str">
        <f aca="false">IF(A303="","",K303-N303)</f>
        <v/>
      </c>
      <c r="P303" s="28" t="str">
        <f aca="false">IF(A303="","",SUMIFS(Vendas!$J$5:$J$304,Vendas!$B$5:$B$304,A303))</f>
        <v/>
      </c>
      <c r="Q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20"/>
      <c r="G304" s="21"/>
      <c r="H304" s="21"/>
      <c r="I304" s="22" t="str">
        <f aca="false">IF(G304="","",G304-H304)</f>
        <v/>
      </c>
      <c r="J304" s="23" t="str">
        <f aca="false">IF(OR(G304="",G304=0),"",I304/G304)</f>
        <v/>
      </c>
      <c r="K304" s="24"/>
      <c r="L304" s="25"/>
      <c r="M304" s="1"/>
      <c r="N304" s="26" t="str">
        <f aca="false">IF(A304="","",SUMIFS(Vendas!$E$5:$E$304,Vendas!$B$5:$B$304,A304))</f>
        <v/>
      </c>
      <c r="O304" s="27" t="str">
        <f aca="false">IF(A304="","",K304-N304)</f>
        <v/>
      </c>
      <c r="P304" s="28" t="str">
        <f aca="false">IF(A304="","",SUMIFS(Vendas!$J$5:$J$304,Vendas!$B$5:$B$304,A304))</f>
        <v/>
      </c>
      <c r="Q304" s="1"/>
    </row>
  </sheetData>
  <autoFilter ref="A4:Q304"/>
  <conditionalFormatting sqref="O5:O304">
    <cfRule type="cellIs" priority="2" operator="lessThan" aboveAverage="0" equalAverage="0" bottom="0" percent="0" rank="0" text="" dxfId="6">
      <formula>50</formula>
    </cfRule>
  </conditionalFormatting>
  <dataValidations count="3">
    <dataValidation allowBlank="true" errorStyle="stop" operator="between" showDropDown="false" showErrorMessage="false" showInputMessage="false" sqref="D5:D304" type="list">
      <formula1>Listas!$A$4:$A$40</formula1>
      <formula2>0</formula2>
    </dataValidation>
    <dataValidation allowBlank="true" errorStyle="stop" operator="between" showDropDown="false" showErrorMessage="false" showInputMessage="false" sqref="E5:E304" type="list">
      <formula1>Listas!$B$4:$B$40</formula1>
      <formula2>0</formula2>
    </dataValidation>
    <dataValidation allowBlank="true" errorStyle="stop" operator="between" showDropDown="false" showErrorMessage="false" showInputMessage="false" sqref="M5:M304" type="list">
      <formula1>Listas!$C$4:$C$40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2" min="10" style="0" width="15"/>
    <col collapsed="false" customWidth="true" hidden="false" outlineLevel="0" max="13" min="13" style="0" width="11"/>
    <col collapsed="false" customWidth="true" hidden="false" outlineLevel="0" max="14" min="14" style="0" width="22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6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3" t="s">
        <v>111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30" hidden="false" customHeight="true" outlineLevel="0" collapsed="false">
      <c r="A4" s="18" t="s">
        <v>83</v>
      </c>
      <c r="B4" s="18" t="s">
        <v>112</v>
      </c>
      <c r="C4" s="18" t="s">
        <v>113</v>
      </c>
      <c r="D4" s="18" t="s">
        <v>114</v>
      </c>
      <c r="E4" s="18" t="s">
        <v>115</v>
      </c>
      <c r="F4" s="18" t="s">
        <v>116</v>
      </c>
      <c r="G4" s="18" t="s">
        <v>117</v>
      </c>
      <c r="H4" s="18" t="s">
        <v>118</v>
      </c>
      <c r="I4" s="18" t="s">
        <v>119</v>
      </c>
      <c r="J4" s="18" t="s">
        <v>120</v>
      </c>
      <c r="K4" s="18" t="s">
        <v>121</v>
      </c>
      <c r="L4" s="18" t="s">
        <v>122</v>
      </c>
      <c r="M4" s="18" t="s">
        <v>123</v>
      </c>
      <c r="N4" s="18" t="s">
        <v>124</v>
      </c>
      <c r="O4" s="18" t="s">
        <v>97</v>
      </c>
    </row>
    <row r="5" customFormat="false" ht="15" hidden="false" customHeight="false" outlineLevel="0" collapsed="false">
      <c r="A5" s="19" t="s">
        <v>100</v>
      </c>
      <c r="B5" s="19" t="s">
        <v>125</v>
      </c>
      <c r="C5" s="19" t="s">
        <v>126</v>
      </c>
      <c r="D5" s="19" t="s">
        <v>127</v>
      </c>
      <c r="E5" s="19" t="s">
        <v>128</v>
      </c>
      <c r="F5" s="19" t="s">
        <v>129</v>
      </c>
      <c r="G5" s="25" t="n">
        <v>46082</v>
      </c>
      <c r="H5" s="25" t="n">
        <v>47908</v>
      </c>
      <c r="I5" s="29" t="n">
        <v>0.1</v>
      </c>
      <c r="J5" s="21" t="n">
        <v>2000</v>
      </c>
      <c r="K5" s="28" t="n">
        <f aca="false">IF(A5="","",SUMIFS(Vendas!$I$5:$I$304,Vendas!$C$5:$C$304,A5)*I5)</f>
        <v>419.4</v>
      </c>
      <c r="L5" s="22" t="n">
        <f aca="false">IF(A5="","",MAX(0,K5-J5))</f>
        <v>0</v>
      </c>
      <c r="M5" s="30" t="n">
        <f aca="false">IF(A5="","",COUNTIF(Catálogo!$C$5:$C$304,A5))</f>
        <v>1</v>
      </c>
      <c r="N5" s="1"/>
      <c r="O5" s="1"/>
    </row>
    <row r="6" customFormat="false" ht="15" hidden="false" customHeight="false" outlineLevel="0" collapsed="false">
      <c r="A6" s="19" t="s">
        <v>107</v>
      </c>
      <c r="B6" s="19" t="s">
        <v>130</v>
      </c>
      <c r="C6" s="19" t="s">
        <v>131</v>
      </c>
      <c r="D6" s="19" t="s">
        <v>132</v>
      </c>
      <c r="E6" s="19" t="s">
        <v>128</v>
      </c>
      <c r="F6" s="19" t="s">
        <v>133</v>
      </c>
      <c r="G6" s="25" t="n">
        <v>46037</v>
      </c>
      <c r="H6" s="25" t="n">
        <v>47863</v>
      </c>
      <c r="I6" s="29" t="n">
        <v>0.1</v>
      </c>
      <c r="J6" s="21" t="n">
        <v>0</v>
      </c>
      <c r="K6" s="28" t="n">
        <f aca="false">IF(A6="","",SUMIFS(Vendas!$I$5:$I$304,Vendas!$C$5:$C$304,A6)*I6)</f>
        <v>798.4</v>
      </c>
      <c r="L6" s="22" t="n">
        <f aca="false">IF(A6="","",MAX(0,K6-J6))</f>
        <v>798.4</v>
      </c>
      <c r="M6" s="30" t="n">
        <f aca="false">IF(A6="","",COUNTIF(Catálogo!$C$5:$C$304,A6))</f>
        <v>1</v>
      </c>
      <c r="N6" s="1"/>
      <c r="O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25"/>
      <c r="H7" s="25"/>
      <c r="I7" s="29"/>
      <c r="J7" s="21"/>
      <c r="K7" s="28" t="str">
        <f aca="false">IF(A7="","",SUMIFS(Vendas!$I$5:$I$304,Vendas!$C$5:$C$304,A7)*I7)</f>
        <v/>
      </c>
      <c r="L7" s="22" t="str">
        <f aca="false">IF(A7="","",MAX(0,K7-J7))</f>
        <v/>
      </c>
      <c r="M7" s="30" t="str">
        <f aca="false">IF(A7="","",COUNTIF(Catálogo!$C$5:$C$304,A7))</f>
        <v/>
      </c>
      <c r="N7" s="1"/>
      <c r="O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25"/>
      <c r="H8" s="25"/>
      <c r="I8" s="29"/>
      <c r="J8" s="21"/>
      <c r="K8" s="28" t="str">
        <f aca="false">IF(A8="","",SUMIFS(Vendas!$I$5:$I$304,Vendas!$C$5:$C$304,A8)*I8)</f>
        <v/>
      </c>
      <c r="L8" s="22" t="str">
        <f aca="false">IF(A8="","",MAX(0,K8-J8))</f>
        <v/>
      </c>
      <c r="M8" s="30" t="str">
        <f aca="false">IF(A8="","",COUNTIF(Catálogo!$C$5:$C$304,A8))</f>
        <v/>
      </c>
      <c r="N8" s="1"/>
      <c r="O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25"/>
      <c r="H9" s="25"/>
      <c r="I9" s="29"/>
      <c r="J9" s="21"/>
      <c r="K9" s="28" t="str">
        <f aca="false">IF(A9="","",SUMIFS(Vendas!$I$5:$I$304,Vendas!$C$5:$C$304,A9)*I9)</f>
        <v/>
      </c>
      <c r="L9" s="22" t="str">
        <f aca="false">IF(A9="","",MAX(0,K9-J9))</f>
        <v/>
      </c>
      <c r="M9" s="30" t="str">
        <f aca="false">IF(A9="","",COUNTIF(Catálogo!$C$5:$C$304,A9))</f>
        <v/>
      </c>
      <c r="N9" s="1"/>
      <c r="O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25"/>
      <c r="H10" s="25"/>
      <c r="I10" s="29"/>
      <c r="J10" s="21"/>
      <c r="K10" s="28" t="str">
        <f aca="false">IF(A10="","",SUMIFS(Vendas!$I$5:$I$304,Vendas!$C$5:$C$304,A10)*I10)</f>
        <v/>
      </c>
      <c r="L10" s="22" t="str">
        <f aca="false">IF(A10="","",MAX(0,K10-J10))</f>
        <v/>
      </c>
      <c r="M10" s="30" t="str">
        <f aca="false">IF(A10="","",COUNTIF(Catálogo!$C$5:$C$304,A10))</f>
        <v/>
      </c>
      <c r="N10" s="1"/>
      <c r="O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25"/>
      <c r="H11" s="25"/>
      <c r="I11" s="29"/>
      <c r="J11" s="21"/>
      <c r="K11" s="28" t="str">
        <f aca="false">IF(A11="","",SUMIFS(Vendas!$I$5:$I$304,Vendas!$C$5:$C$304,A11)*I11)</f>
        <v/>
      </c>
      <c r="L11" s="22" t="str">
        <f aca="false">IF(A11="","",MAX(0,K11-J11))</f>
        <v/>
      </c>
      <c r="M11" s="30" t="str">
        <f aca="false">IF(A11="","",COUNTIF(Catálogo!$C$5:$C$304,A11))</f>
        <v/>
      </c>
      <c r="N11" s="1"/>
      <c r="O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25"/>
      <c r="H12" s="25"/>
      <c r="I12" s="29"/>
      <c r="J12" s="21"/>
      <c r="K12" s="28" t="str">
        <f aca="false">IF(A12="","",SUMIFS(Vendas!$I$5:$I$304,Vendas!$C$5:$C$304,A12)*I12)</f>
        <v/>
      </c>
      <c r="L12" s="22" t="str">
        <f aca="false">IF(A12="","",MAX(0,K12-J12))</f>
        <v/>
      </c>
      <c r="M12" s="30" t="str">
        <f aca="false">IF(A12="","",COUNTIF(Catálogo!$C$5:$C$304,A12))</f>
        <v/>
      </c>
      <c r="N12" s="1"/>
      <c r="O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25"/>
      <c r="H13" s="25"/>
      <c r="I13" s="29"/>
      <c r="J13" s="21"/>
      <c r="K13" s="28" t="str">
        <f aca="false">IF(A13="","",SUMIFS(Vendas!$I$5:$I$304,Vendas!$C$5:$C$304,A13)*I13)</f>
        <v/>
      </c>
      <c r="L13" s="22" t="str">
        <f aca="false">IF(A13="","",MAX(0,K13-J13))</f>
        <v/>
      </c>
      <c r="M13" s="30" t="str">
        <f aca="false">IF(A13="","",COUNTIF(Catálogo!$C$5:$C$304,A13))</f>
        <v/>
      </c>
      <c r="N13" s="1"/>
      <c r="O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25"/>
      <c r="H14" s="25"/>
      <c r="I14" s="29"/>
      <c r="J14" s="21"/>
      <c r="K14" s="28" t="str">
        <f aca="false">IF(A14="","",SUMIFS(Vendas!$I$5:$I$304,Vendas!$C$5:$C$304,A14)*I14)</f>
        <v/>
      </c>
      <c r="L14" s="22" t="str">
        <f aca="false">IF(A14="","",MAX(0,K14-J14))</f>
        <v/>
      </c>
      <c r="M14" s="30" t="str">
        <f aca="false">IF(A14="","",COUNTIF(Catálogo!$C$5:$C$304,A14))</f>
        <v/>
      </c>
      <c r="N14" s="1"/>
      <c r="O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25"/>
      <c r="H15" s="25"/>
      <c r="I15" s="29"/>
      <c r="J15" s="21"/>
      <c r="K15" s="28" t="str">
        <f aca="false">IF(A15="","",SUMIFS(Vendas!$I$5:$I$304,Vendas!$C$5:$C$304,A15)*I15)</f>
        <v/>
      </c>
      <c r="L15" s="22" t="str">
        <f aca="false">IF(A15="","",MAX(0,K15-J15))</f>
        <v/>
      </c>
      <c r="M15" s="30" t="str">
        <f aca="false">IF(A15="","",COUNTIF(Catálogo!$C$5:$C$304,A15))</f>
        <v/>
      </c>
      <c r="N15" s="1"/>
      <c r="O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25"/>
      <c r="H16" s="25"/>
      <c r="I16" s="29"/>
      <c r="J16" s="21"/>
      <c r="K16" s="28" t="str">
        <f aca="false">IF(A16="","",SUMIFS(Vendas!$I$5:$I$304,Vendas!$C$5:$C$304,A16)*I16)</f>
        <v/>
      </c>
      <c r="L16" s="22" t="str">
        <f aca="false">IF(A16="","",MAX(0,K16-J16))</f>
        <v/>
      </c>
      <c r="M16" s="30" t="str">
        <f aca="false">IF(A16="","",COUNTIF(Catálogo!$C$5:$C$304,A16))</f>
        <v/>
      </c>
      <c r="N16" s="1"/>
      <c r="O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25"/>
      <c r="H17" s="25"/>
      <c r="I17" s="29"/>
      <c r="J17" s="21"/>
      <c r="K17" s="28" t="str">
        <f aca="false">IF(A17="","",SUMIFS(Vendas!$I$5:$I$304,Vendas!$C$5:$C$304,A17)*I17)</f>
        <v/>
      </c>
      <c r="L17" s="22" t="str">
        <f aca="false">IF(A17="","",MAX(0,K17-J17))</f>
        <v/>
      </c>
      <c r="M17" s="30" t="str">
        <f aca="false">IF(A17="","",COUNTIF(Catálogo!$C$5:$C$304,A17))</f>
        <v/>
      </c>
      <c r="N17" s="1"/>
      <c r="O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25"/>
      <c r="H18" s="25"/>
      <c r="I18" s="29"/>
      <c r="J18" s="21"/>
      <c r="K18" s="28" t="str">
        <f aca="false">IF(A18="","",SUMIFS(Vendas!$I$5:$I$304,Vendas!$C$5:$C$304,A18)*I18)</f>
        <v/>
      </c>
      <c r="L18" s="22" t="str">
        <f aca="false">IF(A18="","",MAX(0,K18-J18))</f>
        <v/>
      </c>
      <c r="M18" s="30" t="str">
        <f aca="false">IF(A18="","",COUNTIF(Catálogo!$C$5:$C$304,A18))</f>
        <v/>
      </c>
      <c r="N18" s="1"/>
      <c r="O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25"/>
      <c r="H19" s="25"/>
      <c r="I19" s="29"/>
      <c r="J19" s="21"/>
      <c r="K19" s="28" t="str">
        <f aca="false">IF(A19="","",SUMIFS(Vendas!$I$5:$I$304,Vendas!$C$5:$C$304,A19)*I19)</f>
        <v/>
      </c>
      <c r="L19" s="22" t="str">
        <f aca="false">IF(A19="","",MAX(0,K19-J19))</f>
        <v/>
      </c>
      <c r="M19" s="30" t="str">
        <f aca="false">IF(A19="","",COUNTIF(Catálogo!$C$5:$C$304,A19))</f>
        <v/>
      </c>
      <c r="N19" s="1"/>
      <c r="O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25"/>
      <c r="H20" s="25"/>
      <c r="I20" s="29"/>
      <c r="J20" s="21"/>
      <c r="K20" s="28" t="str">
        <f aca="false">IF(A20="","",SUMIFS(Vendas!$I$5:$I$304,Vendas!$C$5:$C$304,A20)*I20)</f>
        <v/>
      </c>
      <c r="L20" s="22" t="str">
        <f aca="false">IF(A20="","",MAX(0,K20-J20))</f>
        <v/>
      </c>
      <c r="M20" s="30" t="str">
        <f aca="false">IF(A20="","",COUNTIF(Catálogo!$C$5:$C$304,A20))</f>
        <v/>
      </c>
      <c r="N20" s="1"/>
      <c r="O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25"/>
      <c r="H21" s="25"/>
      <c r="I21" s="29"/>
      <c r="J21" s="21"/>
      <c r="K21" s="28" t="str">
        <f aca="false">IF(A21="","",SUMIFS(Vendas!$I$5:$I$304,Vendas!$C$5:$C$304,A21)*I21)</f>
        <v/>
      </c>
      <c r="L21" s="22" t="str">
        <f aca="false">IF(A21="","",MAX(0,K21-J21))</f>
        <v/>
      </c>
      <c r="M21" s="30" t="str">
        <f aca="false">IF(A21="","",COUNTIF(Catálogo!$C$5:$C$304,A21))</f>
        <v/>
      </c>
      <c r="N21" s="1"/>
      <c r="O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25"/>
      <c r="H22" s="25"/>
      <c r="I22" s="29"/>
      <c r="J22" s="21"/>
      <c r="K22" s="28" t="str">
        <f aca="false">IF(A22="","",SUMIFS(Vendas!$I$5:$I$304,Vendas!$C$5:$C$304,A22)*I22)</f>
        <v/>
      </c>
      <c r="L22" s="22" t="str">
        <f aca="false">IF(A22="","",MAX(0,K22-J22))</f>
        <v/>
      </c>
      <c r="M22" s="30" t="str">
        <f aca="false">IF(A22="","",COUNTIF(Catálogo!$C$5:$C$304,A22))</f>
        <v/>
      </c>
      <c r="N22" s="1"/>
      <c r="O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25"/>
      <c r="H23" s="25"/>
      <c r="I23" s="29"/>
      <c r="J23" s="21"/>
      <c r="K23" s="28" t="str">
        <f aca="false">IF(A23="","",SUMIFS(Vendas!$I$5:$I$304,Vendas!$C$5:$C$304,A23)*I23)</f>
        <v/>
      </c>
      <c r="L23" s="22" t="str">
        <f aca="false">IF(A23="","",MAX(0,K23-J23))</f>
        <v/>
      </c>
      <c r="M23" s="30" t="str">
        <f aca="false">IF(A23="","",COUNTIF(Catálogo!$C$5:$C$304,A23))</f>
        <v/>
      </c>
      <c r="N23" s="1"/>
      <c r="O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25"/>
      <c r="H24" s="25"/>
      <c r="I24" s="29"/>
      <c r="J24" s="21"/>
      <c r="K24" s="28" t="str">
        <f aca="false">IF(A24="","",SUMIFS(Vendas!$I$5:$I$304,Vendas!$C$5:$C$304,A24)*I24)</f>
        <v/>
      </c>
      <c r="L24" s="22" t="str">
        <f aca="false">IF(A24="","",MAX(0,K24-J24))</f>
        <v/>
      </c>
      <c r="M24" s="30" t="str">
        <f aca="false">IF(A24="","",COUNTIF(Catálogo!$C$5:$C$304,A24))</f>
        <v/>
      </c>
      <c r="N24" s="1"/>
      <c r="O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25"/>
      <c r="H25" s="25"/>
      <c r="I25" s="29"/>
      <c r="J25" s="21"/>
      <c r="K25" s="28" t="str">
        <f aca="false">IF(A25="","",SUMIFS(Vendas!$I$5:$I$304,Vendas!$C$5:$C$304,A25)*I25)</f>
        <v/>
      </c>
      <c r="L25" s="22" t="str">
        <f aca="false">IF(A25="","",MAX(0,K25-J25))</f>
        <v/>
      </c>
      <c r="M25" s="30" t="str">
        <f aca="false">IF(A25="","",COUNTIF(Catálogo!$C$5:$C$304,A25))</f>
        <v/>
      </c>
      <c r="N25" s="1"/>
      <c r="O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25"/>
      <c r="H26" s="25"/>
      <c r="I26" s="29"/>
      <c r="J26" s="21"/>
      <c r="K26" s="28" t="str">
        <f aca="false">IF(A26="","",SUMIFS(Vendas!$I$5:$I$304,Vendas!$C$5:$C$304,A26)*I26)</f>
        <v/>
      </c>
      <c r="L26" s="22" t="str">
        <f aca="false">IF(A26="","",MAX(0,K26-J26))</f>
        <v/>
      </c>
      <c r="M26" s="30" t="str">
        <f aca="false">IF(A26="","",COUNTIF(Catálogo!$C$5:$C$304,A26))</f>
        <v/>
      </c>
      <c r="N26" s="1"/>
      <c r="O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25"/>
      <c r="H27" s="25"/>
      <c r="I27" s="29"/>
      <c r="J27" s="21"/>
      <c r="K27" s="28" t="str">
        <f aca="false">IF(A27="","",SUMIFS(Vendas!$I$5:$I$304,Vendas!$C$5:$C$304,A27)*I27)</f>
        <v/>
      </c>
      <c r="L27" s="22" t="str">
        <f aca="false">IF(A27="","",MAX(0,K27-J27))</f>
        <v/>
      </c>
      <c r="M27" s="30" t="str">
        <f aca="false">IF(A27="","",COUNTIF(Catálogo!$C$5:$C$304,A27))</f>
        <v/>
      </c>
      <c r="N27" s="1"/>
      <c r="O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25"/>
      <c r="H28" s="25"/>
      <c r="I28" s="29"/>
      <c r="J28" s="21"/>
      <c r="K28" s="28" t="str">
        <f aca="false">IF(A28="","",SUMIFS(Vendas!$I$5:$I$304,Vendas!$C$5:$C$304,A28)*I28)</f>
        <v/>
      </c>
      <c r="L28" s="22" t="str">
        <f aca="false">IF(A28="","",MAX(0,K28-J28))</f>
        <v/>
      </c>
      <c r="M28" s="30" t="str">
        <f aca="false">IF(A28="","",COUNTIF(Catálogo!$C$5:$C$304,A28))</f>
        <v/>
      </c>
      <c r="N28" s="1"/>
      <c r="O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25"/>
      <c r="H29" s="25"/>
      <c r="I29" s="29"/>
      <c r="J29" s="21"/>
      <c r="K29" s="28" t="str">
        <f aca="false">IF(A29="","",SUMIFS(Vendas!$I$5:$I$304,Vendas!$C$5:$C$304,A29)*I29)</f>
        <v/>
      </c>
      <c r="L29" s="22" t="str">
        <f aca="false">IF(A29="","",MAX(0,K29-J29))</f>
        <v/>
      </c>
      <c r="M29" s="30" t="str">
        <f aca="false">IF(A29="","",COUNTIF(Catálogo!$C$5:$C$304,A29))</f>
        <v/>
      </c>
      <c r="N29" s="1"/>
      <c r="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25"/>
      <c r="H30" s="25"/>
      <c r="I30" s="29"/>
      <c r="J30" s="21"/>
      <c r="K30" s="28" t="str">
        <f aca="false">IF(A30="","",SUMIFS(Vendas!$I$5:$I$304,Vendas!$C$5:$C$304,A30)*I30)</f>
        <v/>
      </c>
      <c r="L30" s="22" t="str">
        <f aca="false">IF(A30="","",MAX(0,K30-J30))</f>
        <v/>
      </c>
      <c r="M30" s="30" t="str">
        <f aca="false">IF(A30="","",COUNTIF(Catálogo!$C$5:$C$304,A30))</f>
        <v/>
      </c>
      <c r="N30" s="1"/>
      <c r="O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25"/>
      <c r="H31" s="25"/>
      <c r="I31" s="29"/>
      <c r="J31" s="21"/>
      <c r="K31" s="28" t="str">
        <f aca="false">IF(A31="","",SUMIFS(Vendas!$I$5:$I$304,Vendas!$C$5:$C$304,A31)*I31)</f>
        <v/>
      </c>
      <c r="L31" s="22" t="str">
        <f aca="false">IF(A31="","",MAX(0,K31-J31))</f>
        <v/>
      </c>
      <c r="M31" s="30" t="str">
        <f aca="false">IF(A31="","",COUNTIF(Catálogo!$C$5:$C$304,A31))</f>
        <v/>
      </c>
      <c r="N31" s="1"/>
      <c r="O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25"/>
      <c r="H32" s="25"/>
      <c r="I32" s="29"/>
      <c r="J32" s="21"/>
      <c r="K32" s="28" t="str">
        <f aca="false">IF(A32="","",SUMIFS(Vendas!$I$5:$I$304,Vendas!$C$5:$C$304,A32)*I32)</f>
        <v/>
      </c>
      <c r="L32" s="22" t="str">
        <f aca="false">IF(A32="","",MAX(0,K32-J32))</f>
        <v/>
      </c>
      <c r="M32" s="30" t="str">
        <f aca="false">IF(A32="","",COUNTIF(Catálogo!$C$5:$C$304,A32))</f>
        <v/>
      </c>
      <c r="N32" s="1"/>
      <c r="O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25"/>
      <c r="H33" s="25"/>
      <c r="I33" s="29"/>
      <c r="J33" s="21"/>
      <c r="K33" s="28" t="str">
        <f aca="false">IF(A33="","",SUMIFS(Vendas!$I$5:$I$304,Vendas!$C$5:$C$304,A33)*I33)</f>
        <v/>
      </c>
      <c r="L33" s="22" t="str">
        <f aca="false">IF(A33="","",MAX(0,K33-J33))</f>
        <v/>
      </c>
      <c r="M33" s="30" t="str">
        <f aca="false">IF(A33="","",COUNTIF(Catálogo!$C$5:$C$304,A33))</f>
        <v/>
      </c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25"/>
      <c r="H34" s="25"/>
      <c r="I34" s="29"/>
      <c r="J34" s="21"/>
      <c r="K34" s="28" t="str">
        <f aca="false">IF(A34="","",SUMIFS(Vendas!$I$5:$I$304,Vendas!$C$5:$C$304,A34)*I34)</f>
        <v/>
      </c>
      <c r="L34" s="22" t="str">
        <f aca="false">IF(A34="","",MAX(0,K34-J34))</f>
        <v/>
      </c>
      <c r="M34" s="30" t="str">
        <f aca="false">IF(A34="","",COUNTIF(Catálogo!$C$5:$C$304,A34))</f>
        <v/>
      </c>
      <c r="N34" s="1"/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25"/>
      <c r="H35" s="25"/>
      <c r="I35" s="29"/>
      <c r="J35" s="21"/>
      <c r="K35" s="28" t="str">
        <f aca="false">IF(A35="","",SUMIFS(Vendas!$I$5:$I$304,Vendas!$C$5:$C$304,A35)*I35)</f>
        <v/>
      </c>
      <c r="L35" s="22" t="str">
        <f aca="false">IF(A35="","",MAX(0,K35-J35))</f>
        <v/>
      </c>
      <c r="M35" s="30" t="str">
        <f aca="false">IF(A35="","",COUNTIF(Catálogo!$C$5:$C$304,A35))</f>
        <v/>
      </c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25"/>
      <c r="H36" s="25"/>
      <c r="I36" s="29"/>
      <c r="J36" s="21"/>
      <c r="K36" s="28" t="str">
        <f aca="false">IF(A36="","",SUMIFS(Vendas!$I$5:$I$304,Vendas!$C$5:$C$304,A36)*I36)</f>
        <v/>
      </c>
      <c r="L36" s="22" t="str">
        <f aca="false">IF(A36="","",MAX(0,K36-J36))</f>
        <v/>
      </c>
      <c r="M36" s="30" t="str">
        <f aca="false">IF(A36="","",COUNTIF(Catálogo!$C$5:$C$304,A36))</f>
        <v/>
      </c>
      <c r="N36" s="1"/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25"/>
      <c r="H37" s="25"/>
      <c r="I37" s="29"/>
      <c r="J37" s="21"/>
      <c r="K37" s="28" t="str">
        <f aca="false">IF(A37="","",SUMIFS(Vendas!$I$5:$I$304,Vendas!$C$5:$C$304,A37)*I37)</f>
        <v/>
      </c>
      <c r="L37" s="22" t="str">
        <f aca="false">IF(A37="","",MAX(0,K37-J37))</f>
        <v/>
      </c>
      <c r="M37" s="30" t="str">
        <f aca="false">IF(A37="","",COUNTIF(Catálogo!$C$5:$C$304,A37))</f>
        <v/>
      </c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25"/>
      <c r="H38" s="25"/>
      <c r="I38" s="29"/>
      <c r="J38" s="21"/>
      <c r="K38" s="28" t="str">
        <f aca="false">IF(A38="","",SUMIFS(Vendas!$I$5:$I$304,Vendas!$C$5:$C$304,A38)*I38)</f>
        <v/>
      </c>
      <c r="L38" s="22" t="str">
        <f aca="false">IF(A38="","",MAX(0,K38-J38))</f>
        <v/>
      </c>
      <c r="M38" s="30" t="str">
        <f aca="false">IF(A38="","",COUNTIF(Catálogo!$C$5:$C$304,A38))</f>
        <v/>
      </c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25"/>
      <c r="H39" s="25"/>
      <c r="I39" s="29"/>
      <c r="J39" s="21"/>
      <c r="K39" s="28" t="str">
        <f aca="false">IF(A39="","",SUMIFS(Vendas!$I$5:$I$304,Vendas!$C$5:$C$304,A39)*I39)</f>
        <v/>
      </c>
      <c r="L39" s="22" t="str">
        <f aca="false">IF(A39="","",MAX(0,K39-J39))</f>
        <v/>
      </c>
      <c r="M39" s="30" t="str">
        <f aca="false">IF(A39="","",COUNTIF(Catálogo!$C$5:$C$304,A39))</f>
        <v/>
      </c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25"/>
      <c r="H40" s="25"/>
      <c r="I40" s="29"/>
      <c r="J40" s="21"/>
      <c r="K40" s="28" t="str">
        <f aca="false">IF(A40="","",SUMIFS(Vendas!$I$5:$I$304,Vendas!$C$5:$C$304,A40)*I40)</f>
        <v/>
      </c>
      <c r="L40" s="22" t="str">
        <f aca="false">IF(A40="","",MAX(0,K40-J40))</f>
        <v/>
      </c>
      <c r="M40" s="30" t="str">
        <f aca="false">IF(A40="","",COUNTIF(Catálogo!$C$5:$C$304,A40))</f>
        <v/>
      </c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25"/>
      <c r="H41" s="25"/>
      <c r="I41" s="29"/>
      <c r="J41" s="21"/>
      <c r="K41" s="28" t="str">
        <f aca="false">IF(A41="","",SUMIFS(Vendas!$I$5:$I$304,Vendas!$C$5:$C$304,A41)*I41)</f>
        <v/>
      </c>
      <c r="L41" s="22" t="str">
        <f aca="false">IF(A41="","",MAX(0,K41-J41))</f>
        <v/>
      </c>
      <c r="M41" s="30" t="str">
        <f aca="false">IF(A41="","",COUNTIF(Catálogo!$C$5:$C$304,A41))</f>
        <v/>
      </c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25"/>
      <c r="H42" s="25"/>
      <c r="I42" s="29"/>
      <c r="J42" s="21"/>
      <c r="K42" s="28" t="str">
        <f aca="false">IF(A42="","",SUMIFS(Vendas!$I$5:$I$304,Vendas!$C$5:$C$304,A42)*I42)</f>
        <v/>
      </c>
      <c r="L42" s="22" t="str">
        <f aca="false">IF(A42="","",MAX(0,K42-J42))</f>
        <v/>
      </c>
      <c r="M42" s="30" t="str">
        <f aca="false">IF(A42="","",COUNTIF(Catálogo!$C$5:$C$304,A42))</f>
        <v/>
      </c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25"/>
      <c r="H43" s="25"/>
      <c r="I43" s="29"/>
      <c r="J43" s="21"/>
      <c r="K43" s="28" t="str">
        <f aca="false">IF(A43="","",SUMIFS(Vendas!$I$5:$I$304,Vendas!$C$5:$C$304,A43)*I43)</f>
        <v/>
      </c>
      <c r="L43" s="22" t="str">
        <f aca="false">IF(A43="","",MAX(0,K43-J43))</f>
        <v/>
      </c>
      <c r="M43" s="30" t="str">
        <f aca="false">IF(A43="","",COUNTIF(Catálogo!$C$5:$C$304,A43))</f>
        <v/>
      </c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25"/>
      <c r="H44" s="25"/>
      <c r="I44" s="29"/>
      <c r="J44" s="21"/>
      <c r="K44" s="28" t="str">
        <f aca="false">IF(A44="","",SUMIFS(Vendas!$I$5:$I$304,Vendas!$C$5:$C$304,A44)*I44)</f>
        <v/>
      </c>
      <c r="L44" s="22" t="str">
        <f aca="false">IF(A44="","",MAX(0,K44-J44))</f>
        <v/>
      </c>
      <c r="M44" s="30" t="str">
        <f aca="false">IF(A44="","",COUNTIF(Catálogo!$C$5:$C$304,A44))</f>
        <v/>
      </c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25"/>
      <c r="H45" s="25"/>
      <c r="I45" s="29"/>
      <c r="J45" s="21"/>
      <c r="K45" s="28" t="str">
        <f aca="false">IF(A45="","",SUMIFS(Vendas!$I$5:$I$304,Vendas!$C$5:$C$304,A45)*I45)</f>
        <v/>
      </c>
      <c r="L45" s="22" t="str">
        <f aca="false">IF(A45="","",MAX(0,K45-J45))</f>
        <v/>
      </c>
      <c r="M45" s="30" t="str">
        <f aca="false">IF(A45="","",COUNTIF(Catálogo!$C$5:$C$304,A45))</f>
        <v/>
      </c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25"/>
      <c r="H46" s="25"/>
      <c r="I46" s="29"/>
      <c r="J46" s="21"/>
      <c r="K46" s="28" t="str">
        <f aca="false">IF(A46="","",SUMIFS(Vendas!$I$5:$I$304,Vendas!$C$5:$C$304,A46)*I46)</f>
        <v/>
      </c>
      <c r="L46" s="22" t="str">
        <f aca="false">IF(A46="","",MAX(0,K46-J46))</f>
        <v/>
      </c>
      <c r="M46" s="30" t="str">
        <f aca="false">IF(A46="","",COUNTIF(Catálogo!$C$5:$C$304,A46))</f>
        <v/>
      </c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25"/>
      <c r="H47" s="25"/>
      <c r="I47" s="29"/>
      <c r="J47" s="21"/>
      <c r="K47" s="28" t="str">
        <f aca="false">IF(A47="","",SUMIFS(Vendas!$I$5:$I$304,Vendas!$C$5:$C$304,A47)*I47)</f>
        <v/>
      </c>
      <c r="L47" s="22" t="str">
        <f aca="false">IF(A47="","",MAX(0,K47-J47))</f>
        <v/>
      </c>
      <c r="M47" s="30" t="str">
        <f aca="false">IF(A47="","",COUNTIF(Catálogo!$C$5:$C$304,A47))</f>
        <v/>
      </c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25"/>
      <c r="H48" s="25"/>
      <c r="I48" s="29"/>
      <c r="J48" s="21"/>
      <c r="K48" s="28" t="str">
        <f aca="false">IF(A48="","",SUMIFS(Vendas!$I$5:$I$304,Vendas!$C$5:$C$304,A48)*I48)</f>
        <v/>
      </c>
      <c r="L48" s="22" t="str">
        <f aca="false">IF(A48="","",MAX(0,K48-J48))</f>
        <v/>
      </c>
      <c r="M48" s="30" t="str">
        <f aca="false">IF(A48="","",COUNTIF(Catálogo!$C$5:$C$304,A48))</f>
        <v/>
      </c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25"/>
      <c r="H49" s="25"/>
      <c r="I49" s="29"/>
      <c r="J49" s="21"/>
      <c r="K49" s="28" t="str">
        <f aca="false">IF(A49="","",SUMIFS(Vendas!$I$5:$I$304,Vendas!$C$5:$C$304,A49)*I49)</f>
        <v/>
      </c>
      <c r="L49" s="22" t="str">
        <f aca="false">IF(A49="","",MAX(0,K49-J49))</f>
        <v/>
      </c>
      <c r="M49" s="30" t="str">
        <f aca="false">IF(A49="","",COUNTIF(Catálogo!$C$5:$C$304,A49))</f>
        <v/>
      </c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25"/>
      <c r="H50" s="25"/>
      <c r="I50" s="29"/>
      <c r="J50" s="21"/>
      <c r="K50" s="28" t="str">
        <f aca="false">IF(A50="","",SUMIFS(Vendas!$I$5:$I$304,Vendas!$C$5:$C$304,A50)*I50)</f>
        <v/>
      </c>
      <c r="L50" s="22" t="str">
        <f aca="false">IF(A50="","",MAX(0,K50-J50))</f>
        <v/>
      </c>
      <c r="M50" s="30" t="str">
        <f aca="false">IF(A50="","",COUNTIF(Catálogo!$C$5:$C$304,A50))</f>
        <v/>
      </c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25"/>
      <c r="H51" s="25"/>
      <c r="I51" s="29"/>
      <c r="J51" s="21"/>
      <c r="K51" s="28" t="str">
        <f aca="false">IF(A51="","",SUMIFS(Vendas!$I$5:$I$304,Vendas!$C$5:$C$304,A51)*I51)</f>
        <v/>
      </c>
      <c r="L51" s="22" t="str">
        <f aca="false">IF(A51="","",MAX(0,K51-J51))</f>
        <v/>
      </c>
      <c r="M51" s="30" t="str">
        <f aca="false">IF(A51="","",COUNTIF(Catálogo!$C$5:$C$304,A51))</f>
        <v/>
      </c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25"/>
      <c r="H52" s="25"/>
      <c r="I52" s="29"/>
      <c r="J52" s="21"/>
      <c r="K52" s="28" t="str">
        <f aca="false">IF(A52="","",SUMIFS(Vendas!$I$5:$I$304,Vendas!$C$5:$C$304,A52)*I52)</f>
        <v/>
      </c>
      <c r="L52" s="22" t="str">
        <f aca="false">IF(A52="","",MAX(0,K52-J52))</f>
        <v/>
      </c>
      <c r="M52" s="30" t="str">
        <f aca="false">IF(A52="","",COUNTIF(Catálogo!$C$5:$C$304,A52))</f>
        <v/>
      </c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25"/>
      <c r="H53" s="25"/>
      <c r="I53" s="29"/>
      <c r="J53" s="21"/>
      <c r="K53" s="28" t="str">
        <f aca="false">IF(A53="","",SUMIFS(Vendas!$I$5:$I$304,Vendas!$C$5:$C$304,A53)*I53)</f>
        <v/>
      </c>
      <c r="L53" s="22" t="str">
        <f aca="false">IF(A53="","",MAX(0,K53-J53))</f>
        <v/>
      </c>
      <c r="M53" s="30" t="str">
        <f aca="false">IF(A53="","",COUNTIF(Catálogo!$C$5:$C$304,A53))</f>
        <v/>
      </c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25"/>
      <c r="H54" s="25"/>
      <c r="I54" s="29"/>
      <c r="J54" s="21"/>
      <c r="K54" s="28" t="str">
        <f aca="false">IF(A54="","",SUMIFS(Vendas!$I$5:$I$304,Vendas!$C$5:$C$304,A54)*I54)</f>
        <v/>
      </c>
      <c r="L54" s="22" t="str">
        <f aca="false">IF(A54="","",MAX(0,K54-J54))</f>
        <v/>
      </c>
      <c r="M54" s="30" t="str">
        <f aca="false">IF(A54="","",COUNTIF(Catálogo!$C$5:$C$304,A54))</f>
        <v/>
      </c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25"/>
      <c r="H55" s="25"/>
      <c r="I55" s="29"/>
      <c r="J55" s="21"/>
      <c r="K55" s="28" t="str">
        <f aca="false">IF(A55="","",SUMIFS(Vendas!$I$5:$I$304,Vendas!$C$5:$C$304,A55)*I55)</f>
        <v/>
      </c>
      <c r="L55" s="22" t="str">
        <f aca="false">IF(A55="","",MAX(0,K55-J55))</f>
        <v/>
      </c>
      <c r="M55" s="30" t="str">
        <f aca="false">IF(A55="","",COUNTIF(Catálogo!$C$5:$C$304,A55))</f>
        <v/>
      </c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25"/>
      <c r="H56" s="25"/>
      <c r="I56" s="29"/>
      <c r="J56" s="21"/>
      <c r="K56" s="28" t="str">
        <f aca="false">IF(A56="","",SUMIFS(Vendas!$I$5:$I$304,Vendas!$C$5:$C$304,A56)*I56)</f>
        <v/>
      </c>
      <c r="L56" s="22" t="str">
        <f aca="false">IF(A56="","",MAX(0,K56-J56))</f>
        <v/>
      </c>
      <c r="M56" s="30" t="str">
        <f aca="false">IF(A56="","",COUNTIF(Catálogo!$C$5:$C$304,A56))</f>
        <v/>
      </c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25"/>
      <c r="H57" s="25"/>
      <c r="I57" s="29"/>
      <c r="J57" s="21"/>
      <c r="K57" s="28" t="str">
        <f aca="false">IF(A57="","",SUMIFS(Vendas!$I$5:$I$304,Vendas!$C$5:$C$304,A57)*I57)</f>
        <v/>
      </c>
      <c r="L57" s="22" t="str">
        <f aca="false">IF(A57="","",MAX(0,K57-J57))</f>
        <v/>
      </c>
      <c r="M57" s="30" t="str">
        <f aca="false">IF(A57="","",COUNTIF(Catálogo!$C$5:$C$304,A57))</f>
        <v/>
      </c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25"/>
      <c r="H58" s="25"/>
      <c r="I58" s="29"/>
      <c r="J58" s="21"/>
      <c r="K58" s="28" t="str">
        <f aca="false">IF(A58="","",SUMIFS(Vendas!$I$5:$I$304,Vendas!$C$5:$C$304,A58)*I58)</f>
        <v/>
      </c>
      <c r="L58" s="22" t="str">
        <f aca="false">IF(A58="","",MAX(0,K58-J58))</f>
        <v/>
      </c>
      <c r="M58" s="30" t="str">
        <f aca="false">IF(A58="","",COUNTIF(Catálogo!$C$5:$C$304,A58))</f>
        <v/>
      </c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25"/>
      <c r="H59" s="25"/>
      <c r="I59" s="29"/>
      <c r="J59" s="21"/>
      <c r="K59" s="28" t="str">
        <f aca="false">IF(A59="","",SUMIFS(Vendas!$I$5:$I$304,Vendas!$C$5:$C$304,A59)*I59)</f>
        <v/>
      </c>
      <c r="L59" s="22" t="str">
        <f aca="false">IF(A59="","",MAX(0,K59-J59))</f>
        <v/>
      </c>
      <c r="M59" s="30" t="str">
        <f aca="false">IF(A59="","",COUNTIF(Catálogo!$C$5:$C$304,A59))</f>
        <v/>
      </c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25"/>
      <c r="H60" s="25"/>
      <c r="I60" s="29"/>
      <c r="J60" s="21"/>
      <c r="K60" s="28" t="str">
        <f aca="false">IF(A60="","",SUMIFS(Vendas!$I$5:$I$304,Vendas!$C$5:$C$304,A60)*I60)</f>
        <v/>
      </c>
      <c r="L60" s="22" t="str">
        <f aca="false">IF(A60="","",MAX(0,K60-J60))</f>
        <v/>
      </c>
      <c r="M60" s="30" t="str">
        <f aca="false">IF(A60="","",COUNTIF(Catálogo!$C$5:$C$304,A60))</f>
        <v/>
      </c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25"/>
      <c r="H61" s="25"/>
      <c r="I61" s="29"/>
      <c r="J61" s="21"/>
      <c r="K61" s="28" t="str">
        <f aca="false">IF(A61="","",SUMIFS(Vendas!$I$5:$I$304,Vendas!$C$5:$C$304,A61)*I61)</f>
        <v/>
      </c>
      <c r="L61" s="22" t="str">
        <f aca="false">IF(A61="","",MAX(0,K61-J61))</f>
        <v/>
      </c>
      <c r="M61" s="30" t="str">
        <f aca="false">IF(A61="","",COUNTIF(Catálogo!$C$5:$C$304,A61))</f>
        <v/>
      </c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25"/>
      <c r="H62" s="25"/>
      <c r="I62" s="29"/>
      <c r="J62" s="21"/>
      <c r="K62" s="28" t="str">
        <f aca="false">IF(A62="","",SUMIFS(Vendas!$I$5:$I$304,Vendas!$C$5:$C$304,A62)*I62)</f>
        <v/>
      </c>
      <c r="L62" s="22" t="str">
        <f aca="false">IF(A62="","",MAX(0,K62-J62))</f>
        <v/>
      </c>
      <c r="M62" s="30" t="str">
        <f aca="false">IF(A62="","",COUNTIF(Catálogo!$C$5:$C$304,A62))</f>
        <v/>
      </c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25"/>
      <c r="H63" s="25"/>
      <c r="I63" s="29"/>
      <c r="J63" s="21"/>
      <c r="K63" s="28" t="str">
        <f aca="false">IF(A63="","",SUMIFS(Vendas!$I$5:$I$304,Vendas!$C$5:$C$304,A63)*I63)</f>
        <v/>
      </c>
      <c r="L63" s="22" t="str">
        <f aca="false">IF(A63="","",MAX(0,K63-J63))</f>
        <v/>
      </c>
      <c r="M63" s="30" t="str">
        <f aca="false">IF(A63="","",COUNTIF(Catálogo!$C$5:$C$304,A63))</f>
        <v/>
      </c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25"/>
      <c r="H64" s="25"/>
      <c r="I64" s="29"/>
      <c r="J64" s="21"/>
      <c r="K64" s="28" t="str">
        <f aca="false">IF(A64="","",SUMIFS(Vendas!$I$5:$I$304,Vendas!$C$5:$C$304,A64)*I64)</f>
        <v/>
      </c>
      <c r="L64" s="22" t="str">
        <f aca="false">IF(A64="","",MAX(0,K64-J64))</f>
        <v/>
      </c>
      <c r="M64" s="30" t="str">
        <f aca="false">IF(A64="","",COUNTIF(Catálogo!$C$5:$C$304,A64))</f>
        <v/>
      </c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25"/>
      <c r="H65" s="25"/>
      <c r="I65" s="29"/>
      <c r="J65" s="21"/>
      <c r="K65" s="28" t="str">
        <f aca="false">IF(A65="","",SUMIFS(Vendas!$I$5:$I$304,Vendas!$C$5:$C$304,A65)*I65)</f>
        <v/>
      </c>
      <c r="L65" s="22" t="str">
        <f aca="false">IF(A65="","",MAX(0,K65-J65))</f>
        <v/>
      </c>
      <c r="M65" s="30" t="str">
        <f aca="false">IF(A65="","",COUNTIF(Catálogo!$C$5:$C$304,A65))</f>
        <v/>
      </c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25"/>
      <c r="H66" s="25"/>
      <c r="I66" s="29"/>
      <c r="J66" s="21"/>
      <c r="K66" s="28" t="str">
        <f aca="false">IF(A66="","",SUMIFS(Vendas!$I$5:$I$304,Vendas!$C$5:$C$304,A66)*I66)</f>
        <v/>
      </c>
      <c r="L66" s="22" t="str">
        <f aca="false">IF(A66="","",MAX(0,K66-J66))</f>
        <v/>
      </c>
      <c r="M66" s="30" t="str">
        <f aca="false">IF(A66="","",COUNTIF(Catálogo!$C$5:$C$304,A66))</f>
        <v/>
      </c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25"/>
      <c r="H67" s="25"/>
      <c r="I67" s="29"/>
      <c r="J67" s="21"/>
      <c r="K67" s="28" t="str">
        <f aca="false">IF(A67="","",SUMIFS(Vendas!$I$5:$I$304,Vendas!$C$5:$C$304,A67)*I67)</f>
        <v/>
      </c>
      <c r="L67" s="22" t="str">
        <f aca="false">IF(A67="","",MAX(0,K67-J67))</f>
        <v/>
      </c>
      <c r="M67" s="30" t="str">
        <f aca="false">IF(A67="","",COUNTIF(Catálogo!$C$5:$C$304,A67))</f>
        <v/>
      </c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25"/>
      <c r="H68" s="25"/>
      <c r="I68" s="29"/>
      <c r="J68" s="21"/>
      <c r="K68" s="28" t="str">
        <f aca="false">IF(A68="","",SUMIFS(Vendas!$I$5:$I$304,Vendas!$C$5:$C$304,A68)*I68)</f>
        <v/>
      </c>
      <c r="L68" s="22" t="str">
        <f aca="false">IF(A68="","",MAX(0,K68-J68))</f>
        <v/>
      </c>
      <c r="M68" s="30" t="str">
        <f aca="false">IF(A68="","",COUNTIF(Catálogo!$C$5:$C$304,A68))</f>
        <v/>
      </c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25"/>
      <c r="H69" s="25"/>
      <c r="I69" s="29"/>
      <c r="J69" s="21"/>
      <c r="K69" s="28" t="str">
        <f aca="false">IF(A69="","",SUMIFS(Vendas!$I$5:$I$304,Vendas!$C$5:$C$304,A69)*I69)</f>
        <v/>
      </c>
      <c r="L69" s="22" t="str">
        <f aca="false">IF(A69="","",MAX(0,K69-J69))</f>
        <v/>
      </c>
      <c r="M69" s="30" t="str">
        <f aca="false">IF(A69="","",COUNTIF(Catálogo!$C$5:$C$304,A69))</f>
        <v/>
      </c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25"/>
      <c r="H70" s="25"/>
      <c r="I70" s="29"/>
      <c r="J70" s="21"/>
      <c r="K70" s="28" t="str">
        <f aca="false">IF(A70="","",SUMIFS(Vendas!$I$5:$I$304,Vendas!$C$5:$C$304,A70)*I70)</f>
        <v/>
      </c>
      <c r="L70" s="22" t="str">
        <f aca="false">IF(A70="","",MAX(0,K70-J70))</f>
        <v/>
      </c>
      <c r="M70" s="30" t="str">
        <f aca="false">IF(A70="","",COUNTIF(Catálogo!$C$5:$C$304,A70))</f>
        <v/>
      </c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25"/>
      <c r="H71" s="25"/>
      <c r="I71" s="29"/>
      <c r="J71" s="21"/>
      <c r="K71" s="28" t="str">
        <f aca="false">IF(A71="","",SUMIFS(Vendas!$I$5:$I$304,Vendas!$C$5:$C$304,A71)*I71)</f>
        <v/>
      </c>
      <c r="L71" s="22" t="str">
        <f aca="false">IF(A71="","",MAX(0,K71-J71))</f>
        <v/>
      </c>
      <c r="M71" s="30" t="str">
        <f aca="false">IF(A71="","",COUNTIF(Catálogo!$C$5:$C$304,A71))</f>
        <v/>
      </c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25"/>
      <c r="H72" s="25"/>
      <c r="I72" s="29"/>
      <c r="J72" s="21"/>
      <c r="K72" s="28" t="str">
        <f aca="false">IF(A72="","",SUMIFS(Vendas!$I$5:$I$304,Vendas!$C$5:$C$304,A72)*I72)</f>
        <v/>
      </c>
      <c r="L72" s="22" t="str">
        <f aca="false">IF(A72="","",MAX(0,K72-J72))</f>
        <v/>
      </c>
      <c r="M72" s="30" t="str">
        <f aca="false">IF(A72="","",COUNTIF(Catálogo!$C$5:$C$304,A72))</f>
        <v/>
      </c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25"/>
      <c r="H73" s="25"/>
      <c r="I73" s="29"/>
      <c r="J73" s="21"/>
      <c r="K73" s="28" t="str">
        <f aca="false">IF(A73="","",SUMIFS(Vendas!$I$5:$I$304,Vendas!$C$5:$C$304,A73)*I73)</f>
        <v/>
      </c>
      <c r="L73" s="22" t="str">
        <f aca="false">IF(A73="","",MAX(0,K73-J73))</f>
        <v/>
      </c>
      <c r="M73" s="30" t="str">
        <f aca="false">IF(A73="","",COUNTIF(Catálogo!$C$5:$C$304,A73))</f>
        <v/>
      </c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25"/>
      <c r="H74" s="25"/>
      <c r="I74" s="29"/>
      <c r="J74" s="21"/>
      <c r="K74" s="28" t="str">
        <f aca="false">IF(A74="","",SUMIFS(Vendas!$I$5:$I$304,Vendas!$C$5:$C$304,A74)*I74)</f>
        <v/>
      </c>
      <c r="L74" s="22" t="str">
        <f aca="false">IF(A74="","",MAX(0,K74-J74))</f>
        <v/>
      </c>
      <c r="M74" s="30" t="str">
        <f aca="false">IF(A74="","",COUNTIF(Catálogo!$C$5:$C$304,A74))</f>
        <v/>
      </c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25"/>
      <c r="H75" s="25"/>
      <c r="I75" s="29"/>
      <c r="J75" s="21"/>
      <c r="K75" s="28" t="str">
        <f aca="false">IF(A75="","",SUMIFS(Vendas!$I$5:$I$304,Vendas!$C$5:$C$304,A75)*I75)</f>
        <v/>
      </c>
      <c r="L75" s="22" t="str">
        <f aca="false">IF(A75="","",MAX(0,K75-J75))</f>
        <v/>
      </c>
      <c r="M75" s="30" t="str">
        <f aca="false">IF(A75="","",COUNTIF(Catálogo!$C$5:$C$304,A75))</f>
        <v/>
      </c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25"/>
      <c r="H76" s="25"/>
      <c r="I76" s="29"/>
      <c r="J76" s="21"/>
      <c r="K76" s="28" t="str">
        <f aca="false">IF(A76="","",SUMIFS(Vendas!$I$5:$I$304,Vendas!$C$5:$C$304,A76)*I76)</f>
        <v/>
      </c>
      <c r="L76" s="22" t="str">
        <f aca="false">IF(A76="","",MAX(0,K76-J76))</f>
        <v/>
      </c>
      <c r="M76" s="30" t="str">
        <f aca="false">IF(A76="","",COUNTIF(Catálogo!$C$5:$C$304,A76))</f>
        <v/>
      </c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25"/>
      <c r="H77" s="25"/>
      <c r="I77" s="29"/>
      <c r="J77" s="21"/>
      <c r="K77" s="28" t="str">
        <f aca="false">IF(A77="","",SUMIFS(Vendas!$I$5:$I$304,Vendas!$C$5:$C$304,A77)*I77)</f>
        <v/>
      </c>
      <c r="L77" s="22" t="str">
        <f aca="false">IF(A77="","",MAX(0,K77-J77))</f>
        <v/>
      </c>
      <c r="M77" s="30" t="str">
        <f aca="false">IF(A77="","",COUNTIF(Catálogo!$C$5:$C$304,A77))</f>
        <v/>
      </c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25"/>
      <c r="H78" s="25"/>
      <c r="I78" s="29"/>
      <c r="J78" s="21"/>
      <c r="K78" s="28" t="str">
        <f aca="false">IF(A78="","",SUMIFS(Vendas!$I$5:$I$304,Vendas!$C$5:$C$304,A78)*I78)</f>
        <v/>
      </c>
      <c r="L78" s="22" t="str">
        <f aca="false">IF(A78="","",MAX(0,K78-J78))</f>
        <v/>
      </c>
      <c r="M78" s="30" t="str">
        <f aca="false">IF(A78="","",COUNTIF(Catálogo!$C$5:$C$304,A78))</f>
        <v/>
      </c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25"/>
      <c r="H79" s="25"/>
      <c r="I79" s="29"/>
      <c r="J79" s="21"/>
      <c r="K79" s="28" t="str">
        <f aca="false">IF(A79="","",SUMIFS(Vendas!$I$5:$I$304,Vendas!$C$5:$C$304,A79)*I79)</f>
        <v/>
      </c>
      <c r="L79" s="22" t="str">
        <f aca="false">IF(A79="","",MAX(0,K79-J79))</f>
        <v/>
      </c>
      <c r="M79" s="30" t="str">
        <f aca="false">IF(A79="","",COUNTIF(Catálogo!$C$5:$C$304,A79))</f>
        <v/>
      </c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25"/>
      <c r="H80" s="25"/>
      <c r="I80" s="29"/>
      <c r="J80" s="21"/>
      <c r="K80" s="28" t="str">
        <f aca="false">IF(A80="","",SUMIFS(Vendas!$I$5:$I$304,Vendas!$C$5:$C$304,A80)*I80)</f>
        <v/>
      </c>
      <c r="L80" s="22" t="str">
        <f aca="false">IF(A80="","",MAX(0,K80-J80))</f>
        <v/>
      </c>
      <c r="M80" s="30" t="str">
        <f aca="false">IF(A80="","",COUNTIF(Catálogo!$C$5:$C$304,A80))</f>
        <v/>
      </c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25"/>
      <c r="H81" s="25"/>
      <c r="I81" s="29"/>
      <c r="J81" s="21"/>
      <c r="K81" s="28" t="str">
        <f aca="false">IF(A81="","",SUMIFS(Vendas!$I$5:$I$304,Vendas!$C$5:$C$304,A81)*I81)</f>
        <v/>
      </c>
      <c r="L81" s="22" t="str">
        <f aca="false">IF(A81="","",MAX(0,K81-J81))</f>
        <v/>
      </c>
      <c r="M81" s="30" t="str">
        <f aca="false">IF(A81="","",COUNTIF(Catálogo!$C$5:$C$304,A81))</f>
        <v/>
      </c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25"/>
      <c r="H82" s="25"/>
      <c r="I82" s="29"/>
      <c r="J82" s="21"/>
      <c r="K82" s="28" t="str">
        <f aca="false">IF(A82="","",SUMIFS(Vendas!$I$5:$I$304,Vendas!$C$5:$C$304,A82)*I82)</f>
        <v/>
      </c>
      <c r="L82" s="22" t="str">
        <f aca="false">IF(A82="","",MAX(0,K82-J82))</f>
        <v/>
      </c>
      <c r="M82" s="30" t="str">
        <f aca="false">IF(A82="","",COUNTIF(Catálogo!$C$5:$C$304,A82))</f>
        <v/>
      </c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25"/>
      <c r="H83" s="25"/>
      <c r="I83" s="29"/>
      <c r="J83" s="21"/>
      <c r="K83" s="28" t="str">
        <f aca="false">IF(A83="","",SUMIFS(Vendas!$I$5:$I$304,Vendas!$C$5:$C$304,A83)*I83)</f>
        <v/>
      </c>
      <c r="L83" s="22" t="str">
        <f aca="false">IF(A83="","",MAX(0,K83-J83))</f>
        <v/>
      </c>
      <c r="M83" s="30" t="str">
        <f aca="false">IF(A83="","",COUNTIF(Catálogo!$C$5:$C$304,A83))</f>
        <v/>
      </c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25"/>
      <c r="H84" s="25"/>
      <c r="I84" s="29"/>
      <c r="J84" s="21"/>
      <c r="K84" s="28" t="str">
        <f aca="false">IF(A84="","",SUMIFS(Vendas!$I$5:$I$304,Vendas!$C$5:$C$304,A84)*I84)</f>
        <v/>
      </c>
      <c r="L84" s="22" t="str">
        <f aca="false">IF(A84="","",MAX(0,K84-J84))</f>
        <v/>
      </c>
      <c r="M84" s="30" t="str">
        <f aca="false">IF(A84="","",COUNTIF(Catálogo!$C$5:$C$304,A84))</f>
        <v/>
      </c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25"/>
      <c r="H85" s="25"/>
      <c r="I85" s="29"/>
      <c r="J85" s="21"/>
      <c r="K85" s="28" t="str">
        <f aca="false">IF(A85="","",SUMIFS(Vendas!$I$5:$I$304,Vendas!$C$5:$C$304,A85)*I85)</f>
        <v/>
      </c>
      <c r="L85" s="22" t="str">
        <f aca="false">IF(A85="","",MAX(0,K85-J85))</f>
        <v/>
      </c>
      <c r="M85" s="30" t="str">
        <f aca="false">IF(A85="","",COUNTIF(Catálogo!$C$5:$C$304,A85))</f>
        <v/>
      </c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25"/>
      <c r="H86" s="25"/>
      <c r="I86" s="29"/>
      <c r="J86" s="21"/>
      <c r="K86" s="28" t="str">
        <f aca="false">IF(A86="","",SUMIFS(Vendas!$I$5:$I$304,Vendas!$C$5:$C$304,A86)*I86)</f>
        <v/>
      </c>
      <c r="L86" s="22" t="str">
        <f aca="false">IF(A86="","",MAX(0,K86-J86))</f>
        <v/>
      </c>
      <c r="M86" s="30" t="str">
        <f aca="false">IF(A86="","",COUNTIF(Catálogo!$C$5:$C$304,A86))</f>
        <v/>
      </c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25"/>
      <c r="H87" s="25"/>
      <c r="I87" s="29"/>
      <c r="J87" s="21"/>
      <c r="K87" s="28" t="str">
        <f aca="false">IF(A87="","",SUMIFS(Vendas!$I$5:$I$304,Vendas!$C$5:$C$304,A87)*I87)</f>
        <v/>
      </c>
      <c r="L87" s="22" t="str">
        <f aca="false">IF(A87="","",MAX(0,K87-J87))</f>
        <v/>
      </c>
      <c r="M87" s="30" t="str">
        <f aca="false">IF(A87="","",COUNTIF(Catálogo!$C$5:$C$304,A87))</f>
        <v/>
      </c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25"/>
      <c r="H88" s="25"/>
      <c r="I88" s="29"/>
      <c r="J88" s="21"/>
      <c r="K88" s="28" t="str">
        <f aca="false">IF(A88="","",SUMIFS(Vendas!$I$5:$I$304,Vendas!$C$5:$C$304,A88)*I88)</f>
        <v/>
      </c>
      <c r="L88" s="22" t="str">
        <f aca="false">IF(A88="","",MAX(0,K88-J88))</f>
        <v/>
      </c>
      <c r="M88" s="30" t="str">
        <f aca="false">IF(A88="","",COUNTIF(Catálogo!$C$5:$C$304,A88))</f>
        <v/>
      </c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25"/>
      <c r="H89" s="25"/>
      <c r="I89" s="29"/>
      <c r="J89" s="21"/>
      <c r="K89" s="28" t="str">
        <f aca="false">IF(A89="","",SUMIFS(Vendas!$I$5:$I$304,Vendas!$C$5:$C$304,A89)*I89)</f>
        <v/>
      </c>
      <c r="L89" s="22" t="str">
        <f aca="false">IF(A89="","",MAX(0,K89-J89))</f>
        <v/>
      </c>
      <c r="M89" s="30" t="str">
        <f aca="false">IF(A89="","",COUNTIF(Catálogo!$C$5:$C$304,A89))</f>
        <v/>
      </c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25"/>
      <c r="H90" s="25"/>
      <c r="I90" s="29"/>
      <c r="J90" s="21"/>
      <c r="K90" s="28" t="str">
        <f aca="false">IF(A90="","",SUMIFS(Vendas!$I$5:$I$304,Vendas!$C$5:$C$304,A90)*I90)</f>
        <v/>
      </c>
      <c r="L90" s="22" t="str">
        <f aca="false">IF(A90="","",MAX(0,K90-J90))</f>
        <v/>
      </c>
      <c r="M90" s="30" t="str">
        <f aca="false">IF(A90="","",COUNTIF(Catálogo!$C$5:$C$304,A90))</f>
        <v/>
      </c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25"/>
      <c r="H91" s="25"/>
      <c r="I91" s="29"/>
      <c r="J91" s="21"/>
      <c r="K91" s="28" t="str">
        <f aca="false">IF(A91="","",SUMIFS(Vendas!$I$5:$I$304,Vendas!$C$5:$C$304,A91)*I91)</f>
        <v/>
      </c>
      <c r="L91" s="22" t="str">
        <f aca="false">IF(A91="","",MAX(0,K91-J91))</f>
        <v/>
      </c>
      <c r="M91" s="30" t="str">
        <f aca="false">IF(A91="","",COUNTIF(Catálogo!$C$5:$C$304,A91))</f>
        <v/>
      </c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25"/>
      <c r="H92" s="25"/>
      <c r="I92" s="29"/>
      <c r="J92" s="21"/>
      <c r="K92" s="28" t="str">
        <f aca="false">IF(A92="","",SUMIFS(Vendas!$I$5:$I$304,Vendas!$C$5:$C$304,A92)*I92)</f>
        <v/>
      </c>
      <c r="L92" s="22" t="str">
        <f aca="false">IF(A92="","",MAX(0,K92-J92))</f>
        <v/>
      </c>
      <c r="M92" s="30" t="str">
        <f aca="false">IF(A92="","",COUNTIF(Catálogo!$C$5:$C$304,A92))</f>
        <v/>
      </c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25"/>
      <c r="H93" s="25"/>
      <c r="I93" s="29"/>
      <c r="J93" s="21"/>
      <c r="K93" s="28" t="str">
        <f aca="false">IF(A93="","",SUMIFS(Vendas!$I$5:$I$304,Vendas!$C$5:$C$304,A93)*I93)</f>
        <v/>
      </c>
      <c r="L93" s="22" t="str">
        <f aca="false">IF(A93="","",MAX(0,K93-J93))</f>
        <v/>
      </c>
      <c r="M93" s="30" t="str">
        <f aca="false">IF(A93="","",COUNTIF(Catálogo!$C$5:$C$304,A93))</f>
        <v/>
      </c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25"/>
      <c r="H94" s="25"/>
      <c r="I94" s="29"/>
      <c r="J94" s="21"/>
      <c r="K94" s="28" t="str">
        <f aca="false">IF(A94="","",SUMIFS(Vendas!$I$5:$I$304,Vendas!$C$5:$C$304,A94)*I94)</f>
        <v/>
      </c>
      <c r="L94" s="22" t="str">
        <f aca="false">IF(A94="","",MAX(0,K94-J94))</f>
        <v/>
      </c>
      <c r="M94" s="30" t="str">
        <f aca="false">IF(A94="","",COUNTIF(Catálogo!$C$5:$C$304,A94))</f>
        <v/>
      </c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25"/>
      <c r="H95" s="25"/>
      <c r="I95" s="29"/>
      <c r="J95" s="21"/>
      <c r="K95" s="28" t="str">
        <f aca="false">IF(A95="","",SUMIFS(Vendas!$I$5:$I$304,Vendas!$C$5:$C$304,A95)*I95)</f>
        <v/>
      </c>
      <c r="L95" s="22" t="str">
        <f aca="false">IF(A95="","",MAX(0,K95-J95))</f>
        <v/>
      </c>
      <c r="M95" s="30" t="str">
        <f aca="false">IF(A95="","",COUNTIF(Catálogo!$C$5:$C$304,A95))</f>
        <v/>
      </c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25"/>
      <c r="H96" s="25"/>
      <c r="I96" s="29"/>
      <c r="J96" s="21"/>
      <c r="K96" s="28" t="str">
        <f aca="false">IF(A96="","",SUMIFS(Vendas!$I$5:$I$304,Vendas!$C$5:$C$304,A96)*I96)</f>
        <v/>
      </c>
      <c r="L96" s="22" t="str">
        <f aca="false">IF(A96="","",MAX(0,K96-J96))</f>
        <v/>
      </c>
      <c r="M96" s="30" t="str">
        <f aca="false">IF(A96="","",COUNTIF(Catálogo!$C$5:$C$304,A96))</f>
        <v/>
      </c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25"/>
      <c r="H97" s="25"/>
      <c r="I97" s="29"/>
      <c r="J97" s="21"/>
      <c r="K97" s="28" t="str">
        <f aca="false">IF(A97="","",SUMIFS(Vendas!$I$5:$I$304,Vendas!$C$5:$C$304,A97)*I97)</f>
        <v/>
      </c>
      <c r="L97" s="22" t="str">
        <f aca="false">IF(A97="","",MAX(0,K97-J97))</f>
        <v/>
      </c>
      <c r="M97" s="30" t="str">
        <f aca="false">IF(A97="","",COUNTIF(Catálogo!$C$5:$C$304,A97))</f>
        <v/>
      </c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25"/>
      <c r="H98" s="25"/>
      <c r="I98" s="29"/>
      <c r="J98" s="21"/>
      <c r="K98" s="28" t="str">
        <f aca="false">IF(A98="","",SUMIFS(Vendas!$I$5:$I$304,Vendas!$C$5:$C$304,A98)*I98)</f>
        <v/>
      </c>
      <c r="L98" s="22" t="str">
        <f aca="false">IF(A98="","",MAX(0,K98-J98))</f>
        <v/>
      </c>
      <c r="M98" s="30" t="str">
        <f aca="false">IF(A98="","",COUNTIF(Catálogo!$C$5:$C$304,A98))</f>
        <v/>
      </c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25"/>
      <c r="H99" s="25"/>
      <c r="I99" s="29"/>
      <c r="J99" s="21"/>
      <c r="K99" s="28" t="str">
        <f aca="false">IF(A99="","",SUMIFS(Vendas!$I$5:$I$304,Vendas!$C$5:$C$304,A99)*I99)</f>
        <v/>
      </c>
      <c r="L99" s="22" t="str">
        <f aca="false">IF(A99="","",MAX(0,K99-J99))</f>
        <v/>
      </c>
      <c r="M99" s="30" t="str">
        <f aca="false">IF(A99="","",COUNTIF(Catálogo!$C$5:$C$304,A99))</f>
        <v/>
      </c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25"/>
      <c r="H100" s="25"/>
      <c r="I100" s="29"/>
      <c r="J100" s="21"/>
      <c r="K100" s="28" t="str">
        <f aca="false">IF(A100="","",SUMIFS(Vendas!$I$5:$I$304,Vendas!$C$5:$C$304,A100)*I100)</f>
        <v/>
      </c>
      <c r="L100" s="22" t="str">
        <f aca="false">IF(A100="","",MAX(0,K100-J100))</f>
        <v/>
      </c>
      <c r="M100" s="30" t="str">
        <f aca="false">IF(A100="","",COUNTIF(Catálogo!$C$5:$C$304,A100))</f>
        <v/>
      </c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25"/>
      <c r="H101" s="25"/>
      <c r="I101" s="29"/>
      <c r="J101" s="21"/>
      <c r="K101" s="28" t="str">
        <f aca="false">IF(A101="","",SUMIFS(Vendas!$I$5:$I$304,Vendas!$C$5:$C$304,A101)*I101)</f>
        <v/>
      </c>
      <c r="L101" s="22" t="str">
        <f aca="false">IF(A101="","",MAX(0,K101-J101))</f>
        <v/>
      </c>
      <c r="M101" s="30" t="str">
        <f aca="false">IF(A101="","",COUNTIF(Catálogo!$C$5:$C$304,A101))</f>
        <v/>
      </c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25"/>
      <c r="H102" s="25"/>
      <c r="I102" s="29"/>
      <c r="J102" s="21"/>
      <c r="K102" s="28" t="str">
        <f aca="false">IF(A102="","",SUMIFS(Vendas!$I$5:$I$304,Vendas!$C$5:$C$304,A102)*I102)</f>
        <v/>
      </c>
      <c r="L102" s="22" t="str">
        <f aca="false">IF(A102="","",MAX(0,K102-J102))</f>
        <v/>
      </c>
      <c r="M102" s="30" t="str">
        <f aca="false">IF(A102="","",COUNTIF(Catálogo!$C$5:$C$304,A102))</f>
        <v/>
      </c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25"/>
      <c r="H103" s="25"/>
      <c r="I103" s="29"/>
      <c r="J103" s="21"/>
      <c r="K103" s="28" t="str">
        <f aca="false">IF(A103="","",SUMIFS(Vendas!$I$5:$I$304,Vendas!$C$5:$C$304,A103)*I103)</f>
        <v/>
      </c>
      <c r="L103" s="22" t="str">
        <f aca="false">IF(A103="","",MAX(0,K103-J103))</f>
        <v/>
      </c>
      <c r="M103" s="30" t="str">
        <f aca="false">IF(A103="","",COUNTIF(Catálogo!$C$5:$C$304,A103))</f>
        <v/>
      </c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25"/>
      <c r="H104" s="25"/>
      <c r="I104" s="29"/>
      <c r="J104" s="21"/>
      <c r="K104" s="28" t="str">
        <f aca="false">IF(A104="","",SUMIFS(Vendas!$I$5:$I$304,Vendas!$C$5:$C$304,A104)*I104)</f>
        <v/>
      </c>
      <c r="L104" s="22" t="str">
        <f aca="false">IF(A104="","",MAX(0,K104-J104))</f>
        <v/>
      </c>
      <c r="M104" s="30" t="str">
        <f aca="false">IF(A104="","",COUNTIF(Catálogo!$C$5:$C$304,A104))</f>
        <v/>
      </c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25"/>
      <c r="H105" s="25"/>
      <c r="I105" s="29"/>
      <c r="J105" s="21"/>
      <c r="K105" s="28" t="str">
        <f aca="false">IF(A105="","",SUMIFS(Vendas!$I$5:$I$304,Vendas!$C$5:$C$304,A105)*I105)</f>
        <v/>
      </c>
      <c r="L105" s="22" t="str">
        <f aca="false">IF(A105="","",MAX(0,K105-J105))</f>
        <v/>
      </c>
      <c r="M105" s="30" t="str">
        <f aca="false">IF(A105="","",COUNTIF(Catálogo!$C$5:$C$304,A105))</f>
        <v/>
      </c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25"/>
      <c r="H106" s="25"/>
      <c r="I106" s="29"/>
      <c r="J106" s="21"/>
      <c r="K106" s="28" t="str">
        <f aca="false">IF(A106="","",SUMIFS(Vendas!$I$5:$I$304,Vendas!$C$5:$C$304,A106)*I106)</f>
        <v/>
      </c>
      <c r="L106" s="22" t="str">
        <f aca="false">IF(A106="","",MAX(0,K106-J106))</f>
        <v/>
      </c>
      <c r="M106" s="30" t="str">
        <f aca="false">IF(A106="","",COUNTIF(Catálogo!$C$5:$C$304,A106))</f>
        <v/>
      </c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25"/>
      <c r="H107" s="25"/>
      <c r="I107" s="29"/>
      <c r="J107" s="21"/>
      <c r="K107" s="28" t="str">
        <f aca="false">IF(A107="","",SUMIFS(Vendas!$I$5:$I$304,Vendas!$C$5:$C$304,A107)*I107)</f>
        <v/>
      </c>
      <c r="L107" s="22" t="str">
        <f aca="false">IF(A107="","",MAX(0,K107-J107))</f>
        <v/>
      </c>
      <c r="M107" s="30" t="str">
        <f aca="false">IF(A107="","",COUNTIF(Catálogo!$C$5:$C$304,A107))</f>
        <v/>
      </c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25"/>
      <c r="H108" s="25"/>
      <c r="I108" s="29"/>
      <c r="J108" s="21"/>
      <c r="K108" s="28" t="str">
        <f aca="false">IF(A108="","",SUMIFS(Vendas!$I$5:$I$304,Vendas!$C$5:$C$304,A108)*I108)</f>
        <v/>
      </c>
      <c r="L108" s="22" t="str">
        <f aca="false">IF(A108="","",MAX(0,K108-J108))</f>
        <v/>
      </c>
      <c r="M108" s="30" t="str">
        <f aca="false">IF(A108="","",COUNTIF(Catálogo!$C$5:$C$304,A108))</f>
        <v/>
      </c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25"/>
      <c r="H109" s="25"/>
      <c r="I109" s="29"/>
      <c r="J109" s="21"/>
      <c r="K109" s="28" t="str">
        <f aca="false">IF(A109="","",SUMIFS(Vendas!$I$5:$I$304,Vendas!$C$5:$C$304,A109)*I109)</f>
        <v/>
      </c>
      <c r="L109" s="22" t="str">
        <f aca="false">IF(A109="","",MAX(0,K109-J109))</f>
        <v/>
      </c>
      <c r="M109" s="30" t="str">
        <f aca="false">IF(A109="","",COUNTIF(Catálogo!$C$5:$C$304,A109))</f>
        <v/>
      </c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25"/>
      <c r="H110" s="25"/>
      <c r="I110" s="29"/>
      <c r="J110" s="21"/>
      <c r="K110" s="28" t="str">
        <f aca="false">IF(A110="","",SUMIFS(Vendas!$I$5:$I$304,Vendas!$C$5:$C$304,A110)*I110)</f>
        <v/>
      </c>
      <c r="L110" s="22" t="str">
        <f aca="false">IF(A110="","",MAX(0,K110-J110))</f>
        <v/>
      </c>
      <c r="M110" s="30" t="str">
        <f aca="false">IF(A110="","",COUNTIF(Catálogo!$C$5:$C$304,A110))</f>
        <v/>
      </c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25"/>
      <c r="H111" s="25"/>
      <c r="I111" s="29"/>
      <c r="J111" s="21"/>
      <c r="K111" s="28" t="str">
        <f aca="false">IF(A111="","",SUMIFS(Vendas!$I$5:$I$304,Vendas!$C$5:$C$304,A111)*I111)</f>
        <v/>
      </c>
      <c r="L111" s="22" t="str">
        <f aca="false">IF(A111="","",MAX(0,K111-J111))</f>
        <v/>
      </c>
      <c r="M111" s="30" t="str">
        <f aca="false">IF(A111="","",COUNTIF(Catálogo!$C$5:$C$304,A111))</f>
        <v/>
      </c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25"/>
      <c r="H112" s="25"/>
      <c r="I112" s="29"/>
      <c r="J112" s="21"/>
      <c r="K112" s="28" t="str">
        <f aca="false">IF(A112="","",SUMIFS(Vendas!$I$5:$I$304,Vendas!$C$5:$C$304,A112)*I112)</f>
        <v/>
      </c>
      <c r="L112" s="22" t="str">
        <f aca="false">IF(A112="","",MAX(0,K112-J112))</f>
        <v/>
      </c>
      <c r="M112" s="30" t="str">
        <f aca="false">IF(A112="","",COUNTIF(Catálogo!$C$5:$C$304,A112))</f>
        <v/>
      </c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25"/>
      <c r="H113" s="25"/>
      <c r="I113" s="29"/>
      <c r="J113" s="21"/>
      <c r="K113" s="28" t="str">
        <f aca="false">IF(A113="","",SUMIFS(Vendas!$I$5:$I$304,Vendas!$C$5:$C$304,A113)*I113)</f>
        <v/>
      </c>
      <c r="L113" s="22" t="str">
        <f aca="false">IF(A113="","",MAX(0,K113-J113))</f>
        <v/>
      </c>
      <c r="M113" s="30" t="str">
        <f aca="false">IF(A113="","",COUNTIF(Catálogo!$C$5:$C$304,A113))</f>
        <v/>
      </c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25"/>
      <c r="H114" s="25"/>
      <c r="I114" s="29"/>
      <c r="J114" s="21"/>
      <c r="K114" s="28" t="str">
        <f aca="false">IF(A114="","",SUMIFS(Vendas!$I$5:$I$304,Vendas!$C$5:$C$304,A114)*I114)</f>
        <v/>
      </c>
      <c r="L114" s="22" t="str">
        <f aca="false">IF(A114="","",MAX(0,K114-J114))</f>
        <v/>
      </c>
      <c r="M114" s="30" t="str">
        <f aca="false">IF(A114="","",COUNTIF(Catálogo!$C$5:$C$304,A114))</f>
        <v/>
      </c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25"/>
      <c r="H115" s="25"/>
      <c r="I115" s="29"/>
      <c r="J115" s="21"/>
      <c r="K115" s="28" t="str">
        <f aca="false">IF(A115="","",SUMIFS(Vendas!$I$5:$I$304,Vendas!$C$5:$C$304,A115)*I115)</f>
        <v/>
      </c>
      <c r="L115" s="22" t="str">
        <f aca="false">IF(A115="","",MAX(0,K115-J115))</f>
        <v/>
      </c>
      <c r="M115" s="30" t="str">
        <f aca="false">IF(A115="","",COUNTIF(Catálogo!$C$5:$C$304,A115))</f>
        <v/>
      </c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25"/>
      <c r="H116" s="25"/>
      <c r="I116" s="29"/>
      <c r="J116" s="21"/>
      <c r="K116" s="28" t="str">
        <f aca="false">IF(A116="","",SUMIFS(Vendas!$I$5:$I$304,Vendas!$C$5:$C$304,A116)*I116)</f>
        <v/>
      </c>
      <c r="L116" s="22" t="str">
        <f aca="false">IF(A116="","",MAX(0,K116-J116))</f>
        <v/>
      </c>
      <c r="M116" s="30" t="str">
        <f aca="false">IF(A116="","",COUNTIF(Catálogo!$C$5:$C$304,A116))</f>
        <v/>
      </c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25"/>
      <c r="H117" s="25"/>
      <c r="I117" s="29"/>
      <c r="J117" s="21"/>
      <c r="K117" s="28" t="str">
        <f aca="false">IF(A117="","",SUMIFS(Vendas!$I$5:$I$304,Vendas!$C$5:$C$304,A117)*I117)</f>
        <v/>
      </c>
      <c r="L117" s="22" t="str">
        <f aca="false">IF(A117="","",MAX(0,K117-J117))</f>
        <v/>
      </c>
      <c r="M117" s="30" t="str">
        <f aca="false">IF(A117="","",COUNTIF(Catálogo!$C$5:$C$304,A117))</f>
        <v/>
      </c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25"/>
      <c r="H118" s="25"/>
      <c r="I118" s="29"/>
      <c r="J118" s="21"/>
      <c r="K118" s="28" t="str">
        <f aca="false">IF(A118="","",SUMIFS(Vendas!$I$5:$I$304,Vendas!$C$5:$C$304,A118)*I118)</f>
        <v/>
      </c>
      <c r="L118" s="22" t="str">
        <f aca="false">IF(A118="","",MAX(0,K118-J118))</f>
        <v/>
      </c>
      <c r="M118" s="30" t="str">
        <f aca="false">IF(A118="","",COUNTIF(Catálogo!$C$5:$C$304,A118))</f>
        <v/>
      </c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25"/>
      <c r="H119" s="25"/>
      <c r="I119" s="29"/>
      <c r="J119" s="21"/>
      <c r="K119" s="28" t="str">
        <f aca="false">IF(A119="","",SUMIFS(Vendas!$I$5:$I$304,Vendas!$C$5:$C$304,A119)*I119)</f>
        <v/>
      </c>
      <c r="L119" s="22" t="str">
        <f aca="false">IF(A119="","",MAX(0,K119-J119))</f>
        <v/>
      </c>
      <c r="M119" s="30" t="str">
        <f aca="false">IF(A119="","",COUNTIF(Catálogo!$C$5:$C$304,A119))</f>
        <v/>
      </c>
      <c r="N119" s="1"/>
      <c r="O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25"/>
      <c r="H120" s="25"/>
      <c r="I120" s="29"/>
      <c r="J120" s="21"/>
      <c r="K120" s="28" t="str">
        <f aca="false">IF(A120="","",SUMIFS(Vendas!$I$5:$I$304,Vendas!$C$5:$C$304,A120)*I120)</f>
        <v/>
      </c>
      <c r="L120" s="22" t="str">
        <f aca="false">IF(A120="","",MAX(0,K120-J120))</f>
        <v/>
      </c>
      <c r="M120" s="30" t="str">
        <f aca="false">IF(A120="","",COUNTIF(Catálogo!$C$5:$C$304,A120))</f>
        <v/>
      </c>
      <c r="N120" s="1"/>
      <c r="O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25"/>
      <c r="H121" s="25"/>
      <c r="I121" s="29"/>
      <c r="J121" s="21"/>
      <c r="K121" s="28" t="str">
        <f aca="false">IF(A121="","",SUMIFS(Vendas!$I$5:$I$304,Vendas!$C$5:$C$304,A121)*I121)</f>
        <v/>
      </c>
      <c r="L121" s="22" t="str">
        <f aca="false">IF(A121="","",MAX(0,K121-J121))</f>
        <v/>
      </c>
      <c r="M121" s="30" t="str">
        <f aca="false">IF(A121="","",COUNTIF(Catálogo!$C$5:$C$304,A121))</f>
        <v/>
      </c>
      <c r="N121" s="1"/>
      <c r="O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25"/>
      <c r="H122" s="25"/>
      <c r="I122" s="29"/>
      <c r="J122" s="21"/>
      <c r="K122" s="28" t="str">
        <f aca="false">IF(A122="","",SUMIFS(Vendas!$I$5:$I$304,Vendas!$C$5:$C$304,A122)*I122)</f>
        <v/>
      </c>
      <c r="L122" s="22" t="str">
        <f aca="false">IF(A122="","",MAX(0,K122-J122))</f>
        <v/>
      </c>
      <c r="M122" s="30" t="str">
        <f aca="false">IF(A122="","",COUNTIF(Catálogo!$C$5:$C$304,A122))</f>
        <v/>
      </c>
      <c r="N122" s="1"/>
      <c r="O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25"/>
      <c r="H123" s="25"/>
      <c r="I123" s="29"/>
      <c r="J123" s="21"/>
      <c r="K123" s="28" t="str">
        <f aca="false">IF(A123="","",SUMIFS(Vendas!$I$5:$I$304,Vendas!$C$5:$C$304,A123)*I123)</f>
        <v/>
      </c>
      <c r="L123" s="22" t="str">
        <f aca="false">IF(A123="","",MAX(0,K123-J123))</f>
        <v/>
      </c>
      <c r="M123" s="30" t="str">
        <f aca="false">IF(A123="","",COUNTIF(Catálogo!$C$5:$C$304,A123))</f>
        <v/>
      </c>
      <c r="N123" s="1"/>
      <c r="O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25"/>
      <c r="H124" s="25"/>
      <c r="I124" s="29"/>
      <c r="J124" s="21"/>
      <c r="K124" s="28" t="str">
        <f aca="false">IF(A124="","",SUMIFS(Vendas!$I$5:$I$304,Vendas!$C$5:$C$304,A124)*I124)</f>
        <v/>
      </c>
      <c r="L124" s="22" t="str">
        <f aca="false">IF(A124="","",MAX(0,K124-J124))</f>
        <v/>
      </c>
      <c r="M124" s="30" t="str">
        <f aca="false">IF(A124="","",COUNTIF(Catálogo!$C$5:$C$304,A124))</f>
        <v/>
      </c>
      <c r="N124" s="1"/>
      <c r="O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25"/>
      <c r="H125" s="25"/>
      <c r="I125" s="29"/>
      <c r="J125" s="21"/>
      <c r="K125" s="28" t="str">
        <f aca="false">IF(A125="","",SUMIFS(Vendas!$I$5:$I$304,Vendas!$C$5:$C$304,A125)*I125)</f>
        <v/>
      </c>
      <c r="L125" s="22" t="str">
        <f aca="false">IF(A125="","",MAX(0,K125-J125))</f>
        <v/>
      </c>
      <c r="M125" s="30" t="str">
        <f aca="false">IF(A125="","",COUNTIF(Catálogo!$C$5:$C$304,A125))</f>
        <v/>
      </c>
      <c r="N125" s="1"/>
      <c r="O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25"/>
      <c r="H126" s="25"/>
      <c r="I126" s="29"/>
      <c r="J126" s="21"/>
      <c r="K126" s="28" t="str">
        <f aca="false">IF(A126="","",SUMIFS(Vendas!$I$5:$I$304,Vendas!$C$5:$C$304,A126)*I126)</f>
        <v/>
      </c>
      <c r="L126" s="22" t="str">
        <f aca="false">IF(A126="","",MAX(0,K126-J126))</f>
        <v/>
      </c>
      <c r="M126" s="30" t="str">
        <f aca="false">IF(A126="","",COUNTIF(Catálogo!$C$5:$C$304,A126))</f>
        <v/>
      </c>
      <c r="N126" s="1"/>
      <c r="O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25"/>
      <c r="H127" s="25"/>
      <c r="I127" s="29"/>
      <c r="J127" s="21"/>
      <c r="K127" s="28" t="str">
        <f aca="false">IF(A127="","",SUMIFS(Vendas!$I$5:$I$304,Vendas!$C$5:$C$304,A127)*I127)</f>
        <v/>
      </c>
      <c r="L127" s="22" t="str">
        <f aca="false">IF(A127="","",MAX(0,K127-J127))</f>
        <v/>
      </c>
      <c r="M127" s="30" t="str">
        <f aca="false">IF(A127="","",COUNTIF(Catálogo!$C$5:$C$304,A127))</f>
        <v/>
      </c>
      <c r="N127" s="1"/>
      <c r="O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25"/>
      <c r="H128" s="25"/>
      <c r="I128" s="29"/>
      <c r="J128" s="21"/>
      <c r="K128" s="28" t="str">
        <f aca="false">IF(A128="","",SUMIFS(Vendas!$I$5:$I$304,Vendas!$C$5:$C$304,A128)*I128)</f>
        <v/>
      </c>
      <c r="L128" s="22" t="str">
        <f aca="false">IF(A128="","",MAX(0,K128-J128))</f>
        <v/>
      </c>
      <c r="M128" s="30" t="str">
        <f aca="false">IF(A128="","",COUNTIF(Catálogo!$C$5:$C$304,A128))</f>
        <v/>
      </c>
      <c r="N128" s="1"/>
      <c r="O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25"/>
      <c r="H129" s="25"/>
      <c r="I129" s="29"/>
      <c r="J129" s="21"/>
      <c r="K129" s="28" t="str">
        <f aca="false">IF(A129="","",SUMIFS(Vendas!$I$5:$I$304,Vendas!$C$5:$C$304,A129)*I129)</f>
        <v/>
      </c>
      <c r="L129" s="22" t="str">
        <f aca="false">IF(A129="","",MAX(0,K129-J129))</f>
        <v/>
      </c>
      <c r="M129" s="30" t="str">
        <f aca="false">IF(A129="","",COUNTIF(Catálogo!$C$5:$C$304,A129))</f>
        <v/>
      </c>
      <c r="N129" s="1"/>
      <c r="O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25"/>
      <c r="H130" s="25"/>
      <c r="I130" s="29"/>
      <c r="J130" s="21"/>
      <c r="K130" s="28" t="str">
        <f aca="false">IF(A130="","",SUMIFS(Vendas!$I$5:$I$304,Vendas!$C$5:$C$304,A130)*I130)</f>
        <v/>
      </c>
      <c r="L130" s="22" t="str">
        <f aca="false">IF(A130="","",MAX(0,K130-J130))</f>
        <v/>
      </c>
      <c r="M130" s="30" t="str">
        <f aca="false">IF(A130="","",COUNTIF(Catálogo!$C$5:$C$304,A130))</f>
        <v/>
      </c>
      <c r="N130" s="1"/>
      <c r="O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25"/>
      <c r="H131" s="25"/>
      <c r="I131" s="29"/>
      <c r="J131" s="21"/>
      <c r="K131" s="28" t="str">
        <f aca="false">IF(A131="","",SUMIFS(Vendas!$I$5:$I$304,Vendas!$C$5:$C$304,A131)*I131)</f>
        <v/>
      </c>
      <c r="L131" s="22" t="str">
        <f aca="false">IF(A131="","",MAX(0,K131-J131))</f>
        <v/>
      </c>
      <c r="M131" s="30" t="str">
        <f aca="false">IF(A131="","",COUNTIF(Catálogo!$C$5:$C$304,A131))</f>
        <v/>
      </c>
      <c r="N131" s="1"/>
      <c r="O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25"/>
      <c r="H132" s="25"/>
      <c r="I132" s="29"/>
      <c r="J132" s="21"/>
      <c r="K132" s="28" t="str">
        <f aca="false">IF(A132="","",SUMIFS(Vendas!$I$5:$I$304,Vendas!$C$5:$C$304,A132)*I132)</f>
        <v/>
      </c>
      <c r="L132" s="22" t="str">
        <f aca="false">IF(A132="","",MAX(0,K132-J132))</f>
        <v/>
      </c>
      <c r="M132" s="30" t="str">
        <f aca="false">IF(A132="","",COUNTIF(Catálogo!$C$5:$C$304,A132))</f>
        <v/>
      </c>
      <c r="N132" s="1"/>
      <c r="O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25"/>
      <c r="H133" s="25"/>
      <c r="I133" s="29"/>
      <c r="J133" s="21"/>
      <c r="K133" s="28" t="str">
        <f aca="false">IF(A133="","",SUMIFS(Vendas!$I$5:$I$304,Vendas!$C$5:$C$304,A133)*I133)</f>
        <v/>
      </c>
      <c r="L133" s="22" t="str">
        <f aca="false">IF(A133="","",MAX(0,K133-J133))</f>
        <v/>
      </c>
      <c r="M133" s="30" t="str">
        <f aca="false">IF(A133="","",COUNTIF(Catálogo!$C$5:$C$304,A133))</f>
        <v/>
      </c>
      <c r="N133" s="1"/>
      <c r="O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25"/>
      <c r="H134" s="25"/>
      <c r="I134" s="29"/>
      <c r="J134" s="21"/>
      <c r="K134" s="28" t="str">
        <f aca="false">IF(A134="","",SUMIFS(Vendas!$I$5:$I$304,Vendas!$C$5:$C$304,A134)*I134)</f>
        <v/>
      </c>
      <c r="L134" s="22" t="str">
        <f aca="false">IF(A134="","",MAX(0,K134-J134))</f>
        <v/>
      </c>
      <c r="M134" s="30" t="str">
        <f aca="false">IF(A134="","",COUNTIF(Catálogo!$C$5:$C$304,A134))</f>
        <v/>
      </c>
      <c r="N134" s="1"/>
      <c r="O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25"/>
      <c r="H135" s="25"/>
      <c r="I135" s="29"/>
      <c r="J135" s="21"/>
      <c r="K135" s="28" t="str">
        <f aca="false">IF(A135="","",SUMIFS(Vendas!$I$5:$I$304,Vendas!$C$5:$C$304,A135)*I135)</f>
        <v/>
      </c>
      <c r="L135" s="22" t="str">
        <f aca="false">IF(A135="","",MAX(0,K135-J135))</f>
        <v/>
      </c>
      <c r="M135" s="30" t="str">
        <f aca="false">IF(A135="","",COUNTIF(Catálogo!$C$5:$C$304,A135))</f>
        <v/>
      </c>
      <c r="N135" s="1"/>
      <c r="O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25"/>
      <c r="H136" s="25"/>
      <c r="I136" s="29"/>
      <c r="J136" s="21"/>
      <c r="K136" s="28" t="str">
        <f aca="false">IF(A136="","",SUMIFS(Vendas!$I$5:$I$304,Vendas!$C$5:$C$304,A136)*I136)</f>
        <v/>
      </c>
      <c r="L136" s="22" t="str">
        <f aca="false">IF(A136="","",MAX(0,K136-J136))</f>
        <v/>
      </c>
      <c r="M136" s="30" t="str">
        <f aca="false">IF(A136="","",COUNTIF(Catálogo!$C$5:$C$304,A136))</f>
        <v/>
      </c>
      <c r="N136" s="1"/>
      <c r="O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25"/>
      <c r="H137" s="25"/>
      <c r="I137" s="29"/>
      <c r="J137" s="21"/>
      <c r="K137" s="28" t="str">
        <f aca="false">IF(A137="","",SUMIFS(Vendas!$I$5:$I$304,Vendas!$C$5:$C$304,A137)*I137)</f>
        <v/>
      </c>
      <c r="L137" s="22" t="str">
        <f aca="false">IF(A137="","",MAX(0,K137-J137))</f>
        <v/>
      </c>
      <c r="M137" s="30" t="str">
        <f aca="false">IF(A137="","",COUNTIF(Catálogo!$C$5:$C$304,A137))</f>
        <v/>
      </c>
      <c r="N137" s="1"/>
      <c r="O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25"/>
      <c r="H138" s="25"/>
      <c r="I138" s="29"/>
      <c r="J138" s="21"/>
      <c r="K138" s="28" t="str">
        <f aca="false">IF(A138="","",SUMIFS(Vendas!$I$5:$I$304,Vendas!$C$5:$C$304,A138)*I138)</f>
        <v/>
      </c>
      <c r="L138" s="22" t="str">
        <f aca="false">IF(A138="","",MAX(0,K138-J138))</f>
        <v/>
      </c>
      <c r="M138" s="30" t="str">
        <f aca="false">IF(A138="","",COUNTIF(Catálogo!$C$5:$C$304,A138))</f>
        <v/>
      </c>
      <c r="N138" s="1"/>
      <c r="O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25"/>
      <c r="H139" s="25"/>
      <c r="I139" s="29"/>
      <c r="J139" s="21"/>
      <c r="K139" s="28" t="str">
        <f aca="false">IF(A139="","",SUMIFS(Vendas!$I$5:$I$304,Vendas!$C$5:$C$304,A139)*I139)</f>
        <v/>
      </c>
      <c r="L139" s="22" t="str">
        <f aca="false">IF(A139="","",MAX(0,K139-J139))</f>
        <v/>
      </c>
      <c r="M139" s="30" t="str">
        <f aca="false">IF(A139="","",COUNTIF(Catálogo!$C$5:$C$304,A139))</f>
        <v/>
      </c>
      <c r="N139" s="1"/>
      <c r="O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25"/>
      <c r="H140" s="25"/>
      <c r="I140" s="29"/>
      <c r="J140" s="21"/>
      <c r="K140" s="28" t="str">
        <f aca="false">IF(A140="","",SUMIFS(Vendas!$I$5:$I$304,Vendas!$C$5:$C$304,A140)*I140)</f>
        <v/>
      </c>
      <c r="L140" s="22" t="str">
        <f aca="false">IF(A140="","",MAX(0,K140-J140))</f>
        <v/>
      </c>
      <c r="M140" s="30" t="str">
        <f aca="false">IF(A140="","",COUNTIF(Catálogo!$C$5:$C$304,A140))</f>
        <v/>
      </c>
      <c r="N140" s="1"/>
      <c r="O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25"/>
      <c r="H141" s="25"/>
      <c r="I141" s="29"/>
      <c r="J141" s="21"/>
      <c r="K141" s="28" t="str">
        <f aca="false">IF(A141="","",SUMIFS(Vendas!$I$5:$I$304,Vendas!$C$5:$C$304,A141)*I141)</f>
        <v/>
      </c>
      <c r="L141" s="22" t="str">
        <f aca="false">IF(A141="","",MAX(0,K141-J141))</f>
        <v/>
      </c>
      <c r="M141" s="30" t="str">
        <f aca="false">IF(A141="","",COUNTIF(Catálogo!$C$5:$C$304,A141))</f>
        <v/>
      </c>
      <c r="N141" s="1"/>
      <c r="O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25"/>
      <c r="H142" s="25"/>
      <c r="I142" s="29"/>
      <c r="J142" s="21"/>
      <c r="K142" s="28" t="str">
        <f aca="false">IF(A142="","",SUMIFS(Vendas!$I$5:$I$304,Vendas!$C$5:$C$304,A142)*I142)</f>
        <v/>
      </c>
      <c r="L142" s="22" t="str">
        <f aca="false">IF(A142="","",MAX(0,K142-J142))</f>
        <v/>
      </c>
      <c r="M142" s="30" t="str">
        <f aca="false">IF(A142="","",COUNTIF(Catálogo!$C$5:$C$304,A142))</f>
        <v/>
      </c>
      <c r="N142" s="1"/>
      <c r="O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25"/>
      <c r="H143" s="25"/>
      <c r="I143" s="29"/>
      <c r="J143" s="21"/>
      <c r="K143" s="28" t="str">
        <f aca="false">IF(A143="","",SUMIFS(Vendas!$I$5:$I$304,Vendas!$C$5:$C$304,A143)*I143)</f>
        <v/>
      </c>
      <c r="L143" s="22" t="str">
        <f aca="false">IF(A143="","",MAX(0,K143-J143))</f>
        <v/>
      </c>
      <c r="M143" s="30" t="str">
        <f aca="false">IF(A143="","",COUNTIF(Catálogo!$C$5:$C$304,A143))</f>
        <v/>
      </c>
      <c r="N143" s="1"/>
      <c r="O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25"/>
      <c r="H144" s="25"/>
      <c r="I144" s="29"/>
      <c r="J144" s="21"/>
      <c r="K144" s="28" t="str">
        <f aca="false">IF(A144="","",SUMIFS(Vendas!$I$5:$I$304,Vendas!$C$5:$C$304,A144)*I144)</f>
        <v/>
      </c>
      <c r="L144" s="22" t="str">
        <f aca="false">IF(A144="","",MAX(0,K144-J144))</f>
        <v/>
      </c>
      <c r="M144" s="30" t="str">
        <f aca="false">IF(A144="","",COUNTIF(Catálogo!$C$5:$C$304,A144))</f>
        <v/>
      </c>
      <c r="N144" s="1"/>
      <c r="O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25"/>
      <c r="H145" s="25"/>
      <c r="I145" s="29"/>
      <c r="J145" s="21"/>
      <c r="K145" s="28" t="str">
        <f aca="false">IF(A145="","",SUMIFS(Vendas!$I$5:$I$304,Vendas!$C$5:$C$304,A145)*I145)</f>
        <v/>
      </c>
      <c r="L145" s="22" t="str">
        <f aca="false">IF(A145="","",MAX(0,K145-J145))</f>
        <v/>
      </c>
      <c r="M145" s="30" t="str">
        <f aca="false">IF(A145="","",COUNTIF(Catálogo!$C$5:$C$304,A145))</f>
        <v/>
      </c>
      <c r="N145" s="1"/>
      <c r="O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25"/>
      <c r="H146" s="25"/>
      <c r="I146" s="29"/>
      <c r="J146" s="21"/>
      <c r="K146" s="28" t="str">
        <f aca="false">IF(A146="","",SUMIFS(Vendas!$I$5:$I$304,Vendas!$C$5:$C$304,A146)*I146)</f>
        <v/>
      </c>
      <c r="L146" s="22" t="str">
        <f aca="false">IF(A146="","",MAX(0,K146-J146))</f>
        <v/>
      </c>
      <c r="M146" s="30" t="str">
        <f aca="false">IF(A146="","",COUNTIF(Catálogo!$C$5:$C$304,A146))</f>
        <v/>
      </c>
      <c r="N146" s="1"/>
      <c r="O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25"/>
      <c r="H147" s="25"/>
      <c r="I147" s="29"/>
      <c r="J147" s="21"/>
      <c r="K147" s="28" t="str">
        <f aca="false">IF(A147="","",SUMIFS(Vendas!$I$5:$I$304,Vendas!$C$5:$C$304,A147)*I147)</f>
        <v/>
      </c>
      <c r="L147" s="22" t="str">
        <f aca="false">IF(A147="","",MAX(0,K147-J147))</f>
        <v/>
      </c>
      <c r="M147" s="30" t="str">
        <f aca="false">IF(A147="","",COUNTIF(Catálogo!$C$5:$C$304,A147))</f>
        <v/>
      </c>
      <c r="N147" s="1"/>
      <c r="O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25"/>
      <c r="H148" s="25"/>
      <c r="I148" s="29"/>
      <c r="J148" s="21"/>
      <c r="K148" s="28" t="str">
        <f aca="false">IF(A148="","",SUMIFS(Vendas!$I$5:$I$304,Vendas!$C$5:$C$304,A148)*I148)</f>
        <v/>
      </c>
      <c r="L148" s="22" t="str">
        <f aca="false">IF(A148="","",MAX(0,K148-J148))</f>
        <v/>
      </c>
      <c r="M148" s="30" t="str">
        <f aca="false">IF(A148="","",COUNTIF(Catálogo!$C$5:$C$304,A148))</f>
        <v/>
      </c>
      <c r="N148" s="1"/>
      <c r="O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25"/>
      <c r="H149" s="25"/>
      <c r="I149" s="29"/>
      <c r="J149" s="21"/>
      <c r="K149" s="28" t="str">
        <f aca="false">IF(A149="","",SUMIFS(Vendas!$I$5:$I$304,Vendas!$C$5:$C$304,A149)*I149)</f>
        <v/>
      </c>
      <c r="L149" s="22" t="str">
        <f aca="false">IF(A149="","",MAX(0,K149-J149))</f>
        <v/>
      </c>
      <c r="M149" s="30" t="str">
        <f aca="false">IF(A149="","",COUNTIF(Catálogo!$C$5:$C$304,A149))</f>
        <v/>
      </c>
      <c r="N149" s="1"/>
      <c r="O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25"/>
      <c r="H150" s="25"/>
      <c r="I150" s="29"/>
      <c r="J150" s="21"/>
      <c r="K150" s="28" t="str">
        <f aca="false">IF(A150="","",SUMIFS(Vendas!$I$5:$I$304,Vendas!$C$5:$C$304,A150)*I150)</f>
        <v/>
      </c>
      <c r="L150" s="22" t="str">
        <f aca="false">IF(A150="","",MAX(0,K150-J150))</f>
        <v/>
      </c>
      <c r="M150" s="30" t="str">
        <f aca="false">IF(A150="","",COUNTIF(Catálogo!$C$5:$C$304,A150))</f>
        <v/>
      </c>
      <c r="N150" s="1"/>
      <c r="O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25"/>
      <c r="H151" s="25"/>
      <c r="I151" s="29"/>
      <c r="J151" s="21"/>
      <c r="K151" s="28" t="str">
        <f aca="false">IF(A151="","",SUMIFS(Vendas!$I$5:$I$304,Vendas!$C$5:$C$304,A151)*I151)</f>
        <v/>
      </c>
      <c r="L151" s="22" t="str">
        <f aca="false">IF(A151="","",MAX(0,K151-J151))</f>
        <v/>
      </c>
      <c r="M151" s="30" t="str">
        <f aca="false">IF(A151="","",COUNTIF(Catálogo!$C$5:$C$304,A151))</f>
        <v/>
      </c>
      <c r="N151" s="1"/>
      <c r="O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25"/>
      <c r="H152" s="25"/>
      <c r="I152" s="29"/>
      <c r="J152" s="21"/>
      <c r="K152" s="28" t="str">
        <f aca="false">IF(A152="","",SUMIFS(Vendas!$I$5:$I$304,Vendas!$C$5:$C$304,A152)*I152)</f>
        <v/>
      </c>
      <c r="L152" s="22" t="str">
        <f aca="false">IF(A152="","",MAX(0,K152-J152))</f>
        <v/>
      </c>
      <c r="M152" s="30" t="str">
        <f aca="false">IF(A152="","",COUNTIF(Catálogo!$C$5:$C$304,A152))</f>
        <v/>
      </c>
      <c r="N152" s="1"/>
      <c r="O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25"/>
      <c r="H153" s="25"/>
      <c r="I153" s="29"/>
      <c r="J153" s="21"/>
      <c r="K153" s="28" t="str">
        <f aca="false">IF(A153="","",SUMIFS(Vendas!$I$5:$I$304,Vendas!$C$5:$C$304,A153)*I153)</f>
        <v/>
      </c>
      <c r="L153" s="22" t="str">
        <f aca="false">IF(A153="","",MAX(0,K153-J153))</f>
        <v/>
      </c>
      <c r="M153" s="30" t="str">
        <f aca="false">IF(A153="","",COUNTIF(Catálogo!$C$5:$C$304,A153))</f>
        <v/>
      </c>
      <c r="N153" s="1"/>
      <c r="O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25"/>
      <c r="H154" s="25"/>
      <c r="I154" s="29"/>
      <c r="J154" s="21"/>
      <c r="K154" s="28" t="str">
        <f aca="false">IF(A154="","",SUMIFS(Vendas!$I$5:$I$304,Vendas!$C$5:$C$304,A154)*I154)</f>
        <v/>
      </c>
      <c r="L154" s="22" t="str">
        <f aca="false">IF(A154="","",MAX(0,K154-J154))</f>
        <v/>
      </c>
      <c r="M154" s="30" t="str">
        <f aca="false">IF(A154="","",COUNTIF(Catálogo!$C$5:$C$304,A154))</f>
        <v/>
      </c>
      <c r="N154" s="1"/>
      <c r="O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25"/>
      <c r="H155" s="25"/>
      <c r="I155" s="29"/>
      <c r="J155" s="21"/>
      <c r="K155" s="28" t="str">
        <f aca="false">IF(A155="","",SUMIFS(Vendas!$I$5:$I$304,Vendas!$C$5:$C$304,A155)*I155)</f>
        <v/>
      </c>
      <c r="L155" s="22" t="str">
        <f aca="false">IF(A155="","",MAX(0,K155-J155))</f>
        <v/>
      </c>
      <c r="M155" s="30" t="str">
        <f aca="false">IF(A155="","",COUNTIF(Catálogo!$C$5:$C$304,A155))</f>
        <v/>
      </c>
      <c r="N155" s="1"/>
      <c r="O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25"/>
      <c r="H156" s="25"/>
      <c r="I156" s="29"/>
      <c r="J156" s="21"/>
      <c r="K156" s="28" t="str">
        <f aca="false">IF(A156="","",SUMIFS(Vendas!$I$5:$I$304,Vendas!$C$5:$C$304,A156)*I156)</f>
        <v/>
      </c>
      <c r="L156" s="22" t="str">
        <f aca="false">IF(A156="","",MAX(0,K156-J156))</f>
        <v/>
      </c>
      <c r="M156" s="30" t="str">
        <f aca="false">IF(A156="","",COUNTIF(Catálogo!$C$5:$C$304,A156))</f>
        <v/>
      </c>
      <c r="N156" s="1"/>
      <c r="O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25"/>
      <c r="H157" s="25"/>
      <c r="I157" s="29"/>
      <c r="J157" s="21"/>
      <c r="K157" s="28" t="str">
        <f aca="false">IF(A157="","",SUMIFS(Vendas!$I$5:$I$304,Vendas!$C$5:$C$304,A157)*I157)</f>
        <v/>
      </c>
      <c r="L157" s="22" t="str">
        <f aca="false">IF(A157="","",MAX(0,K157-J157))</f>
        <v/>
      </c>
      <c r="M157" s="30" t="str">
        <f aca="false">IF(A157="","",COUNTIF(Catálogo!$C$5:$C$304,A157))</f>
        <v/>
      </c>
      <c r="N157" s="1"/>
      <c r="O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25"/>
      <c r="H158" s="25"/>
      <c r="I158" s="29"/>
      <c r="J158" s="21"/>
      <c r="K158" s="28" t="str">
        <f aca="false">IF(A158="","",SUMIFS(Vendas!$I$5:$I$304,Vendas!$C$5:$C$304,A158)*I158)</f>
        <v/>
      </c>
      <c r="L158" s="22" t="str">
        <f aca="false">IF(A158="","",MAX(0,K158-J158))</f>
        <v/>
      </c>
      <c r="M158" s="30" t="str">
        <f aca="false">IF(A158="","",COUNTIF(Catálogo!$C$5:$C$304,A158))</f>
        <v/>
      </c>
      <c r="N158" s="1"/>
      <c r="O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25"/>
      <c r="H159" s="25"/>
      <c r="I159" s="29"/>
      <c r="J159" s="21"/>
      <c r="K159" s="28" t="str">
        <f aca="false">IF(A159="","",SUMIFS(Vendas!$I$5:$I$304,Vendas!$C$5:$C$304,A159)*I159)</f>
        <v/>
      </c>
      <c r="L159" s="22" t="str">
        <f aca="false">IF(A159="","",MAX(0,K159-J159))</f>
        <v/>
      </c>
      <c r="M159" s="30" t="str">
        <f aca="false">IF(A159="","",COUNTIF(Catálogo!$C$5:$C$304,A159))</f>
        <v/>
      </c>
      <c r="N159" s="1"/>
      <c r="O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25"/>
      <c r="H160" s="25"/>
      <c r="I160" s="29"/>
      <c r="J160" s="21"/>
      <c r="K160" s="28" t="str">
        <f aca="false">IF(A160="","",SUMIFS(Vendas!$I$5:$I$304,Vendas!$C$5:$C$304,A160)*I160)</f>
        <v/>
      </c>
      <c r="L160" s="22" t="str">
        <f aca="false">IF(A160="","",MAX(0,K160-J160))</f>
        <v/>
      </c>
      <c r="M160" s="30" t="str">
        <f aca="false">IF(A160="","",COUNTIF(Catálogo!$C$5:$C$304,A160))</f>
        <v/>
      </c>
      <c r="N160" s="1"/>
      <c r="O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25"/>
      <c r="H161" s="25"/>
      <c r="I161" s="29"/>
      <c r="J161" s="21"/>
      <c r="K161" s="28" t="str">
        <f aca="false">IF(A161="","",SUMIFS(Vendas!$I$5:$I$304,Vendas!$C$5:$C$304,A161)*I161)</f>
        <v/>
      </c>
      <c r="L161" s="22" t="str">
        <f aca="false">IF(A161="","",MAX(0,K161-J161))</f>
        <v/>
      </c>
      <c r="M161" s="30" t="str">
        <f aca="false">IF(A161="","",COUNTIF(Catálogo!$C$5:$C$304,A161))</f>
        <v/>
      </c>
      <c r="N161" s="1"/>
      <c r="O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25"/>
      <c r="H162" s="25"/>
      <c r="I162" s="29"/>
      <c r="J162" s="21"/>
      <c r="K162" s="28" t="str">
        <f aca="false">IF(A162="","",SUMIFS(Vendas!$I$5:$I$304,Vendas!$C$5:$C$304,A162)*I162)</f>
        <v/>
      </c>
      <c r="L162" s="22" t="str">
        <f aca="false">IF(A162="","",MAX(0,K162-J162))</f>
        <v/>
      </c>
      <c r="M162" s="30" t="str">
        <f aca="false">IF(A162="","",COUNTIF(Catálogo!$C$5:$C$304,A162))</f>
        <v/>
      </c>
      <c r="N162" s="1"/>
      <c r="O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25"/>
      <c r="H163" s="25"/>
      <c r="I163" s="29"/>
      <c r="J163" s="21"/>
      <c r="K163" s="28" t="str">
        <f aca="false">IF(A163="","",SUMIFS(Vendas!$I$5:$I$304,Vendas!$C$5:$C$304,A163)*I163)</f>
        <v/>
      </c>
      <c r="L163" s="22" t="str">
        <f aca="false">IF(A163="","",MAX(0,K163-J163))</f>
        <v/>
      </c>
      <c r="M163" s="30" t="str">
        <f aca="false">IF(A163="","",COUNTIF(Catálogo!$C$5:$C$304,A163))</f>
        <v/>
      </c>
      <c r="N163" s="1"/>
      <c r="O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25"/>
      <c r="H164" s="25"/>
      <c r="I164" s="29"/>
      <c r="J164" s="21"/>
      <c r="K164" s="28" t="str">
        <f aca="false">IF(A164="","",SUMIFS(Vendas!$I$5:$I$304,Vendas!$C$5:$C$304,A164)*I164)</f>
        <v/>
      </c>
      <c r="L164" s="22" t="str">
        <f aca="false">IF(A164="","",MAX(0,K164-J164))</f>
        <v/>
      </c>
      <c r="M164" s="30" t="str">
        <f aca="false">IF(A164="","",COUNTIF(Catálogo!$C$5:$C$304,A164))</f>
        <v/>
      </c>
      <c r="N164" s="1"/>
      <c r="O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25"/>
      <c r="H165" s="25"/>
      <c r="I165" s="29"/>
      <c r="J165" s="21"/>
      <c r="K165" s="28" t="str">
        <f aca="false">IF(A165="","",SUMIFS(Vendas!$I$5:$I$304,Vendas!$C$5:$C$304,A165)*I165)</f>
        <v/>
      </c>
      <c r="L165" s="22" t="str">
        <f aca="false">IF(A165="","",MAX(0,K165-J165))</f>
        <v/>
      </c>
      <c r="M165" s="30" t="str">
        <f aca="false">IF(A165="","",COUNTIF(Catálogo!$C$5:$C$304,A165))</f>
        <v/>
      </c>
      <c r="N165" s="1"/>
      <c r="O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25"/>
      <c r="H166" s="25"/>
      <c r="I166" s="29"/>
      <c r="J166" s="21"/>
      <c r="K166" s="28" t="str">
        <f aca="false">IF(A166="","",SUMIFS(Vendas!$I$5:$I$304,Vendas!$C$5:$C$304,A166)*I166)</f>
        <v/>
      </c>
      <c r="L166" s="22" t="str">
        <f aca="false">IF(A166="","",MAX(0,K166-J166))</f>
        <v/>
      </c>
      <c r="M166" s="30" t="str">
        <f aca="false">IF(A166="","",COUNTIF(Catálogo!$C$5:$C$304,A166))</f>
        <v/>
      </c>
      <c r="N166" s="1"/>
      <c r="O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25"/>
      <c r="H167" s="25"/>
      <c r="I167" s="29"/>
      <c r="J167" s="21"/>
      <c r="K167" s="28" t="str">
        <f aca="false">IF(A167="","",SUMIFS(Vendas!$I$5:$I$304,Vendas!$C$5:$C$304,A167)*I167)</f>
        <v/>
      </c>
      <c r="L167" s="22" t="str">
        <f aca="false">IF(A167="","",MAX(0,K167-J167))</f>
        <v/>
      </c>
      <c r="M167" s="30" t="str">
        <f aca="false">IF(A167="","",COUNTIF(Catálogo!$C$5:$C$304,A167))</f>
        <v/>
      </c>
      <c r="N167" s="1"/>
      <c r="O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25"/>
      <c r="H168" s="25"/>
      <c r="I168" s="29"/>
      <c r="J168" s="21"/>
      <c r="K168" s="28" t="str">
        <f aca="false">IF(A168="","",SUMIFS(Vendas!$I$5:$I$304,Vendas!$C$5:$C$304,A168)*I168)</f>
        <v/>
      </c>
      <c r="L168" s="22" t="str">
        <f aca="false">IF(A168="","",MAX(0,K168-J168))</f>
        <v/>
      </c>
      <c r="M168" s="30" t="str">
        <f aca="false">IF(A168="","",COUNTIF(Catálogo!$C$5:$C$304,A168))</f>
        <v/>
      </c>
      <c r="N168" s="1"/>
      <c r="O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25"/>
      <c r="H169" s="25"/>
      <c r="I169" s="29"/>
      <c r="J169" s="21"/>
      <c r="K169" s="28" t="str">
        <f aca="false">IF(A169="","",SUMIFS(Vendas!$I$5:$I$304,Vendas!$C$5:$C$304,A169)*I169)</f>
        <v/>
      </c>
      <c r="L169" s="22" t="str">
        <f aca="false">IF(A169="","",MAX(0,K169-J169))</f>
        <v/>
      </c>
      <c r="M169" s="30" t="str">
        <f aca="false">IF(A169="","",COUNTIF(Catálogo!$C$5:$C$304,A169))</f>
        <v/>
      </c>
      <c r="N169" s="1"/>
      <c r="O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25"/>
      <c r="H170" s="25"/>
      <c r="I170" s="29"/>
      <c r="J170" s="21"/>
      <c r="K170" s="28" t="str">
        <f aca="false">IF(A170="","",SUMIFS(Vendas!$I$5:$I$304,Vendas!$C$5:$C$304,A170)*I170)</f>
        <v/>
      </c>
      <c r="L170" s="22" t="str">
        <f aca="false">IF(A170="","",MAX(0,K170-J170))</f>
        <v/>
      </c>
      <c r="M170" s="30" t="str">
        <f aca="false">IF(A170="","",COUNTIF(Catálogo!$C$5:$C$304,A170))</f>
        <v/>
      </c>
      <c r="N170" s="1"/>
      <c r="O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25"/>
      <c r="H171" s="25"/>
      <c r="I171" s="29"/>
      <c r="J171" s="21"/>
      <c r="K171" s="28" t="str">
        <f aca="false">IF(A171="","",SUMIFS(Vendas!$I$5:$I$304,Vendas!$C$5:$C$304,A171)*I171)</f>
        <v/>
      </c>
      <c r="L171" s="22" t="str">
        <f aca="false">IF(A171="","",MAX(0,K171-J171))</f>
        <v/>
      </c>
      <c r="M171" s="30" t="str">
        <f aca="false">IF(A171="","",COUNTIF(Catálogo!$C$5:$C$304,A171))</f>
        <v/>
      </c>
      <c r="N171" s="1"/>
      <c r="O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25"/>
      <c r="H172" s="25"/>
      <c r="I172" s="29"/>
      <c r="J172" s="21"/>
      <c r="K172" s="28" t="str">
        <f aca="false">IF(A172="","",SUMIFS(Vendas!$I$5:$I$304,Vendas!$C$5:$C$304,A172)*I172)</f>
        <v/>
      </c>
      <c r="L172" s="22" t="str">
        <f aca="false">IF(A172="","",MAX(0,K172-J172))</f>
        <v/>
      </c>
      <c r="M172" s="30" t="str">
        <f aca="false">IF(A172="","",COUNTIF(Catálogo!$C$5:$C$304,A172))</f>
        <v/>
      </c>
      <c r="N172" s="1"/>
      <c r="O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25"/>
      <c r="H173" s="25"/>
      <c r="I173" s="29"/>
      <c r="J173" s="21"/>
      <c r="K173" s="28" t="str">
        <f aca="false">IF(A173="","",SUMIFS(Vendas!$I$5:$I$304,Vendas!$C$5:$C$304,A173)*I173)</f>
        <v/>
      </c>
      <c r="L173" s="22" t="str">
        <f aca="false">IF(A173="","",MAX(0,K173-J173))</f>
        <v/>
      </c>
      <c r="M173" s="30" t="str">
        <f aca="false">IF(A173="","",COUNTIF(Catálogo!$C$5:$C$304,A173))</f>
        <v/>
      </c>
      <c r="N173" s="1"/>
      <c r="O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25"/>
      <c r="H174" s="25"/>
      <c r="I174" s="29"/>
      <c r="J174" s="21"/>
      <c r="K174" s="28" t="str">
        <f aca="false">IF(A174="","",SUMIFS(Vendas!$I$5:$I$304,Vendas!$C$5:$C$304,A174)*I174)</f>
        <v/>
      </c>
      <c r="L174" s="22" t="str">
        <f aca="false">IF(A174="","",MAX(0,K174-J174))</f>
        <v/>
      </c>
      <c r="M174" s="30" t="str">
        <f aca="false">IF(A174="","",COUNTIF(Catálogo!$C$5:$C$304,A174))</f>
        <v/>
      </c>
      <c r="N174" s="1"/>
      <c r="O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25"/>
      <c r="H175" s="25"/>
      <c r="I175" s="29"/>
      <c r="J175" s="21"/>
      <c r="K175" s="28" t="str">
        <f aca="false">IF(A175="","",SUMIFS(Vendas!$I$5:$I$304,Vendas!$C$5:$C$304,A175)*I175)</f>
        <v/>
      </c>
      <c r="L175" s="22" t="str">
        <f aca="false">IF(A175="","",MAX(0,K175-J175))</f>
        <v/>
      </c>
      <c r="M175" s="30" t="str">
        <f aca="false">IF(A175="","",COUNTIF(Catálogo!$C$5:$C$304,A175))</f>
        <v/>
      </c>
      <c r="N175" s="1"/>
      <c r="O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25"/>
      <c r="H176" s="25"/>
      <c r="I176" s="29"/>
      <c r="J176" s="21"/>
      <c r="K176" s="28" t="str">
        <f aca="false">IF(A176="","",SUMIFS(Vendas!$I$5:$I$304,Vendas!$C$5:$C$304,A176)*I176)</f>
        <v/>
      </c>
      <c r="L176" s="22" t="str">
        <f aca="false">IF(A176="","",MAX(0,K176-J176))</f>
        <v/>
      </c>
      <c r="M176" s="30" t="str">
        <f aca="false">IF(A176="","",COUNTIF(Catálogo!$C$5:$C$304,A176))</f>
        <v/>
      </c>
      <c r="N176" s="1"/>
      <c r="O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25"/>
      <c r="H177" s="25"/>
      <c r="I177" s="29"/>
      <c r="J177" s="21"/>
      <c r="K177" s="28" t="str">
        <f aca="false">IF(A177="","",SUMIFS(Vendas!$I$5:$I$304,Vendas!$C$5:$C$304,A177)*I177)</f>
        <v/>
      </c>
      <c r="L177" s="22" t="str">
        <f aca="false">IF(A177="","",MAX(0,K177-J177))</f>
        <v/>
      </c>
      <c r="M177" s="30" t="str">
        <f aca="false">IF(A177="","",COUNTIF(Catálogo!$C$5:$C$304,A177))</f>
        <v/>
      </c>
      <c r="N177" s="1"/>
      <c r="O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25"/>
      <c r="H178" s="25"/>
      <c r="I178" s="29"/>
      <c r="J178" s="21"/>
      <c r="K178" s="28" t="str">
        <f aca="false">IF(A178="","",SUMIFS(Vendas!$I$5:$I$304,Vendas!$C$5:$C$304,A178)*I178)</f>
        <v/>
      </c>
      <c r="L178" s="22" t="str">
        <f aca="false">IF(A178="","",MAX(0,K178-J178))</f>
        <v/>
      </c>
      <c r="M178" s="30" t="str">
        <f aca="false">IF(A178="","",COUNTIF(Catálogo!$C$5:$C$304,A178))</f>
        <v/>
      </c>
      <c r="N178" s="1"/>
      <c r="O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25"/>
      <c r="H179" s="25"/>
      <c r="I179" s="29"/>
      <c r="J179" s="21"/>
      <c r="K179" s="28" t="str">
        <f aca="false">IF(A179="","",SUMIFS(Vendas!$I$5:$I$304,Vendas!$C$5:$C$304,A179)*I179)</f>
        <v/>
      </c>
      <c r="L179" s="22" t="str">
        <f aca="false">IF(A179="","",MAX(0,K179-J179))</f>
        <v/>
      </c>
      <c r="M179" s="30" t="str">
        <f aca="false">IF(A179="","",COUNTIF(Catálogo!$C$5:$C$304,A179))</f>
        <v/>
      </c>
      <c r="N179" s="1"/>
      <c r="O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25"/>
      <c r="H180" s="25"/>
      <c r="I180" s="29"/>
      <c r="J180" s="21"/>
      <c r="K180" s="28" t="str">
        <f aca="false">IF(A180="","",SUMIFS(Vendas!$I$5:$I$304,Vendas!$C$5:$C$304,A180)*I180)</f>
        <v/>
      </c>
      <c r="L180" s="22" t="str">
        <f aca="false">IF(A180="","",MAX(0,K180-J180))</f>
        <v/>
      </c>
      <c r="M180" s="30" t="str">
        <f aca="false">IF(A180="","",COUNTIF(Catálogo!$C$5:$C$304,A180))</f>
        <v/>
      </c>
      <c r="N180" s="1"/>
      <c r="O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25"/>
      <c r="H181" s="25"/>
      <c r="I181" s="29"/>
      <c r="J181" s="21"/>
      <c r="K181" s="28" t="str">
        <f aca="false">IF(A181="","",SUMIFS(Vendas!$I$5:$I$304,Vendas!$C$5:$C$304,A181)*I181)</f>
        <v/>
      </c>
      <c r="L181" s="22" t="str">
        <f aca="false">IF(A181="","",MAX(0,K181-J181))</f>
        <v/>
      </c>
      <c r="M181" s="30" t="str">
        <f aca="false">IF(A181="","",COUNTIF(Catálogo!$C$5:$C$304,A181))</f>
        <v/>
      </c>
      <c r="N181" s="1"/>
      <c r="O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25"/>
      <c r="H182" s="25"/>
      <c r="I182" s="29"/>
      <c r="J182" s="21"/>
      <c r="K182" s="28" t="str">
        <f aca="false">IF(A182="","",SUMIFS(Vendas!$I$5:$I$304,Vendas!$C$5:$C$304,A182)*I182)</f>
        <v/>
      </c>
      <c r="L182" s="22" t="str">
        <f aca="false">IF(A182="","",MAX(0,K182-J182))</f>
        <v/>
      </c>
      <c r="M182" s="30" t="str">
        <f aca="false">IF(A182="","",COUNTIF(Catálogo!$C$5:$C$304,A182))</f>
        <v/>
      </c>
      <c r="N182" s="1"/>
      <c r="O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25"/>
      <c r="H183" s="25"/>
      <c r="I183" s="29"/>
      <c r="J183" s="21"/>
      <c r="K183" s="28" t="str">
        <f aca="false">IF(A183="","",SUMIFS(Vendas!$I$5:$I$304,Vendas!$C$5:$C$304,A183)*I183)</f>
        <v/>
      </c>
      <c r="L183" s="22" t="str">
        <f aca="false">IF(A183="","",MAX(0,K183-J183))</f>
        <v/>
      </c>
      <c r="M183" s="30" t="str">
        <f aca="false">IF(A183="","",COUNTIF(Catálogo!$C$5:$C$304,A183))</f>
        <v/>
      </c>
      <c r="N183" s="1"/>
      <c r="O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25"/>
      <c r="H184" s="25"/>
      <c r="I184" s="29"/>
      <c r="J184" s="21"/>
      <c r="K184" s="28" t="str">
        <f aca="false">IF(A184="","",SUMIFS(Vendas!$I$5:$I$304,Vendas!$C$5:$C$304,A184)*I184)</f>
        <v/>
      </c>
      <c r="L184" s="22" t="str">
        <f aca="false">IF(A184="","",MAX(0,K184-J184))</f>
        <v/>
      </c>
      <c r="M184" s="30" t="str">
        <f aca="false">IF(A184="","",COUNTIF(Catálogo!$C$5:$C$304,A184))</f>
        <v/>
      </c>
      <c r="N184" s="1"/>
      <c r="O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25"/>
      <c r="H185" s="25"/>
      <c r="I185" s="29"/>
      <c r="J185" s="21"/>
      <c r="K185" s="28" t="str">
        <f aca="false">IF(A185="","",SUMIFS(Vendas!$I$5:$I$304,Vendas!$C$5:$C$304,A185)*I185)</f>
        <v/>
      </c>
      <c r="L185" s="22" t="str">
        <f aca="false">IF(A185="","",MAX(0,K185-J185))</f>
        <v/>
      </c>
      <c r="M185" s="30" t="str">
        <f aca="false">IF(A185="","",COUNTIF(Catálogo!$C$5:$C$304,A185))</f>
        <v/>
      </c>
      <c r="N185" s="1"/>
      <c r="O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25"/>
      <c r="H186" s="25"/>
      <c r="I186" s="29"/>
      <c r="J186" s="21"/>
      <c r="K186" s="28" t="str">
        <f aca="false">IF(A186="","",SUMIFS(Vendas!$I$5:$I$304,Vendas!$C$5:$C$304,A186)*I186)</f>
        <v/>
      </c>
      <c r="L186" s="22" t="str">
        <f aca="false">IF(A186="","",MAX(0,K186-J186))</f>
        <v/>
      </c>
      <c r="M186" s="30" t="str">
        <f aca="false">IF(A186="","",COUNTIF(Catálogo!$C$5:$C$304,A186))</f>
        <v/>
      </c>
      <c r="N186" s="1"/>
      <c r="O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25"/>
      <c r="H187" s="25"/>
      <c r="I187" s="29"/>
      <c r="J187" s="21"/>
      <c r="K187" s="28" t="str">
        <f aca="false">IF(A187="","",SUMIFS(Vendas!$I$5:$I$304,Vendas!$C$5:$C$304,A187)*I187)</f>
        <v/>
      </c>
      <c r="L187" s="22" t="str">
        <f aca="false">IF(A187="","",MAX(0,K187-J187))</f>
        <v/>
      </c>
      <c r="M187" s="30" t="str">
        <f aca="false">IF(A187="","",COUNTIF(Catálogo!$C$5:$C$304,A187))</f>
        <v/>
      </c>
      <c r="N187" s="1"/>
      <c r="O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25"/>
      <c r="H188" s="25"/>
      <c r="I188" s="29"/>
      <c r="J188" s="21"/>
      <c r="K188" s="28" t="str">
        <f aca="false">IF(A188="","",SUMIFS(Vendas!$I$5:$I$304,Vendas!$C$5:$C$304,A188)*I188)</f>
        <v/>
      </c>
      <c r="L188" s="22" t="str">
        <f aca="false">IF(A188="","",MAX(0,K188-J188))</f>
        <v/>
      </c>
      <c r="M188" s="30" t="str">
        <f aca="false">IF(A188="","",COUNTIF(Catálogo!$C$5:$C$304,A188))</f>
        <v/>
      </c>
      <c r="N188" s="1"/>
      <c r="O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25"/>
      <c r="H189" s="25"/>
      <c r="I189" s="29"/>
      <c r="J189" s="21"/>
      <c r="K189" s="28" t="str">
        <f aca="false">IF(A189="","",SUMIFS(Vendas!$I$5:$I$304,Vendas!$C$5:$C$304,A189)*I189)</f>
        <v/>
      </c>
      <c r="L189" s="22" t="str">
        <f aca="false">IF(A189="","",MAX(0,K189-J189))</f>
        <v/>
      </c>
      <c r="M189" s="30" t="str">
        <f aca="false">IF(A189="","",COUNTIF(Catálogo!$C$5:$C$304,A189))</f>
        <v/>
      </c>
      <c r="N189" s="1"/>
      <c r="O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25"/>
      <c r="H190" s="25"/>
      <c r="I190" s="29"/>
      <c r="J190" s="21"/>
      <c r="K190" s="28" t="str">
        <f aca="false">IF(A190="","",SUMIFS(Vendas!$I$5:$I$304,Vendas!$C$5:$C$304,A190)*I190)</f>
        <v/>
      </c>
      <c r="L190" s="22" t="str">
        <f aca="false">IF(A190="","",MAX(0,K190-J190))</f>
        <v/>
      </c>
      <c r="M190" s="30" t="str">
        <f aca="false">IF(A190="","",COUNTIF(Catálogo!$C$5:$C$304,A190))</f>
        <v/>
      </c>
      <c r="N190" s="1"/>
      <c r="O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25"/>
      <c r="H191" s="25"/>
      <c r="I191" s="29"/>
      <c r="J191" s="21"/>
      <c r="K191" s="28" t="str">
        <f aca="false">IF(A191="","",SUMIFS(Vendas!$I$5:$I$304,Vendas!$C$5:$C$304,A191)*I191)</f>
        <v/>
      </c>
      <c r="L191" s="22" t="str">
        <f aca="false">IF(A191="","",MAX(0,K191-J191))</f>
        <v/>
      </c>
      <c r="M191" s="30" t="str">
        <f aca="false">IF(A191="","",COUNTIF(Catálogo!$C$5:$C$304,A191))</f>
        <v/>
      </c>
      <c r="N191" s="1"/>
      <c r="O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25"/>
      <c r="H192" s="25"/>
      <c r="I192" s="29"/>
      <c r="J192" s="21"/>
      <c r="K192" s="28" t="str">
        <f aca="false">IF(A192="","",SUMIFS(Vendas!$I$5:$I$304,Vendas!$C$5:$C$304,A192)*I192)</f>
        <v/>
      </c>
      <c r="L192" s="22" t="str">
        <f aca="false">IF(A192="","",MAX(0,K192-J192))</f>
        <v/>
      </c>
      <c r="M192" s="30" t="str">
        <f aca="false">IF(A192="","",COUNTIF(Catálogo!$C$5:$C$304,A192))</f>
        <v/>
      </c>
      <c r="N192" s="1"/>
      <c r="O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25"/>
      <c r="H193" s="25"/>
      <c r="I193" s="29"/>
      <c r="J193" s="21"/>
      <c r="K193" s="28" t="str">
        <f aca="false">IF(A193="","",SUMIFS(Vendas!$I$5:$I$304,Vendas!$C$5:$C$304,A193)*I193)</f>
        <v/>
      </c>
      <c r="L193" s="22" t="str">
        <f aca="false">IF(A193="","",MAX(0,K193-J193))</f>
        <v/>
      </c>
      <c r="M193" s="30" t="str">
        <f aca="false">IF(A193="","",COUNTIF(Catálogo!$C$5:$C$304,A193))</f>
        <v/>
      </c>
      <c r="N193" s="1"/>
      <c r="O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25"/>
      <c r="H194" s="25"/>
      <c r="I194" s="29"/>
      <c r="J194" s="21"/>
      <c r="K194" s="28" t="str">
        <f aca="false">IF(A194="","",SUMIFS(Vendas!$I$5:$I$304,Vendas!$C$5:$C$304,A194)*I194)</f>
        <v/>
      </c>
      <c r="L194" s="22" t="str">
        <f aca="false">IF(A194="","",MAX(0,K194-J194))</f>
        <v/>
      </c>
      <c r="M194" s="30" t="str">
        <f aca="false">IF(A194="","",COUNTIF(Catálogo!$C$5:$C$304,A194))</f>
        <v/>
      </c>
      <c r="N194" s="1"/>
      <c r="O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25"/>
      <c r="H195" s="25"/>
      <c r="I195" s="29"/>
      <c r="J195" s="21"/>
      <c r="K195" s="28" t="str">
        <f aca="false">IF(A195="","",SUMIFS(Vendas!$I$5:$I$304,Vendas!$C$5:$C$304,A195)*I195)</f>
        <v/>
      </c>
      <c r="L195" s="22" t="str">
        <f aca="false">IF(A195="","",MAX(0,K195-J195))</f>
        <v/>
      </c>
      <c r="M195" s="30" t="str">
        <f aca="false">IF(A195="","",COUNTIF(Catálogo!$C$5:$C$304,A195))</f>
        <v/>
      </c>
      <c r="N195" s="1"/>
      <c r="O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25"/>
      <c r="H196" s="25"/>
      <c r="I196" s="29"/>
      <c r="J196" s="21"/>
      <c r="K196" s="28" t="str">
        <f aca="false">IF(A196="","",SUMIFS(Vendas!$I$5:$I$304,Vendas!$C$5:$C$304,A196)*I196)</f>
        <v/>
      </c>
      <c r="L196" s="22" t="str">
        <f aca="false">IF(A196="","",MAX(0,K196-J196))</f>
        <v/>
      </c>
      <c r="M196" s="30" t="str">
        <f aca="false">IF(A196="","",COUNTIF(Catálogo!$C$5:$C$304,A196))</f>
        <v/>
      </c>
      <c r="N196" s="1"/>
      <c r="O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25"/>
      <c r="H197" s="25"/>
      <c r="I197" s="29"/>
      <c r="J197" s="21"/>
      <c r="K197" s="28" t="str">
        <f aca="false">IF(A197="","",SUMIFS(Vendas!$I$5:$I$304,Vendas!$C$5:$C$304,A197)*I197)</f>
        <v/>
      </c>
      <c r="L197" s="22" t="str">
        <f aca="false">IF(A197="","",MAX(0,K197-J197))</f>
        <v/>
      </c>
      <c r="M197" s="30" t="str">
        <f aca="false">IF(A197="","",COUNTIF(Catálogo!$C$5:$C$304,A197))</f>
        <v/>
      </c>
      <c r="N197" s="1"/>
      <c r="O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25"/>
      <c r="H198" s="25"/>
      <c r="I198" s="29"/>
      <c r="J198" s="21"/>
      <c r="K198" s="28" t="str">
        <f aca="false">IF(A198="","",SUMIFS(Vendas!$I$5:$I$304,Vendas!$C$5:$C$304,A198)*I198)</f>
        <v/>
      </c>
      <c r="L198" s="22" t="str">
        <f aca="false">IF(A198="","",MAX(0,K198-J198))</f>
        <v/>
      </c>
      <c r="M198" s="30" t="str">
        <f aca="false">IF(A198="","",COUNTIF(Catálogo!$C$5:$C$304,A198))</f>
        <v/>
      </c>
      <c r="N198" s="1"/>
      <c r="O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25"/>
      <c r="H199" s="25"/>
      <c r="I199" s="29"/>
      <c r="J199" s="21"/>
      <c r="K199" s="28" t="str">
        <f aca="false">IF(A199="","",SUMIFS(Vendas!$I$5:$I$304,Vendas!$C$5:$C$304,A199)*I199)</f>
        <v/>
      </c>
      <c r="L199" s="22" t="str">
        <f aca="false">IF(A199="","",MAX(0,K199-J199))</f>
        <v/>
      </c>
      <c r="M199" s="30" t="str">
        <f aca="false">IF(A199="","",COUNTIF(Catálogo!$C$5:$C$304,A199))</f>
        <v/>
      </c>
      <c r="N199" s="1"/>
      <c r="O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25"/>
      <c r="H200" s="25"/>
      <c r="I200" s="29"/>
      <c r="J200" s="21"/>
      <c r="K200" s="28" t="str">
        <f aca="false">IF(A200="","",SUMIFS(Vendas!$I$5:$I$304,Vendas!$C$5:$C$304,A200)*I200)</f>
        <v/>
      </c>
      <c r="L200" s="22" t="str">
        <f aca="false">IF(A200="","",MAX(0,K200-J200))</f>
        <v/>
      </c>
      <c r="M200" s="30" t="str">
        <f aca="false">IF(A200="","",COUNTIF(Catálogo!$C$5:$C$304,A200))</f>
        <v/>
      </c>
      <c r="N200" s="1"/>
      <c r="O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25"/>
      <c r="H201" s="25"/>
      <c r="I201" s="29"/>
      <c r="J201" s="21"/>
      <c r="K201" s="28" t="str">
        <f aca="false">IF(A201="","",SUMIFS(Vendas!$I$5:$I$304,Vendas!$C$5:$C$304,A201)*I201)</f>
        <v/>
      </c>
      <c r="L201" s="22" t="str">
        <f aca="false">IF(A201="","",MAX(0,K201-J201))</f>
        <v/>
      </c>
      <c r="M201" s="30" t="str">
        <f aca="false">IF(A201="","",COUNTIF(Catálogo!$C$5:$C$304,A201))</f>
        <v/>
      </c>
      <c r="N201" s="1"/>
      <c r="O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25"/>
      <c r="H202" s="25"/>
      <c r="I202" s="29"/>
      <c r="J202" s="21"/>
      <c r="K202" s="28" t="str">
        <f aca="false">IF(A202="","",SUMIFS(Vendas!$I$5:$I$304,Vendas!$C$5:$C$304,A202)*I202)</f>
        <v/>
      </c>
      <c r="L202" s="22" t="str">
        <f aca="false">IF(A202="","",MAX(0,K202-J202))</f>
        <v/>
      </c>
      <c r="M202" s="30" t="str">
        <f aca="false">IF(A202="","",COUNTIF(Catálogo!$C$5:$C$304,A202))</f>
        <v/>
      </c>
      <c r="N202" s="1"/>
      <c r="O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25"/>
      <c r="H203" s="25"/>
      <c r="I203" s="29"/>
      <c r="J203" s="21"/>
      <c r="K203" s="28" t="str">
        <f aca="false">IF(A203="","",SUMIFS(Vendas!$I$5:$I$304,Vendas!$C$5:$C$304,A203)*I203)</f>
        <v/>
      </c>
      <c r="L203" s="22" t="str">
        <f aca="false">IF(A203="","",MAX(0,K203-J203))</f>
        <v/>
      </c>
      <c r="M203" s="30" t="str">
        <f aca="false">IF(A203="","",COUNTIF(Catálogo!$C$5:$C$304,A203))</f>
        <v/>
      </c>
      <c r="N203" s="1"/>
      <c r="O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25"/>
      <c r="H204" s="25"/>
      <c r="I204" s="29"/>
      <c r="J204" s="21"/>
      <c r="K204" s="28" t="str">
        <f aca="false">IF(A204="","",SUMIFS(Vendas!$I$5:$I$304,Vendas!$C$5:$C$304,A204)*I204)</f>
        <v/>
      </c>
      <c r="L204" s="22" t="str">
        <f aca="false">IF(A204="","",MAX(0,K204-J204))</f>
        <v/>
      </c>
      <c r="M204" s="30" t="str">
        <f aca="false">IF(A204="","",COUNTIF(Catálogo!$C$5:$C$304,A204))</f>
        <v/>
      </c>
      <c r="N204" s="1"/>
      <c r="O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25"/>
      <c r="H205" s="25"/>
      <c r="I205" s="29"/>
      <c r="J205" s="21"/>
      <c r="K205" s="28" t="str">
        <f aca="false">IF(A205="","",SUMIFS(Vendas!$I$5:$I$304,Vendas!$C$5:$C$304,A205)*I205)</f>
        <v/>
      </c>
      <c r="L205" s="22" t="str">
        <f aca="false">IF(A205="","",MAX(0,K205-J205))</f>
        <v/>
      </c>
      <c r="M205" s="30" t="str">
        <f aca="false">IF(A205="","",COUNTIF(Catálogo!$C$5:$C$304,A205))</f>
        <v/>
      </c>
      <c r="N205" s="1"/>
      <c r="O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25"/>
      <c r="H206" s="25"/>
      <c r="I206" s="29"/>
      <c r="J206" s="21"/>
      <c r="K206" s="28" t="str">
        <f aca="false">IF(A206="","",SUMIFS(Vendas!$I$5:$I$304,Vendas!$C$5:$C$304,A206)*I206)</f>
        <v/>
      </c>
      <c r="L206" s="22" t="str">
        <f aca="false">IF(A206="","",MAX(0,K206-J206))</f>
        <v/>
      </c>
      <c r="M206" s="30" t="str">
        <f aca="false">IF(A206="","",COUNTIF(Catálogo!$C$5:$C$304,A206))</f>
        <v/>
      </c>
      <c r="N206" s="1"/>
      <c r="O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25"/>
      <c r="H207" s="25"/>
      <c r="I207" s="29"/>
      <c r="J207" s="21"/>
      <c r="K207" s="28" t="str">
        <f aca="false">IF(A207="","",SUMIFS(Vendas!$I$5:$I$304,Vendas!$C$5:$C$304,A207)*I207)</f>
        <v/>
      </c>
      <c r="L207" s="22" t="str">
        <f aca="false">IF(A207="","",MAX(0,K207-J207))</f>
        <v/>
      </c>
      <c r="M207" s="30" t="str">
        <f aca="false">IF(A207="","",COUNTIF(Catálogo!$C$5:$C$304,A207))</f>
        <v/>
      </c>
      <c r="N207" s="1"/>
      <c r="O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25"/>
      <c r="H208" s="25"/>
      <c r="I208" s="29"/>
      <c r="J208" s="21"/>
      <c r="K208" s="28" t="str">
        <f aca="false">IF(A208="","",SUMIFS(Vendas!$I$5:$I$304,Vendas!$C$5:$C$304,A208)*I208)</f>
        <v/>
      </c>
      <c r="L208" s="22" t="str">
        <f aca="false">IF(A208="","",MAX(0,K208-J208))</f>
        <v/>
      </c>
      <c r="M208" s="30" t="str">
        <f aca="false">IF(A208="","",COUNTIF(Catálogo!$C$5:$C$304,A208))</f>
        <v/>
      </c>
      <c r="N208" s="1"/>
      <c r="O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25"/>
      <c r="H209" s="25"/>
      <c r="I209" s="29"/>
      <c r="J209" s="21"/>
      <c r="K209" s="28" t="str">
        <f aca="false">IF(A209="","",SUMIFS(Vendas!$I$5:$I$304,Vendas!$C$5:$C$304,A209)*I209)</f>
        <v/>
      </c>
      <c r="L209" s="22" t="str">
        <f aca="false">IF(A209="","",MAX(0,K209-J209))</f>
        <v/>
      </c>
      <c r="M209" s="30" t="str">
        <f aca="false">IF(A209="","",COUNTIF(Catálogo!$C$5:$C$304,A209))</f>
        <v/>
      </c>
      <c r="N209" s="1"/>
      <c r="O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25"/>
      <c r="H210" s="25"/>
      <c r="I210" s="29"/>
      <c r="J210" s="21"/>
      <c r="K210" s="28" t="str">
        <f aca="false">IF(A210="","",SUMIFS(Vendas!$I$5:$I$304,Vendas!$C$5:$C$304,A210)*I210)</f>
        <v/>
      </c>
      <c r="L210" s="22" t="str">
        <f aca="false">IF(A210="","",MAX(0,K210-J210))</f>
        <v/>
      </c>
      <c r="M210" s="30" t="str">
        <f aca="false">IF(A210="","",COUNTIF(Catálogo!$C$5:$C$304,A210))</f>
        <v/>
      </c>
      <c r="N210" s="1"/>
      <c r="O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25"/>
      <c r="H211" s="25"/>
      <c r="I211" s="29"/>
      <c r="J211" s="21"/>
      <c r="K211" s="28" t="str">
        <f aca="false">IF(A211="","",SUMIFS(Vendas!$I$5:$I$304,Vendas!$C$5:$C$304,A211)*I211)</f>
        <v/>
      </c>
      <c r="L211" s="22" t="str">
        <f aca="false">IF(A211="","",MAX(0,K211-J211))</f>
        <v/>
      </c>
      <c r="M211" s="30" t="str">
        <f aca="false">IF(A211="","",COUNTIF(Catálogo!$C$5:$C$304,A211))</f>
        <v/>
      </c>
      <c r="N211" s="1"/>
      <c r="O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25"/>
      <c r="H212" s="25"/>
      <c r="I212" s="29"/>
      <c r="J212" s="21"/>
      <c r="K212" s="28" t="str">
        <f aca="false">IF(A212="","",SUMIFS(Vendas!$I$5:$I$304,Vendas!$C$5:$C$304,A212)*I212)</f>
        <v/>
      </c>
      <c r="L212" s="22" t="str">
        <f aca="false">IF(A212="","",MAX(0,K212-J212))</f>
        <v/>
      </c>
      <c r="M212" s="30" t="str">
        <f aca="false">IF(A212="","",COUNTIF(Catálogo!$C$5:$C$304,A212))</f>
        <v/>
      </c>
      <c r="N212" s="1"/>
      <c r="O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25"/>
      <c r="H213" s="25"/>
      <c r="I213" s="29"/>
      <c r="J213" s="21"/>
      <c r="K213" s="28" t="str">
        <f aca="false">IF(A213="","",SUMIFS(Vendas!$I$5:$I$304,Vendas!$C$5:$C$304,A213)*I213)</f>
        <v/>
      </c>
      <c r="L213" s="22" t="str">
        <f aca="false">IF(A213="","",MAX(0,K213-J213))</f>
        <v/>
      </c>
      <c r="M213" s="30" t="str">
        <f aca="false">IF(A213="","",COUNTIF(Catálogo!$C$5:$C$304,A213))</f>
        <v/>
      </c>
      <c r="N213" s="1"/>
      <c r="O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25"/>
      <c r="H214" s="25"/>
      <c r="I214" s="29"/>
      <c r="J214" s="21"/>
      <c r="K214" s="28" t="str">
        <f aca="false">IF(A214="","",SUMIFS(Vendas!$I$5:$I$304,Vendas!$C$5:$C$304,A214)*I214)</f>
        <v/>
      </c>
      <c r="L214" s="22" t="str">
        <f aca="false">IF(A214="","",MAX(0,K214-J214))</f>
        <v/>
      </c>
      <c r="M214" s="30" t="str">
        <f aca="false">IF(A214="","",COUNTIF(Catálogo!$C$5:$C$304,A214))</f>
        <v/>
      </c>
      <c r="N214" s="1"/>
      <c r="O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25"/>
      <c r="H215" s="25"/>
      <c r="I215" s="29"/>
      <c r="J215" s="21"/>
      <c r="K215" s="28" t="str">
        <f aca="false">IF(A215="","",SUMIFS(Vendas!$I$5:$I$304,Vendas!$C$5:$C$304,A215)*I215)</f>
        <v/>
      </c>
      <c r="L215" s="22" t="str">
        <f aca="false">IF(A215="","",MAX(0,K215-J215))</f>
        <v/>
      </c>
      <c r="M215" s="30" t="str">
        <f aca="false">IF(A215="","",COUNTIF(Catálogo!$C$5:$C$304,A215))</f>
        <v/>
      </c>
      <c r="N215" s="1"/>
      <c r="O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25"/>
      <c r="H216" s="25"/>
      <c r="I216" s="29"/>
      <c r="J216" s="21"/>
      <c r="K216" s="28" t="str">
        <f aca="false">IF(A216="","",SUMIFS(Vendas!$I$5:$I$304,Vendas!$C$5:$C$304,A216)*I216)</f>
        <v/>
      </c>
      <c r="L216" s="22" t="str">
        <f aca="false">IF(A216="","",MAX(0,K216-J216))</f>
        <v/>
      </c>
      <c r="M216" s="30" t="str">
        <f aca="false">IF(A216="","",COUNTIF(Catálogo!$C$5:$C$304,A216))</f>
        <v/>
      </c>
      <c r="N216" s="1"/>
      <c r="O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25"/>
      <c r="H217" s="25"/>
      <c r="I217" s="29"/>
      <c r="J217" s="21"/>
      <c r="K217" s="28" t="str">
        <f aca="false">IF(A217="","",SUMIFS(Vendas!$I$5:$I$304,Vendas!$C$5:$C$304,A217)*I217)</f>
        <v/>
      </c>
      <c r="L217" s="22" t="str">
        <f aca="false">IF(A217="","",MAX(0,K217-J217))</f>
        <v/>
      </c>
      <c r="M217" s="30" t="str">
        <f aca="false">IF(A217="","",COUNTIF(Catálogo!$C$5:$C$304,A217))</f>
        <v/>
      </c>
      <c r="N217" s="1"/>
      <c r="O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25"/>
      <c r="H218" s="25"/>
      <c r="I218" s="29"/>
      <c r="J218" s="21"/>
      <c r="K218" s="28" t="str">
        <f aca="false">IF(A218="","",SUMIFS(Vendas!$I$5:$I$304,Vendas!$C$5:$C$304,A218)*I218)</f>
        <v/>
      </c>
      <c r="L218" s="22" t="str">
        <f aca="false">IF(A218="","",MAX(0,K218-J218))</f>
        <v/>
      </c>
      <c r="M218" s="30" t="str">
        <f aca="false">IF(A218="","",COUNTIF(Catálogo!$C$5:$C$304,A218))</f>
        <v/>
      </c>
      <c r="N218" s="1"/>
      <c r="O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25"/>
      <c r="H219" s="25"/>
      <c r="I219" s="29"/>
      <c r="J219" s="21"/>
      <c r="K219" s="28" t="str">
        <f aca="false">IF(A219="","",SUMIFS(Vendas!$I$5:$I$304,Vendas!$C$5:$C$304,A219)*I219)</f>
        <v/>
      </c>
      <c r="L219" s="22" t="str">
        <f aca="false">IF(A219="","",MAX(0,K219-J219))</f>
        <v/>
      </c>
      <c r="M219" s="30" t="str">
        <f aca="false">IF(A219="","",COUNTIF(Catálogo!$C$5:$C$304,A219))</f>
        <v/>
      </c>
      <c r="N219" s="1"/>
      <c r="O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25"/>
      <c r="H220" s="25"/>
      <c r="I220" s="29"/>
      <c r="J220" s="21"/>
      <c r="K220" s="28" t="str">
        <f aca="false">IF(A220="","",SUMIFS(Vendas!$I$5:$I$304,Vendas!$C$5:$C$304,A220)*I220)</f>
        <v/>
      </c>
      <c r="L220" s="22" t="str">
        <f aca="false">IF(A220="","",MAX(0,K220-J220))</f>
        <v/>
      </c>
      <c r="M220" s="30" t="str">
        <f aca="false">IF(A220="","",COUNTIF(Catálogo!$C$5:$C$304,A220))</f>
        <v/>
      </c>
      <c r="N220" s="1"/>
      <c r="O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25"/>
      <c r="H221" s="25"/>
      <c r="I221" s="29"/>
      <c r="J221" s="21"/>
      <c r="K221" s="28" t="str">
        <f aca="false">IF(A221="","",SUMIFS(Vendas!$I$5:$I$304,Vendas!$C$5:$C$304,A221)*I221)</f>
        <v/>
      </c>
      <c r="L221" s="22" t="str">
        <f aca="false">IF(A221="","",MAX(0,K221-J221))</f>
        <v/>
      </c>
      <c r="M221" s="30" t="str">
        <f aca="false">IF(A221="","",COUNTIF(Catálogo!$C$5:$C$304,A221))</f>
        <v/>
      </c>
      <c r="N221" s="1"/>
      <c r="O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25"/>
      <c r="H222" s="25"/>
      <c r="I222" s="29"/>
      <c r="J222" s="21"/>
      <c r="K222" s="28" t="str">
        <f aca="false">IF(A222="","",SUMIFS(Vendas!$I$5:$I$304,Vendas!$C$5:$C$304,A222)*I222)</f>
        <v/>
      </c>
      <c r="L222" s="22" t="str">
        <f aca="false">IF(A222="","",MAX(0,K222-J222))</f>
        <v/>
      </c>
      <c r="M222" s="30" t="str">
        <f aca="false">IF(A222="","",COUNTIF(Catálogo!$C$5:$C$304,A222))</f>
        <v/>
      </c>
      <c r="N222" s="1"/>
      <c r="O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25"/>
      <c r="H223" s="25"/>
      <c r="I223" s="29"/>
      <c r="J223" s="21"/>
      <c r="K223" s="28" t="str">
        <f aca="false">IF(A223="","",SUMIFS(Vendas!$I$5:$I$304,Vendas!$C$5:$C$304,A223)*I223)</f>
        <v/>
      </c>
      <c r="L223" s="22" t="str">
        <f aca="false">IF(A223="","",MAX(0,K223-J223))</f>
        <v/>
      </c>
      <c r="M223" s="30" t="str">
        <f aca="false">IF(A223="","",COUNTIF(Catálogo!$C$5:$C$304,A223))</f>
        <v/>
      </c>
      <c r="N223" s="1"/>
      <c r="O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25"/>
      <c r="H224" s="25"/>
      <c r="I224" s="29"/>
      <c r="J224" s="21"/>
      <c r="K224" s="28" t="str">
        <f aca="false">IF(A224="","",SUMIFS(Vendas!$I$5:$I$304,Vendas!$C$5:$C$304,A224)*I224)</f>
        <v/>
      </c>
      <c r="L224" s="22" t="str">
        <f aca="false">IF(A224="","",MAX(0,K224-J224))</f>
        <v/>
      </c>
      <c r="M224" s="30" t="str">
        <f aca="false">IF(A224="","",COUNTIF(Catálogo!$C$5:$C$304,A224))</f>
        <v/>
      </c>
      <c r="N224" s="1"/>
      <c r="O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25"/>
      <c r="H225" s="25"/>
      <c r="I225" s="29"/>
      <c r="J225" s="21"/>
      <c r="K225" s="28" t="str">
        <f aca="false">IF(A225="","",SUMIFS(Vendas!$I$5:$I$304,Vendas!$C$5:$C$304,A225)*I225)</f>
        <v/>
      </c>
      <c r="L225" s="22" t="str">
        <f aca="false">IF(A225="","",MAX(0,K225-J225))</f>
        <v/>
      </c>
      <c r="M225" s="30" t="str">
        <f aca="false">IF(A225="","",COUNTIF(Catálogo!$C$5:$C$304,A225))</f>
        <v/>
      </c>
      <c r="N225" s="1"/>
      <c r="O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25"/>
      <c r="H226" s="25"/>
      <c r="I226" s="29"/>
      <c r="J226" s="21"/>
      <c r="K226" s="28" t="str">
        <f aca="false">IF(A226="","",SUMIFS(Vendas!$I$5:$I$304,Vendas!$C$5:$C$304,A226)*I226)</f>
        <v/>
      </c>
      <c r="L226" s="22" t="str">
        <f aca="false">IF(A226="","",MAX(0,K226-J226))</f>
        <v/>
      </c>
      <c r="M226" s="30" t="str">
        <f aca="false">IF(A226="","",COUNTIF(Catálogo!$C$5:$C$304,A226))</f>
        <v/>
      </c>
      <c r="N226" s="1"/>
      <c r="O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25"/>
      <c r="H227" s="25"/>
      <c r="I227" s="29"/>
      <c r="J227" s="21"/>
      <c r="K227" s="28" t="str">
        <f aca="false">IF(A227="","",SUMIFS(Vendas!$I$5:$I$304,Vendas!$C$5:$C$304,A227)*I227)</f>
        <v/>
      </c>
      <c r="L227" s="22" t="str">
        <f aca="false">IF(A227="","",MAX(0,K227-J227))</f>
        <v/>
      </c>
      <c r="M227" s="30" t="str">
        <f aca="false">IF(A227="","",COUNTIF(Catálogo!$C$5:$C$304,A227))</f>
        <v/>
      </c>
      <c r="N227" s="1"/>
      <c r="O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25"/>
      <c r="H228" s="25"/>
      <c r="I228" s="29"/>
      <c r="J228" s="21"/>
      <c r="K228" s="28" t="str">
        <f aca="false">IF(A228="","",SUMIFS(Vendas!$I$5:$I$304,Vendas!$C$5:$C$304,A228)*I228)</f>
        <v/>
      </c>
      <c r="L228" s="22" t="str">
        <f aca="false">IF(A228="","",MAX(0,K228-J228))</f>
        <v/>
      </c>
      <c r="M228" s="30" t="str">
        <f aca="false">IF(A228="","",COUNTIF(Catálogo!$C$5:$C$304,A228))</f>
        <v/>
      </c>
      <c r="N228" s="1"/>
      <c r="O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25"/>
      <c r="H229" s="25"/>
      <c r="I229" s="29"/>
      <c r="J229" s="21"/>
      <c r="K229" s="28" t="str">
        <f aca="false">IF(A229="","",SUMIFS(Vendas!$I$5:$I$304,Vendas!$C$5:$C$304,A229)*I229)</f>
        <v/>
      </c>
      <c r="L229" s="22" t="str">
        <f aca="false">IF(A229="","",MAX(0,K229-J229))</f>
        <v/>
      </c>
      <c r="M229" s="30" t="str">
        <f aca="false">IF(A229="","",COUNTIF(Catálogo!$C$5:$C$304,A229))</f>
        <v/>
      </c>
      <c r="N229" s="1"/>
      <c r="O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25"/>
      <c r="H230" s="25"/>
      <c r="I230" s="29"/>
      <c r="J230" s="21"/>
      <c r="K230" s="28" t="str">
        <f aca="false">IF(A230="","",SUMIFS(Vendas!$I$5:$I$304,Vendas!$C$5:$C$304,A230)*I230)</f>
        <v/>
      </c>
      <c r="L230" s="22" t="str">
        <f aca="false">IF(A230="","",MAX(0,K230-J230))</f>
        <v/>
      </c>
      <c r="M230" s="30" t="str">
        <f aca="false">IF(A230="","",COUNTIF(Catálogo!$C$5:$C$304,A230))</f>
        <v/>
      </c>
      <c r="N230" s="1"/>
      <c r="O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25"/>
      <c r="H231" s="25"/>
      <c r="I231" s="29"/>
      <c r="J231" s="21"/>
      <c r="K231" s="28" t="str">
        <f aca="false">IF(A231="","",SUMIFS(Vendas!$I$5:$I$304,Vendas!$C$5:$C$304,A231)*I231)</f>
        <v/>
      </c>
      <c r="L231" s="22" t="str">
        <f aca="false">IF(A231="","",MAX(0,K231-J231))</f>
        <v/>
      </c>
      <c r="M231" s="30" t="str">
        <f aca="false">IF(A231="","",COUNTIF(Catálogo!$C$5:$C$304,A231))</f>
        <v/>
      </c>
      <c r="N231" s="1"/>
      <c r="O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25"/>
      <c r="H232" s="25"/>
      <c r="I232" s="29"/>
      <c r="J232" s="21"/>
      <c r="K232" s="28" t="str">
        <f aca="false">IF(A232="","",SUMIFS(Vendas!$I$5:$I$304,Vendas!$C$5:$C$304,A232)*I232)</f>
        <v/>
      </c>
      <c r="L232" s="22" t="str">
        <f aca="false">IF(A232="","",MAX(0,K232-J232))</f>
        <v/>
      </c>
      <c r="M232" s="30" t="str">
        <f aca="false">IF(A232="","",COUNTIF(Catálogo!$C$5:$C$304,A232))</f>
        <v/>
      </c>
      <c r="N232" s="1"/>
      <c r="O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25"/>
      <c r="H233" s="25"/>
      <c r="I233" s="29"/>
      <c r="J233" s="21"/>
      <c r="K233" s="28" t="str">
        <f aca="false">IF(A233="","",SUMIFS(Vendas!$I$5:$I$304,Vendas!$C$5:$C$304,A233)*I233)</f>
        <v/>
      </c>
      <c r="L233" s="22" t="str">
        <f aca="false">IF(A233="","",MAX(0,K233-J233))</f>
        <v/>
      </c>
      <c r="M233" s="30" t="str">
        <f aca="false">IF(A233="","",COUNTIF(Catálogo!$C$5:$C$304,A233))</f>
        <v/>
      </c>
      <c r="N233" s="1"/>
      <c r="O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25"/>
      <c r="H234" s="25"/>
      <c r="I234" s="29"/>
      <c r="J234" s="21"/>
      <c r="K234" s="28" t="str">
        <f aca="false">IF(A234="","",SUMIFS(Vendas!$I$5:$I$304,Vendas!$C$5:$C$304,A234)*I234)</f>
        <v/>
      </c>
      <c r="L234" s="22" t="str">
        <f aca="false">IF(A234="","",MAX(0,K234-J234))</f>
        <v/>
      </c>
      <c r="M234" s="30" t="str">
        <f aca="false">IF(A234="","",COUNTIF(Catálogo!$C$5:$C$304,A234))</f>
        <v/>
      </c>
      <c r="N234" s="1"/>
      <c r="O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25"/>
      <c r="H235" s="25"/>
      <c r="I235" s="29"/>
      <c r="J235" s="21"/>
      <c r="K235" s="28" t="str">
        <f aca="false">IF(A235="","",SUMIFS(Vendas!$I$5:$I$304,Vendas!$C$5:$C$304,A235)*I235)</f>
        <v/>
      </c>
      <c r="L235" s="22" t="str">
        <f aca="false">IF(A235="","",MAX(0,K235-J235))</f>
        <v/>
      </c>
      <c r="M235" s="30" t="str">
        <f aca="false">IF(A235="","",COUNTIF(Catálogo!$C$5:$C$304,A235))</f>
        <v/>
      </c>
      <c r="N235" s="1"/>
      <c r="O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25"/>
      <c r="H236" s="25"/>
      <c r="I236" s="29"/>
      <c r="J236" s="21"/>
      <c r="K236" s="28" t="str">
        <f aca="false">IF(A236="","",SUMIFS(Vendas!$I$5:$I$304,Vendas!$C$5:$C$304,A236)*I236)</f>
        <v/>
      </c>
      <c r="L236" s="22" t="str">
        <f aca="false">IF(A236="","",MAX(0,K236-J236))</f>
        <v/>
      </c>
      <c r="M236" s="30" t="str">
        <f aca="false">IF(A236="","",COUNTIF(Catálogo!$C$5:$C$304,A236))</f>
        <v/>
      </c>
      <c r="N236" s="1"/>
      <c r="O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25"/>
      <c r="H237" s="25"/>
      <c r="I237" s="29"/>
      <c r="J237" s="21"/>
      <c r="K237" s="28" t="str">
        <f aca="false">IF(A237="","",SUMIFS(Vendas!$I$5:$I$304,Vendas!$C$5:$C$304,A237)*I237)</f>
        <v/>
      </c>
      <c r="L237" s="22" t="str">
        <f aca="false">IF(A237="","",MAX(0,K237-J237))</f>
        <v/>
      </c>
      <c r="M237" s="30" t="str">
        <f aca="false">IF(A237="","",COUNTIF(Catálogo!$C$5:$C$304,A237))</f>
        <v/>
      </c>
      <c r="N237" s="1"/>
      <c r="O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25"/>
      <c r="H238" s="25"/>
      <c r="I238" s="29"/>
      <c r="J238" s="21"/>
      <c r="K238" s="28" t="str">
        <f aca="false">IF(A238="","",SUMIFS(Vendas!$I$5:$I$304,Vendas!$C$5:$C$304,A238)*I238)</f>
        <v/>
      </c>
      <c r="L238" s="22" t="str">
        <f aca="false">IF(A238="","",MAX(0,K238-J238))</f>
        <v/>
      </c>
      <c r="M238" s="30" t="str">
        <f aca="false">IF(A238="","",COUNTIF(Catálogo!$C$5:$C$304,A238))</f>
        <v/>
      </c>
      <c r="N238" s="1"/>
      <c r="O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25"/>
      <c r="H239" s="25"/>
      <c r="I239" s="29"/>
      <c r="J239" s="21"/>
      <c r="K239" s="28" t="str">
        <f aca="false">IF(A239="","",SUMIFS(Vendas!$I$5:$I$304,Vendas!$C$5:$C$304,A239)*I239)</f>
        <v/>
      </c>
      <c r="L239" s="22" t="str">
        <f aca="false">IF(A239="","",MAX(0,K239-J239))</f>
        <v/>
      </c>
      <c r="M239" s="30" t="str">
        <f aca="false">IF(A239="","",COUNTIF(Catálogo!$C$5:$C$304,A239))</f>
        <v/>
      </c>
      <c r="N239" s="1"/>
      <c r="O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25"/>
      <c r="H240" s="25"/>
      <c r="I240" s="29"/>
      <c r="J240" s="21"/>
      <c r="K240" s="28" t="str">
        <f aca="false">IF(A240="","",SUMIFS(Vendas!$I$5:$I$304,Vendas!$C$5:$C$304,A240)*I240)</f>
        <v/>
      </c>
      <c r="L240" s="22" t="str">
        <f aca="false">IF(A240="","",MAX(0,K240-J240))</f>
        <v/>
      </c>
      <c r="M240" s="30" t="str">
        <f aca="false">IF(A240="","",COUNTIF(Catálogo!$C$5:$C$304,A240))</f>
        <v/>
      </c>
      <c r="N240" s="1"/>
      <c r="O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25"/>
      <c r="H241" s="25"/>
      <c r="I241" s="29"/>
      <c r="J241" s="21"/>
      <c r="K241" s="28" t="str">
        <f aca="false">IF(A241="","",SUMIFS(Vendas!$I$5:$I$304,Vendas!$C$5:$C$304,A241)*I241)</f>
        <v/>
      </c>
      <c r="L241" s="22" t="str">
        <f aca="false">IF(A241="","",MAX(0,K241-J241))</f>
        <v/>
      </c>
      <c r="M241" s="30" t="str">
        <f aca="false">IF(A241="","",COUNTIF(Catálogo!$C$5:$C$304,A241))</f>
        <v/>
      </c>
      <c r="N241" s="1"/>
      <c r="O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25"/>
      <c r="H242" s="25"/>
      <c r="I242" s="29"/>
      <c r="J242" s="21"/>
      <c r="K242" s="28" t="str">
        <f aca="false">IF(A242="","",SUMIFS(Vendas!$I$5:$I$304,Vendas!$C$5:$C$304,A242)*I242)</f>
        <v/>
      </c>
      <c r="L242" s="22" t="str">
        <f aca="false">IF(A242="","",MAX(0,K242-J242))</f>
        <v/>
      </c>
      <c r="M242" s="30" t="str">
        <f aca="false">IF(A242="","",COUNTIF(Catálogo!$C$5:$C$304,A242))</f>
        <v/>
      </c>
      <c r="N242" s="1"/>
      <c r="O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25"/>
      <c r="H243" s="25"/>
      <c r="I243" s="29"/>
      <c r="J243" s="21"/>
      <c r="K243" s="28" t="str">
        <f aca="false">IF(A243="","",SUMIFS(Vendas!$I$5:$I$304,Vendas!$C$5:$C$304,A243)*I243)</f>
        <v/>
      </c>
      <c r="L243" s="22" t="str">
        <f aca="false">IF(A243="","",MAX(0,K243-J243))</f>
        <v/>
      </c>
      <c r="M243" s="30" t="str">
        <f aca="false">IF(A243="","",COUNTIF(Catálogo!$C$5:$C$304,A243))</f>
        <v/>
      </c>
      <c r="N243" s="1"/>
      <c r="O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25"/>
      <c r="H244" s="25"/>
      <c r="I244" s="29"/>
      <c r="J244" s="21"/>
      <c r="K244" s="28" t="str">
        <f aca="false">IF(A244="","",SUMIFS(Vendas!$I$5:$I$304,Vendas!$C$5:$C$304,A244)*I244)</f>
        <v/>
      </c>
      <c r="L244" s="22" t="str">
        <f aca="false">IF(A244="","",MAX(0,K244-J244))</f>
        <v/>
      </c>
      <c r="M244" s="30" t="str">
        <f aca="false">IF(A244="","",COUNTIF(Catálogo!$C$5:$C$304,A244))</f>
        <v/>
      </c>
      <c r="N244" s="1"/>
      <c r="O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25"/>
      <c r="H245" s="25"/>
      <c r="I245" s="29"/>
      <c r="J245" s="21"/>
      <c r="K245" s="28" t="str">
        <f aca="false">IF(A245="","",SUMIFS(Vendas!$I$5:$I$304,Vendas!$C$5:$C$304,A245)*I245)</f>
        <v/>
      </c>
      <c r="L245" s="22" t="str">
        <f aca="false">IF(A245="","",MAX(0,K245-J245))</f>
        <v/>
      </c>
      <c r="M245" s="30" t="str">
        <f aca="false">IF(A245="","",COUNTIF(Catálogo!$C$5:$C$304,A245))</f>
        <v/>
      </c>
      <c r="N245" s="1"/>
      <c r="O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25"/>
      <c r="H246" s="25"/>
      <c r="I246" s="29"/>
      <c r="J246" s="21"/>
      <c r="K246" s="28" t="str">
        <f aca="false">IF(A246="","",SUMIFS(Vendas!$I$5:$I$304,Vendas!$C$5:$C$304,A246)*I246)</f>
        <v/>
      </c>
      <c r="L246" s="22" t="str">
        <f aca="false">IF(A246="","",MAX(0,K246-J246))</f>
        <v/>
      </c>
      <c r="M246" s="30" t="str">
        <f aca="false">IF(A246="","",COUNTIF(Catálogo!$C$5:$C$304,A246))</f>
        <v/>
      </c>
      <c r="N246" s="1"/>
      <c r="O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25"/>
      <c r="H247" s="25"/>
      <c r="I247" s="29"/>
      <c r="J247" s="21"/>
      <c r="K247" s="28" t="str">
        <f aca="false">IF(A247="","",SUMIFS(Vendas!$I$5:$I$304,Vendas!$C$5:$C$304,A247)*I247)</f>
        <v/>
      </c>
      <c r="L247" s="22" t="str">
        <f aca="false">IF(A247="","",MAX(0,K247-J247))</f>
        <v/>
      </c>
      <c r="M247" s="30" t="str">
        <f aca="false">IF(A247="","",COUNTIF(Catálogo!$C$5:$C$304,A247))</f>
        <v/>
      </c>
      <c r="N247" s="1"/>
      <c r="O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25"/>
      <c r="H248" s="25"/>
      <c r="I248" s="29"/>
      <c r="J248" s="21"/>
      <c r="K248" s="28" t="str">
        <f aca="false">IF(A248="","",SUMIFS(Vendas!$I$5:$I$304,Vendas!$C$5:$C$304,A248)*I248)</f>
        <v/>
      </c>
      <c r="L248" s="22" t="str">
        <f aca="false">IF(A248="","",MAX(0,K248-J248))</f>
        <v/>
      </c>
      <c r="M248" s="30" t="str">
        <f aca="false">IF(A248="","",COUNTIF(Catálogo!$C$5:$C$304,A248))</f>
        <v/>
      </c>
      <c r="N248" s="1"/>
      <c r="O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25"/>
      <c r="H249" s="25"/>
      <c r="I249" s="29"/>
      <c r="J249" s="21"/>
      <c r="K249" s="28" t="str">
        <f aca="false">IF(A249="","",SUMIFS(Vendas!$I$5:$I$304,Vendas!$C$5:$C$304,A249)*I249)</f>
        <v/>
      </c>
      <c r="L249" s="22" t="str">
        <f aca="false">IF(A249="","",MAX(0,K249-J249))</f>
        <v/>
      </c>
      <c r="M249" s="30" t="str">
        <f aca="false">IF(A249="","",COUNTIF(Catálogo!$C$5:$C$304,A249))</f>
        <v/>
      </c>
      <c r="N249" s="1"/>
      <c r="O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25"/>
      <c r="H250" s="25"/>
      <c r="I250" s="29"/>
      <c r="J250" s="21"/>
      <c r="K250" s="28" t="str">
        <f aca="false">IF(A250="","",SUMIFS(Vendas!$I$5:$I$304,Vendas!$C$5:$C$304,A250)*I250)</f>
        <v/>
      </c>
      <c r="L250" s="22" t="str">
        <f aca="false">IF(A250="","",MAX(0,K250-J250))</f>
        <v/>
      </c>
      <c r="M250" s="30" t="str">
        <f aca="false">IF(A250="","",COUNTIF(Catálogo!$C$5:$C$304,A250))</f>
        <v/>
      </c>
      <c r="N250" s="1"/>
      <c r="O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25"/>
      <c r="H251" s="25"/>
      <c r="I251" s="29"/>
      <c r="J251" s="21"/>
      <c r="K251" s="28" t="str">
        <f aca="false">IF(A251="","",SUMIFS(Vendas!$I$5:$I$304,Vendas!$C$5:$C$304,A251)*I251)</f>
        <v/>
      </c>
      <c r="L251" s="22" t="str">
        <f aca="false">IF(A251="","",MAX(0,K251-J251))</f>
        <v/>
      </c>
      <c r="M251" s="30" t="str">
        <f aca="false">IF(A251="","",COUNTIF(Catálogo!$C$5:$C$304,A251))</f>
        <v/>
      </c>
      <c r="N251" s="1"/>
      <c r="O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25"/>
      <c r="H252" s="25"/>
      <c r="I252" s="29"/>
      <c r="J252" s="21"/>
      <c r="K252" s="28" t="str">
        <f aca="false">IF(A252="","",SUMIFS(Vendas!$I$5:$I$304,Vendas!$C$5:$C$304,A252)*I252)</f>
        <v/>
      </c>
      <c r="L252" s="22" t="str">
        <f aca="false">IF(A252="","",MAX(0,K252-J252))</f>
        <v/>
      </c>
      <c r="M252" s="30" t="str">
        <f aca="false">IF(A252="","",COUNTIF(Catálogo!$C$5:$C$304,A252))</f>
        <v/>
      </c>
      <c r="N252" s="1"/>
      <c r="O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25"/>
      <c r="H253" s="25"/>
      <c r="I253" s="29"/>
      <c r="J253" s="21"/>
      <c r="K253" s="28" t="str">
        <f aca="false">IF(A253="","",SUMIFS(Vendas!$I$5:$I$304,Vendas!$C$5:$C$304,A253)*I253)</f>
        <v/>
      </c>
      <c r="L253" s="22" t="str">
        <f aca="false">IF(A253="","",MAX(0,K253-J253))</f>
        <v/>
      </c>
      <c r="M253" s="30" t="str">
        <f aca="false">IF(A253="","",COUNTIF(Catálogo!$C$5:$C$304,A253))</f>
        <v/>
      </c>
      <c r="N253" s="1"/>
      <c r="O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25"/>
      <c r="H254" s="25"/>
      <c r="I254" s="29"/>
      <c r="J254" s="21"/>
      <c r="K254" s="28" t="str">
        <f aca="false">IF(A254="","",SUMIFS(Vendas!$I$5:$I$304,Vendas!$C$5:$C$304,A254)*I254)</f>
        <v/>
      </c>
      <c r="L254" s="22" t="str">
        <f aca="false">IF(A254="","",MAX(0,K254-J254))</f>
        <v/>
      </c>
      <c r="M254" s="30" t="str">
        <f aca="false">IF(A254="","",COUNTIF(Catálogo!$C$5:$C$304,A254))</f>
        <v/>
      </c>
      <c r="N254" s="1"/>
      <c r="O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25"/>
      <c r="H255" s="25"/>
      <c r="I255" s="29"/>
      <c r="J255" s="21"/>
      <c r="K255" s="28" t="str">
        <f aca="false">IF(A255="","",SUMIFS(Vendas!$I$5:$I$304,Vendas!$C$5:$C$304,A255)*I255)</f>
        <v/>
      </c>
      <c r="L255" s="22" t="str">
        <f aca="false">IF(A255="","",MAX(0,K255-J255))</f>
        <v/>
      </c>
      <c r="M255" s="30" t="str">
        <f aca="false">IF(A255="","",COUNTIF(Catálogo!$C$5:$C$304,A255))</f>
        <v/>
      </c>
      <c r="N255" s="1"/>
      <c r="O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25"/>
      <c r="H256" s="25"/>
      <c r="I256" s="29"/>
      <c r="J256" s="21"/>
      <c r="K256" s="28" t="str">
        <f aca="false">IF(A256="","",SUMIFS(Vendas!$I$5:$I$304,Vendas!$C$5:$C$304,A256)*I256)</f>
        <v/>
      </c>
      <c r="L256" s="22" t="str">
        <f aca="false">IF(A256="","",MAX(0,K256-J256))</f>
        <v/>
      </c>
      <c r="M256" s="30" t="str">
        <f aca="false">IF(A256="","",COUNTIF(Catálogo!$C$5:$C$304,A256))</f>
        <v/>
      </c>
      <c r="N256" s="1"/>
      <c r="O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25"/>
      <c r="H257" s="25"/>
      <c r="I257" s="29"/>
      <c r="J257" s="21"/>
      <c r="K257" s="28" t="str">
        <f aca="false">IF(A257="","",SUMIFS(Vendas!$I$5:$I$304,Vendas!$C$5:$C$304,A257)*I257)</f>
        <v/>
      </c>
      <c r="L257" s="22" t="str">
        <f aca="false">IF(A257="","",MAX(0,K257-J257))</f>
        <v/>
      </c>
      <c r="M257" s="30" t="str">
        <f aca="false">IF(A257="","",COUNTIF(Catálogo!$C$5:$C$304,A257))</f>
        <v/>
      </c>
      <c r="N257" s="1"/>
      <c r="O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25"/>
      <c r="H258" s="25"/>
      <c r="I258" s="29"/>
      <c r="J258" s="21"/>
      <c r="K258" s="28" t="str">
        <f aca="false">IF(A258="","",SUMIFS(Vendas!$I$5:$I$304,Vendas!$C$5:$C$304,A258)*I258)</f>
        <v/>
      </c>
      <c r="L258" s="22" t="str">
        <f aca="false">IF(A258="","",MAX(0,K258-J258))</f>
        <v/>
      </c>
      <c r="M258" s="30" t="str">
        <f aca="false">IF(A258="","",COUNTIF(Catálogo!$C$5:$C$304,A258))</f>
        <v/>
      </c>
      <c r="N258" s="1"/>
      <c r="O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25"/>
      <c r="H259" s="25"/>
      <c r="I259" s="29"/>
      <c r="J259" s="21"/>
      <c r="K259" s="28" t="str">
        <f aca="false">IF(A259="","",SUMIFS(Vendas!$I$5:$I$304,Vendas!$C$5:$C$304,A259)*I259)</f>
        <v/>
      </c>
      <c r="L259" s="22" t="str">
        <f aca="false">IF(A259="","",MAX(0,K259-J259))</f>
        <v/>
      </c>
      <c r="M259" s="30" t="str">
        <f aca="false">IF(A259="","",COUNTIF(Catálogo!$C$5:$C$304,A259))</f>
        <v/>
      </c>
      <c r="N259" s="1"/>
      <c r="O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25"/>
      <c r="H260" s="25"/>
      <c r="I260" s="29"/>
      <c r="J260" s="21"/>
      <c r="K260" s="28" t="str">
        <f aca="false">IF(A260="","",SUMIFS(Vendas!$I$5:$I$304,Vendas!$C$5:$C$304,A260)*I260)</f>
        <v/>
      </c>
      <c r="L260" s="22" t="str">
        <f aca="false">IF(A260="","",MAX(0,K260-J260))</f>
        <v/>
      </c>
      <c r="M260" s="30" t="str">
        <f aca="false">IF(A260="","",COUNTIF(Catálogo!$C$5:$C$304,A260))</f>
        <v/>
      </c>
      <c r="N260" s="1"/>
      <c r="O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25"/>
      <c r="H261" s="25"/>
      <c r="I261" s="29"/>
      <c r="J261" s="21"/>
      <c r="K261" s="28" t="str">
        <f aca="false">IF(A261="","",SUMIFS(Vendas!$I$5:$I$304,Vendas!$C$5:$C$304,A261)*I261)</f>
        <v/>
      </c>
      <c r="L261" s="22" t="str">
        <f aca="false">IF(A261="","",MAX(0,K261-J261))</f>
        <v/>
      </c>
      <c r="M261" s="30" t="str">
        <f aca="false">IF(A261="","",COUNTIF(Catálogo!$C$5:$C$304,A261))</f>
        <v/>
      </c>
      <c r="N261" s="1"/>
      <c r="O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25"/>
      <c r="H262" s="25"/>
      <c r="I262" s="29"/>
      <c r="J262" s="21"/>
      <c r="K262" s="28" t="str">
        <f aca="false">IF(A262="","",SUMIFS(Vendas!$I$5:$I$304,Vendas!$C$5:$C$304,A262)*I262)</f>
        <v/>
      </c>
      <c r="L262" s="22" t="str">
        <f aca="false">IF(A262="","",MAX(0,K262-J262))</f>
        <v/>
      </c>
      <c r="M262" s="30" t="str">
        <f aca="false">IF(A262="","",COUNTIF(Catálogo!$C$5:$C$304,A262))</f>
        <v/>
      </c>
      <c r="N262" s="1"/>
      <c r="O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25"/>
      <c r="H263" s="25"/>
      <c r="I263" s="29"/>
      <c r="J263" s="21"/>
      <c r="K263" s="28" t="str">
        <f aca="false">IF(A263="","",SUMIFS(Vendas!$I$5:$I$304,Vendas!$C$5:$C$304,A263)*I263)</f>
        <v/>
      </c>
      <c r="L263" s="22" t="str">
        <f aca="false">IF(A263="","",MAX(0,K263-J263))</f>
        <v/>
      </c>
      <c r="M263" s="30" t="str">
        <f aca="false">IF(A263="","",COUNTIF(Catálogo!$C$5:$C$304,A263))</f>
        <v/>
      </c>
      <c r="N263" s="1"/>
      <c r="O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25"/>
      <c r="H264" s="25"/>
      <c r="I264" s="29"/>
      <c r="J264" s="21"/>
      <c r="K264" s="28" t="str">
        <f aca="false">IF(A264="","",SUMIFS(Vendas!$I$5:$I$304,Vendas!$C$5:$C$304,A264)*I264)</f>
        <v/>
      </c>
      <c r="L264" s="22" t="str">
        <f aca="false">IF(A264="","",MAX(0,K264-J264))</f>
        <v/>
      </c>
      <c r="M264" s="30" t="str">
        <f aca="false">IF(A264="","",COUNTIF(Catálogo!$C$5:$C$304,A264))</f>
        <v/>
      </c>
      <c r="N264" s="1"/>
      <c r="O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25"/>
      <c r="H265" s="25"/>
      <c r="I265" s="29"/>
      <c r="J265" s="21"/>
      <c r="K265" s="28" t="str">
        <f aca="false">IF(A265="","",SUMIFS(Vendas!$I$5:$I$304,Vendas!$C$5:$C$304,A265)*I265)</f>
        <v/>
      </c>
      <c r="L265" s="22" t="str">
        <f aca="false">IF(A265="","",MAX(0,K265-J265))</f>
        <v/>
      </c>
      <c r="M265" s="30" t="str">
        <f aca="false">IF(A265="","",COUNTIF(Catálogo!$C$5:$C$304,A265))</f>
        <v/>
      </c>
      <c r="N265" s="1"/>
      <c r="O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25"/>
      <c r="H266" s="25"/>
      <c r="I266" s="29"/>
      <c r="J266" s="21"/>
      <c r="K266" s="28" t="str">
        <f aca="false">IF(A266="","",SUMIFS(Vendas!$I$5:$I$304,Vendas!$C$5:$C$304,A266)*I266)</f>
        <v/>
      </c>
      <c r="L266" s="22" t="str">
        <f aca="false">IF(A266="","",MAX(0,K266-J266))</f>
        <v/>
      </c>
      <c r="M266" s="30" t="str">
        <f aca="false">IF(A266="","",COUNTIF(Catálogo!$C$5:$C$304,A266))</f>
        <v/>
      </c>
      <c r="N266" s="1"/>
      <c r="O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25"/>
      <c r="H267" s="25"/>
      <c r="I267" s="29"/>
      <c r="J267" s="21"/>
      <c r="K267" s="28" t="str">
        <f aca="false">IF(A267="","",SUMIFS(Vendas!$I$5:$I$304,Vendas!$C$5:$C$304,A267)*I267)</f>
        <v/>
      </c>
      <c r="L267" s="22" t="str">
        <f aca="false">IF(A267="","",MAX(0,K267-J267))</f>
        <v/>
      </c>
      <c r="M267" s="30" t="str">
        <f aca="false">IF(A267="","",COUNTIF(Catálogo!$C$5:$C$304,A267))</f>
        <v/>
      </c>
      <c r="N267" s="1"/>
      <c r="O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25"/>
      <c r="H268" s="25"/>
      <c r="I268" s="29"/>
      <c r="J268" s="21"/>
      <c r="K268" s="28" t="str">
        <f aca="false">IF(A268="","",SUMIFS(Vendas!$I$5:$I$304,Vendas!$C$5:$C$304,A268)*I268)</f>
        <v/>
      </c>
      <c r="L268" s="22" t="str">
        <f aca="false">IF(A268="","",MAX(0,K268-J268))</f>
        <v/>
      </c>
      <c r="M268" s="30" t="str">
        <f aca="false">IF(A268="","",COUNTIF(Catálogo!$C$5:$C$304,A268))</f>
        <v/>
      </c>
      <c r="N268" s="1"/>
      <c r="O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25"/>
      <c r="H269" s="25"/>
      <c r="I269" s="29"/>
      <c r="J269" s="21"/>
      <c r="K269" s="28" t="str">
        <f aca="false">IF(A269="","",SUMIFS(Vendas!$I$5:$I$304,Vendas!$C$5:$C$304,A269)*I269)</f>
        <v/>
      </c>
      <c r="L269" s="22" t="str">
        <f aca="false">IF(A269="","",MAX(0,K269-J269))</f>
        <v/>
      </c>
      <c r="M269" s="30" t="str">
        <f aca="false">IF(A269="","",COUNTIF(Catálogo!$C$5:$C$304,A269))</f>
        <v/>
      </c>
      <c r="N269" s="1"/>
      <c r="O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25"/>
      <c r="H270" s="25"/>
      <c r="I270" s="29"/>
      <c r="J270" s="21"/>
      <c r="K270" s="28" t="str">
        <f aca="false">IF(A270="","",SUMIFS(Vendas!$I$5:$I$304,Vendas!$C$5:$C$304,A270)*I270)</f>
        <v/>
      </c>
      <c r="L270" s="22" t="str">
        <f aca="false">IF(A270="","",MAX(0,K270-J270))</f>
        <v/>
      </c>
      <c r="M270" s="30" t="str">
        <f aca="false">IF(A270="","",COUNTIF(Catálogo!$C$5:$C$304,A270))</f>
        <v/>
      </c>
      <c r="N270" s="1"/>
      <c r="O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25"/>
      <c r="H271" s="25"/>
      <c r="I271" s="29"/>
      <c r="J271" s="21"/>
      <c r="K271" s="28" t="str">
        <f aca="false">IF(A271="","",SUMIFS(Vendas!$I$5:$I$304,Vendas!$C$5:$C$304,A271)*I271)</f>
        <v/>
      </c>
      <c r="L271" s="22" t="str">
        <f aca="false">IF(A271="","",MAX(0,K271-J271))</f>
        <v/>
      </c>
      <c r="M271" s="30" t="str">
        <f aca="false">IF(A271="","",COUNTIF(Catálogo!$C$5:$C$304,A271))</f>
        <v/>
      </c>
      <c r="N271" s="1"/>
      <c r="O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25"/>
      <c r="H272" s="25"/>
      <c r="I272" s="29"/>
      <c r="J272" s="21"/>
      <c r="K272" s="28" t="str">
        <f aca="false">IF(A272="","",SUMIFS(Vendas!$I$5:$I$304,Vendas!$C$5:$C$304,A272)*I272)</f>
        <v/>
      </c>
      <c r="L272" s="22" t="str">
        <f aca="false">IF(A272="","",MAX(0,K272-J272))</f>
        <v/>
      </c>
      <c r="M272" s="30" t="str">
        <f aca="false">IF(A272="","",COUNTIF(Catálogo!$C$5:$C$304,A272))</f>
        <v/>
      </c>
      <c r="N272" s="1"/>
      <c r="O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25"/>
      <c r="H273" s="25"/>
      <c r="I273" s="29"/>
      <c r="J273" s="21"/>
      <c r="K273" s="28" t="str">
        <f aca="false">IF(A273="","",SUMIFS(Vendas!$I$5:$I$304,Vendas!$C$5:$C$304,A273)*I273)</f>
        <v/>
      </c>
      <c r="L273" s="22" t="str">
        <f aca="false">IF(A273="","",MAX(0,K273-J273))</f>
        <v/>
      </c>
      <c r="M273" s="30" t="str">
        <f aca="false">IF(A273="","",COUNTIF(Catálogo!$C$5:$C$304,A273))</f>
        <v/>
      </c>
      <c r="N273" s="1"/>
      <c r="O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25"/>
      <c r="H274" s="25"/>
      <c r="I274" s="29"/>
      <c r="J274" s="21"/>
      <c r="K274" s="28" t="str">
        <f aca="false">IF(A274="","",SUMIFS(Vendas!$I$5:$I$304,Vendas!$C$5:$C$304,A274)*I274)</f>
        <v/>
      </c>
      <c r="L274" s="22" t="str">
        <f aca="false">IF(A274="","",MAX(0,K274-J274))</f>
        <v/>
      </c>
      <c r="M274" s="30" t="str">
        <f aca="false">IF(A274="","",COUNTIF(Catálogo!$C$5:$C$304,A274))</f>
        <v/>
      </c>
      <c r="N274" s="1"/>
      <c r="O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25"/>
      <c r="H275" s="25"/>
      <c r="I275" s="29"/>
      <c r="J275" s="21"/>
      <c r="K275" s="28" t="str">
        <f aca="false">IF(A275="","",SUMIFS(Vendas!$I$5:$I$304,Vendas!$C$5:$C$304,A275)*I275)</f>
        <v/>
      </c>
      <c r="L275" s="22" t="str">
        <f aca="false">IF(A275="","",MAX(0,K275-J275))</f>
        <v/>
      </c>
      <c r="M275" s="30" t="str">
        <f aca="false">IF(A275="","",COUNTIF(Catálogo!$C$5:$C$304,A275))</f>
        <v/>
      </c>
      <c r="N275" s="1"/>
      <c r="O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25"/>
      <c r="H276" s="25"/>
      <c r="I276" s="29"/>
      <c r="J276" s="21"/>
      <c r="K276" s="28" t="str">
        <f aca="false">IF(A276="","",SUMIFS(Vendas!$I$5:$I$304,Vendas!$C$5:$C$304,A276)*I276)</f>
        <v/>
      </c>
      <c r="L276" s="22" t="str">
        <f aca="false">IF(A276="","",MAX(0,K276-J276))</f>
        <v/>
      </c>
      <c r="M276" s="30" t="str">
        <f aca="false">IF(A276="","",COUNTIF(Catálogo!$C$5:$C$304,A276))</f>
        <v/>
      </c>
      <c r="N276" s="1"/>
      <c r="O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25"/>
      <c r="H277" s="25"/>
      <c r="I277" s="29"/>
      <c r="J277" s="21"/>
      <c r="K277" s="28" t="str">
        <f aca="false">IF(A277="","",SUMIFS(Vendas!$I$5:$I$304,Vendas!$C$5:$C$304,A277)*I277)</f>
        <v/>
      </c>
      <c r="L277" s="22" t="str">
        <f aca="false">IF(A277="","",MAX(0,K277-J277))</f>
        <v/>
      </c>
      <c r="M277" s="30" t="str">
        <f aca="false">IF(A277="","",COUNTIF(Catálogo!$C$5:$C$304,A277))</f>
        <v/>
      </c>
      <c r="N277" s="1"/>
      <c r="O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25"/>
      <c r="H278" s="25"/>
      <c r="I278" s="29"/>
      <c r="J278" s="21"/>
      <c r="K278" s="28" t="str">
        <f aca="false">IF(A278="","",SUMIFS(Vendas!$I$5:$I$304,Vendas!$C$5:$C$304,A278)*I278)</f>
        <v/>
      </c>
      <c r="L278" s="22" t="str">
        <f aca="false">IF(A278="","",MAX(0,K278-J278))</f>
        <v/>
      </c>
      <c r="M278" s="30" t="str">
        <f aca="false">IF(A278="","",COUNTIF(Catálogo!$C$5:$C$304,A278))</f>
        <v/>
      </c>
      <c r="N278" s="1"/>
      <c r="O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25"/>
      <c r="H279" s="25"/>
      <c r="I279" s="29"/>
      <c r="J279" s="21"/>
      <c r="K279" s="28" t="str">
        <f aca="false">IF(A279="","",SUMIFS(Vendas!$I$5:$I$304,Vendas!$C$5:$C$304,A279)*I279)</f>
        <v/>
      </c>
      <c r="L279" s="22" t="str">
        <f aca="false">IF(A279="","",MAX(0,K279-J279))</f>
        <v/>
      </c>
      <c r="M279" s="30" t="str">
        <f aca="false">IF(A279="","",COUNTIF(Catálogo!$C$5:$C$304,A279))</f>
        <v/>
      </c>
      <c r="N279" s="1"/>
      <c r="O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25"/>
      <c r="H280" s="25"/>
      <c r="I280" s="29"/>
      <c r="J280" s="21"/>
      <c r="K280" s="28" t="str">
        <f aca="false">IF(A280="","",SUMIFS(Vendas!$I$5:$I$304,Vendas!$C$5:$C$304,A280)*I280)</f>
        <v/>
      </c>
      <c r="L280" s="22" t="str">
        <f aca="false">IF(A280="","",MAX(0,K280-J280))</f>
        <v/>
      </c>
      <c r="M280" s="30" t="str">
        <f aca="false">IF(A280="","",COUNTIF(Catálogo!$C$5:$C$304,A280))</f>
        <v/>
      </c>
      <c r="N280" s="1"/>
      <c r="O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25"/>
      <c r="H281" s="25"/>
      <c r="I281" s="29"/>
      <c r="J281" s="21"/>
      <c r="K281" s="28" t="str">
        <f aca="false">IF(A281="","",SUMIFS(Vendas!$I$5:$I$304,Vendas!$C$5:$C$304,A281)*I281)</f>
        <v/>
      </c>
      <c r="L281" s="22" t="str">
        <f aca="false">IF(A281="","",MAX(0,K281-J281))</f>
        <v/>
      </c>
      <c r="M281" s="30" t="str">
        <f aca="false">IF(A281="","",COUNTIF(Catálogo!$C$5:$C$304,A281))</f>
        <v/>
      </c>
      <c r="N281" s="1"/>
      <c r="O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25"/>
      <c r="H282" s="25"/>
      <c r="I282" s="29"/>
      <c r="J282" s="21"/>
      <c r="K282" s="28" t="str">
        <f aca="false">IF(A282="","",SUMIFS(Vendas!$I$5:$I$304,Vendas!$C$5:$C$304,A282)*I282)</f>
        <v/>
      </c>
      <c r="L282" s="22" t="str">
        <f aca="false">IF(A282="","",MAX(0,K282-J282))</f>
        <v/>
      </c>
      <c r="M282" s="30" t="str">
        <f aca="false">IF(A282="","",COUNTIF(Catálogo!$C$5:$C$304,A282))</f>
        <v/>
      </c>
      <c r="N282" s="1"/>
      <c r="O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25"/>
      <c r="H283" s="25"/>
      <c r="I283" s="29"/>
      <c r="J283" s="21"/>
      <c r="K283" s="28" t="str">
        <f aca="false">IF(A283="","",SUMIFS(Vendas!$I$5:$I$304,Vendas!$C$5:$C$304,A283)*I283)</f>
        <v/>
      </c>
      <c r="L283" s="22" t="str">
        <f aca="false">IF(A283="","",MAX(0,K283-J283))</f>
        <v/>
      </c>
      <c r="M283" s="30" t="str">
        <f aca="false">IF(A283="","",COUNTIF(Catálogo!$C$5:$C$304,A283))</f>
        <v/>
      </c>
      <c r="N283" s="1"/>
      <c r="O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25"/>
      <c r="H284" s="25"/>
      <c r="I284" s="29"/>
      <c r="J284" s="21"/>
      <c r="K284" s="28" t="str">
        <f aca="false">IF(A284="","",SUMIFS(Vendas!$I$5:$I$304,Vendas!$C$5:$C$304,A284)*I284)</f>
        <v/>
      </c>
      <c r="L284" s="22" t="str">
        <f aca="false">IF(A284="","",MAX(0,K284-J284))</f>
        <v/>
      </c>
      <c r="M284" s="30" t="str">
        <f aca="false">IF(A284="","",COUNTIF(Catálogo!$C$5:$C$304,A284))</f>
        <v/>
      </c>
      <c r="N284" s="1"/>
      <c r="O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25"/>
      <c r="H285" s="25"/>
      <c r="I285" s="29"/>
      <c r="J285" s="21"/>
      <c r="K285" s="28" t="str">
        <f aca="false">IF(A285="","",SUMIFS(Vendas!$I$5:$I$304,Vendas!$C$5:$C$304,A285)*I285)</f>
        <v/>
      </c>
      <c r="L285" s="22" t="str">
        <f aca="false">IF(A285="","",MAX(0,K285-J285))</f>
        <v/>
      </c>
      <c r="M285" s="30" t="str">
        <f aca="false">IF(A285="","",COUNTIF(Catálogo!$C$5:$C$304,A285))</f>
        <v/>
      </c>
      <c r="N285" s="1"/>
      <c r="O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25"/>
      <c r="H286" s="25"/>
      <c r="I286" s="29"/>
      <c r="J286" s="21"/>
      <c r="K286" s="28" t="str">
        <f aca="false">IF(A286="","",SUMIFS(Vendas!$I$5:$I$304,Vendas!$C$5:$C$304,A286)*I286)</f>
        <v/>
      </c>
      <c r="L286" s="22" t="str">
        <f aca="false">IF(A286="","",MAX(0,K286-J286))</f>
        <v/>
      </c>
      <c r="M286" s="30" t="str">
        <f aca="false">IF(A286="","",COUNTIF(Catálogo!$C$5:$C$304,A286))</f>
        <v/>
      </c>
      <c r="N286" s="1"/>
      <c r="O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25"/>
      <c r="H287" s="25"/>
      <c r="I287" s="29"/>
      <c r="J287" s="21"/>
      <c r="K287" s="28" t="str">
        <f aca="false">IF(A287="","",SUMIFS(Vendas!$I$5:$I$304,Vendas!$C$5:$C$304,A287)*I287)</f>
        <v/>
      </c>
      <c r="L287" s="22" t="str">
        <f aca="false">IF(A287="","",MAX(0,K287-J287))</f>
        <v/>
      </c>
      <c r="M287" s="30" t="str">
        <f aca="false">IF(A287="","",COUNTIF(Catálogo!$C$5:$C$304,A287))</f>
        <v/>
      </c>
      <c r="N287" s="1"/>
      <c r="O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25"/>
      <c r="H288" s="25"/>
      <c r="I288" s="29"/>
      <c r="J288" s="21"/>
      <c r="K288" s="28" t="str">
        <f aca="false">IF(A288="","",SUMIFS(Vendas!$I$5:$I$304,Vendas!$C$5:$C$304,A288)*I288)</f>
        <v/>
      </c>
      <c r="L288" s="22" t="str">
        <f aca="false">IF(A288="","",MAX(0,K288-J288))</f>
        <v/>
      </c>
      <c r="M288" s="30" t="str">
        <f aca="false">IF(A288="","",COUNTIF(Catálogo!$C$5:$C$304,A288))</f>
        <v/>
      </c>
      <c r="N288" s="1"/>
      <c r="O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25"/>
      <c r="H289" s="25"/>
      <c r="I289" s="29"/>
      <c r="J289" s="21"/>
      <c r="K289" s="28" t="str">
        <f aca="false">IF(A289="","",SUMIFS(Vendas!$I$5:$I$304,Vendas!$C$5:$C$304,A289)*I289)</f>
        <v/>
      </c>
      <c r="L289" s="22" t="str">
        <f aca="false">IF(A289="","",MAX(0,K289-J289))</f>
        <v/>
      </c>
      <c r="M289" s="30" t="str">
        <f aca="false">IF(A289="","",COUNTIF(Catálogo!$C$5:$C$304,A289))</f>
        <v/>
      </c>
      <c r="N289" s="1"/>
      <c r="O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25"/>
      <c r="H290" s="25"/>
      <c r="I290" s="29"/>
      <c r="J290" s="21"/>
      <c r="K290" s="28" t="str">
        <f aca="false">IF(A290="","",SUMIFS(Vendas!$I$5:$I$304,Vendas!$C$5:$C$304,A290)*I290)</f>
        <v/>
      </c>
      <c r="L290" s="22" t="str">
        <f aca="false">IF(A290="","",MAX(0,K290-J290))</f>
        <v/>
      </c>
      <c r="M290" s="30" t="str">
        <f aca="false">IF(A290="","",COUNTIF(Catálogo!$C$5:$C$304,A290))</f>
        <v/>
      </c>
      <c r="N290" s="1"/>
      <c r="O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25"/>
      <c r="H291" s="25"/>
      <c r="I291" s="29"/>
      <c r="J291" s="21"/>
      <c r="K291" s="28" t="str">
        <f aca="false">IF(A291="","",SUMIFS(Vendas!$I$5:$I$304,Vendas!$C$5:$C$304,A291)*I291)</f>
        <v/>
      </c>
      <c r="L291" s="22" t="str">
        <f aca="false">IF(A291="","",MAX(0,K291-J291))</f>
        <v/>
      </c>
      <c r="M291" s="30" t="str">
        <f aca="false">IF(A291="","",COUNTIF(Catálogo!$C$5:$C$304,A291))</f>
        <v/>
      </c>
      <c r="N291" s="1"/>
      <c r="O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25"/>
      <c r="H292" s="25"/>
      <c r="I292" s="29"/>
      <c r="J292" s="21"/>
      <c r="K292" s="28" t="str">
        <f aca="false">IF(A292="","",SUMIFS(Vendas!$I$5:$I$304,Vendas!$C$5:$C$304,A292)*I292)</f>
        <v/>
      </c>
      <c r="L292" s="22" t="str">
        <f aca="false">IF(A292="","",MAX(0,K292-J292))</f>
        <v/>
      </c>
      <c r="M292" s="30" t="str">
        <f aca="false">IF(A292="","",COUNTIF(Catálogo!$C$5:$C$304,A292))</f>
        <v/>
      </c>
      <c r="N292" s="1"/>
      <c r="O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25"/>
      <c r="H293" s="25"/>
      <c r="I293" s="29"/>
      <c r="J293" s="21"/>
      <c r="K293" s="28" t="str">
        <f aca="false">IF(A293="","",SUMIFS(Vendas!$I$5:$I$304,Vendas!$C$5:$C$304,A293)*I293)</f>
        <v/>
      </c>
      <c r="L293" s="22" t="str">
        <f aca="false">IF(A293="","",MAX(0,K293-J293))</f>
        <v/>
      </c>
      <c r="M293" s="30" t="str">
        <f aca="false">IF(A293="","",COUNTIF(Catálogo!$C$5:$C$304,A293))</f>
        <v/>
      </c>
      <c r="N293" s="1"/>
      <c r="O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25"/>
      <c r="H294" s="25"/>
      <c r="I294" s="29"/>
      <c r="J294" s="21"/>
      <c r="K294" s="28" t="str">
        <f aca="false">IF(A294="","",SUMIFS(Vendas!$I$5:$I$304,Vendas!$C$5:$C$304,A294)*I294)</f>
        <v/>
      </c>
      <c r="L294" s="22" t="str">
        <f aca="false">IF(A294="","",MAX(0,K294-J294))</f>
        <v/>
      </c>
      <c r="M294" s="30" t="str">
        <f aca="false">IF(A294="","",COUNTIF(Catálogo!$C$5:$C$304,A294))</f>
        <v/>
      </c>
      <c r="N294" s="1"/>
      <c r="O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25"/>
      <c r="H295" s="25"/>
      <c r="I295" s="29"/>
      <c r="J295" s="21"/>
      <c r="K295" s="28" t="str">
        <f aca="false">IF(A295="","",SUMIFS(Vendas!$I$5:$I$304,Vendas!$C$5:$C$304,A295)*I295)</f>
        <v/>
      </c>
      <c r="L295" s="22" t="str">
        <f aca="false">IF(A295="","",MAX(0,K295-J295))</f>
        <v/>
      </c>
      <c r="M295" s="30" t="str">
        <f aca="false">IF(A295="","",COUNTIF(Catálogo!$C$5:$C$304,A295))</f>
        <v/>
      </c>
      <c r="N295" s="1"/>
      <c r="O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25"/>
      <c r="H296" s="25"/>
      <c r="I296" s="29"/>
      <c r="J296" s="21"/>
      <c r="K296" s="28" t="str">
        <f aca="false">IF(A296="","",SUMIFS(Vendas!$I$5:$I$304,Vendas!$C$5:$C$304,A296)*I296)</f>
        <v/>
      </c>
      <c r="L296" s="22" t="str">
        <f aca="false">IF(A296="","",MAX(0,K296-J296))</f>
        <v/>
      </c>
      <c r="M296" s="30" t="str">
        <f aca="false">IF(A296="","",COUNTIF(Catálogo!$C$5:$C$304,A296))</f>
        <v/>
      </c>
      <c r="N296" s="1"/>
      <c r="O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25"/>
      <c r="H297" s="25"/>
      <c r="I297" s="29"/>
      <c r="J297" s="21"/>
      <c r="K297" s="28" t="str">
        <f aca="false">IF(A297="","",SUMIFS(Vendas!$I$5:$I$304,Vendas!$C$5:$C$304,A297)*I297)</f>
        <v/>
      </c>
      <c r="L297" s="22" t="str">
        <f aca="false">IF(A297="","",MAX(0,K297-J297))</f>
        <v/>
      </c>
      <c r="M297" s="30" t="str">
        <f aca="false">IF(A297="","",COUNTIF(Catálogo!$C$5:$C$304,A297))</f>
        <v/>
      </c>
      <c r="N297" s="1"/>
      <c r="O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25"/>
      <c r="H298" s="25"/>
      <c r="I298" s="29"/>
      <c r="J298" s="21"/>
      <c r="K298" s="28" t="str">
        <f aca="false">IF(A298="","",SUMIFS(Vendas!$I$5:$I$304,Vendas!$C$5:$C$304,A298)*I298)</f>
        <v/>
      </c>
      <c r="L298" s="22" t="str">
        <f aca="false">IF(A298="","",MAX(0,K298-J298))</f>
        <v/>
      </c>
      <c r="M298" s="30" t="str">
        <f aca="false">IF(A298="","",COUNTIF(Catálogo!$C$5:$C$304,A298))</f>
        <v/>
      </c>
      <c r="N298" s="1"/>
      <c r="O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25"/>
      <c r="H299" s="25"/>
      <c r="I299" s="29"/>
      <c r="J299" s="21"/>
      <c r="K299" s="28" t="str">
        <f aca="false">IF(A299="","",SUMIFS(Vendas!$I$5:$I$304,Vendas!$C$5:$C$304,A299)*I299)</f>
        <v/>
      </c>
      <c r="L299" s="22" t="str">
        <f aca="false">IF(A299="","",MAX(0,K299-J299))</f>
        <v/>
      </c>
      <c r="M299" s="30" t="str">
        <f aca="false">IF(A299="","",COUNTIF(Catálogo!$C$5:$C$304,A299))</f>
        <v/>
      </c>
      <c r="N299" s="1"/>
      <c r="O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25"/>
      <c r="H300" s="25"/>
      <c r="I300" s="29"/>
      <c r="J300" s="21"/>
      <c r="K300" s="28" t="str">
        <f aca="false">IF(A300="","",SUMIFS(Vendas!$I$5:$I$304,Vendas!$C$5:$C$304,A300)*I300)</f>
        <v/>
      </c>
      <c r="L300" s="22" t="str">
        <f aca="false">IF(A300="","",MAX(0,K300-J300))</f>
        <v/>
      </c>
      <c r="M300" s="30" t="str">
        <f aca="false">IF(A300="","",COUNTIF(Catálogo!$C$5:$C$304,A300))</f>
        <v/>
      </c>
      <c r="N300" s="1"/>
      <c r="O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25"/>
      <c r="H301" s="25"/>
      <c r="I301" s="29"/>
      <c r="J301" s="21"/>
      <c r="K301" s="28" t="str">
        <f aca="false">IF(A301="","",SUMIFS(Vendas!$I$5:$I$304,Vendas!$C$5:$C$304,A301)*I301)</f>
        <v/>
      </c>
      <c r="L301" s="22" t="str">
        <f aca="false">IF(A301="","",MAX(0,K301-J301))</f>
        <v/>
      </c>
      <c r="M301" s="30" t="str">
        <f aca="false">IF(A301="","",COUNTIF(Catálogo!$C$5:$C$304,A301))</f>
        <v/>
      </c>
      <c r="N301" s="1"/>
      <c r="O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25"/>
      <c r="H302" s="25"/>
      <c r="I302" s="29"/>
      <c r="J302" s="21"/>
      <c r="K302" s="28" t="str">
        <f aca="false">IF(A302="","",SUMIFS(Vendas!$I$5:$I$304,Vendas!$C$5:$C$304,A302)*I302)</f>
        <v/>
      </c>
      <c r="L302" s="22" t="str">
        <f aca="false">IF(A302="","",MAX(0,K302-J302))</f>
        <v/>
      </c>
      <c r="M302" s="30" t="str">
        <f aca="false">IF(A302="","",COUNTIF(Catálogo!$C$5:$C$304,A302))</f>
        <v/>
      </c>
      <c r="N302" s="1"/>
      <c r="O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25"/>
      <c r="H303" s="25"/>
      <c r="I303" s="29"/>
      <c r="J303" s="21"/>
      <c r="K303" s="28" t="str">
        <f aca="false">IF(A303="","",SUMIFS(Vendas!$I$5:$I$304,Vendas!$C$5:$C$304,A303)*I303)</f>
        <v/>
      </c>
      <c r="L303" s="22" t="str">
        <f aca="false">IF(A303="","",MAX(0,K303-J303))</f>
        <v/>
      </c>
      <c r="M303" s="30" t="str">
        <f aca="false">IF(A303="","",COUNTIF(Catálogo!$C$5:$C$304,A303))</f>
        <v/>
      </c>
      <c r="N303" s="1"/>
      <c r="O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25"/>
      <c r="H304" s="25"/>
      <c r="I304" s="29"/>
      <c r="J304" s="21"/>
      <c r="K304" s="28" t="str">
        <f aca="false">IF(A304="","",SUMIFS(Vendas!$I$5:$I$304,Vendas!$C$5:$C$304,A304)*I304)</f>
        <v/>
      </c>
      <c r="L304" s="22" t="str">
        <f aca="false">IF(A304="","",MAX(0,K304-J304))</f>
        <v/>
      </c>
      <c r="M304" s="30" t="str">
        <f aca="false">IF(A304="","",COUNTIF(Catálogo!$C$5:$C$304,A304))</f>
        <v/>
      </c>
      <c r="N304" s="1"/>
      <c r="O304" s="1"/>
    </row>
  </sheetData>
  <autoFilter ref="A4:O3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6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3" t="s">
        <v>135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30" hidden="false" customHeight="true" outlineLevel="0" collapsed="false">
      <c r="A4" s="18" t="s">
        <v>82</v>
      </c>
      <c r="B4" s="18" t="s">
        <v>136</v>
      </c>
      <c r="C4" s="18" t="s">
        <v>137</v>
      </c>
      <c r="D4" s="18" t="s">
        <v>138</v>
      </c>
      <c r="E4" s="18" t="s">
        <v>139</v>
      </c>
      <c r="F4" s="18" t="s">
        <v>140</v>
      </c>
      <c r="G4" s="18" t="s">
        <v>93</v>
      </c>
      <c r="H4" s="18" t="s">
        <v>141</v>
      </c>
      <c r="I4" s="18" t="s">
        <v>142</v>
      </c>
      <c r="J4" s="18" t="s">
        <v>143</v>
      </c>
      <c r="K4" s="18" t="s">
        <v>144</v>
      </c>
    </row>
    <row r="5" customFormat="false" ht="15" hidden="false" customHeight="false" outlineLevel="0" collapsed="false">
      <c r="A5" s="19" t="s">
        <v>99</v>
      </c>
      <c r="B5" s="19" t="s">
        <v>145</v>
      </c>
      <c r="C5" s="19" t="s">
        <v>146</v>
      </c>
      <c r="D5" s="25" t="n">
        <v>46235</v>
      </c>
      <c r="E5" s="25" t="n">
        <v>46244</v>
      </c>
      <c r="F5" s="25" t="n">
        <v>46243</v>
      </c>
      <c r="G5" s="19" t="s">
        <v>147</v>
      </c>
      <c r="H5" s="31" t="n">
        <f aca="true">IF(E5="","",IF(F5&lt;&gt;"",MAX(0,F5-E5),MAX(0,TODAY()-E5)))</f>
        <v>0</v>
      </c>
      <c r="I5" s="21" t="n">
        <v>1500</v>
      </c>
      <c r="J5" s="21" t="n">
        <v>1500</v>
      </c>
      <c r="K5" s="19" t="s">
        <v>104</v>
      </c>
    </row>
    <row r="6" customFormat="false" ht="15" hidden="false" customHeight="false" outlineLevel="0" collapsed="false">
      <c r="A6" s="19" t="s">
        <v>99</v>
      </c>
      <c r="B6" s="19" t="s">
        <v>148</v>
      </c>
      <c r="C6" s="19" t="s">
        <v>149</v>
      </c>
      <c r="D6" s="25" t="n">
        <v>46245</v>
      </c>
      <c r="E6" s="25" t="n">
        <v>46254</v>
      </c>
      <c r="F6" s="25" t="n">
        <v>46253</v>
      </c>
      <c r="G6" s="19" t="s">
        <v>147</v>
      </c>
      <c r="H6" s="31" t="n">
        <f aca="true">IF(E6="","",IF(F6&lt;&gt;"",MAX(0,F6-E6),MAX(0,TODAY()-E6)))</f>
        <v>0</v>
      </c>
      <c r="I6" s="21" t="n">
        <v>900</v>
      </c>
      <c r="J6" s="21" t="n">
        <v>950</v>
      </c>
      <c r="K6" s="1"/>
    </row>
    <row r="7" customFormat="false" ht="15" hidden="false" customHeight="false" outlineLevel="0" collapsed="false">
      <c r="A7" s="19" t="s">
        <v>99</v>
      </c>
      <c r="B7" s="19" t="s">
        <v>150</v>
      </c>
      <c r="C7" s="19" t="s">
        <v>151</v>
      </c>
      <c r="D7" s="25" t="n">
        <v>46255</v>
      </c>
      <c r="E7" s="25" t="n">
        <v>46264</v>
      </c>
      <c r="F7" s="25" t="n">
        <v>46263</v>
      </c>
      <c r="G7" s="19" t="s">
        <v>147</v>
      </c>
      <c r="H7" s="31" t="n">
        <f aca="true">IF(E7="","",IF(F7&lt;&gt;"",MAX(0,F7-E7),MAX(0,TODAY()-E7)))</f>
        <v>0</v>
      </c>
      <c r="I7" s="21" t="n">
        <v>800</v>
      </c>
      <c r="J7" s="21" t="n">
        <v>800</v>
      </c>
      <c r="K7" s="1"/>
    </row>
    <row r="8" customFormat="false" ht="15" hidden="false" customHeight="false" outlineLevel="0" collapsed="false">
      <c r="A8" s="19" t="s">
        <v>99</v>
      </c>
      <c r="B8" s="19" t="s">
        <v>152</v>
      </c>
      <c r="C8" s="19" t="s">
        <v>151</v>
      </c>
      <c r="D8" s="25" t="n">
        <v>46265</v>
      </c>
      <c r="E8" s="25" t="n">
        <v>46274</v>
      </c>
      <c r="F8" s="25"/>
      <c r="G8" s="19" t="s">
        <v>153</v>
      </c>
      <c r="H8" s="31" t="n">
        <f aca="true">IF(E8="","",IF(F8&lt;&gt;"",MAX(0,F8-E8),MAX(0,TODAY()-E8)))</f>
        <v>38</v>
      </c>
      <c r="I8" s="21" t="n">
        <v>1200</v>
      </c>
      <c r="J8" s="21"/>
      <c r="K8" s="1"/>
    </row>
    <row r="9" customFormat="false" ht="15" hidden="false" customHeight="false" outlineLevel="0" collapsed="false">
      <c r="A9" s="19" t="s">
        <v>99</v>
      </c>
      <c r="B9" s="19" t="s">
        <v>154</v>
      </c>
      <c r="C9" s="19" t="s">
        <v>155</v>
      </c>
      <c r="D9" s="25" t="n">
        <v>46275</v>
      </c>
      <c r="E9" s="25" t="n">
        <v>46284</v>
      </c>
      <c r="F9" s="25"/>
      <c r="G9" s="19" t="s">
        <v>156</v>
      </c>
      <c r="H9" s="31" t="n">
        <f aca="true">IF(E9="","",IF(F9&lt;&gt;"",MAX(0,F9-E9),MAX(0,TODAY()-E9)))</f>
        <v>28</v>
      </c>
      <c r="I9" s="21" t="n">
        <v>9800</v>
      </c>
      <c r="J9" s="21"/>
      <c r="K9" s="1"/>
    </row>
    <row r="10" customFormat="false" ht="15" hidden="false" customHeight="false" outlineLevel="0" collapsed="false">
      <c r="A10" s="1"/>
      <c r="B10" s="1"/>
      <c r="C10" s="1"/>
      <c r="D10" s="25"/>
      <c r="E10" s="25"/>
      <c r="F10" s="25"/>
      <c r="G10" s="1"/>
      <c r="H10" s="31" t="str">
        <f aca="true">IF(E10="","",IF(F10&lt;&gt;"",MAX(0,F10-E10),MAX(0,TODAY()-E10)))</f>
        <v/>
      </c>
      <c r="I10" s="21"/>
      <c r="J10" s="21"/>
      <c r="K10" s="1"/>
    </row>
    <row r="11" customFormat="false" ht="15" hidden="false" customHeight="false" outlineLevel="0" collapsed="false">
      <c r="A11" s="1"/>
      <c r="B11" s="1"/>
      <c r="C11" s="1"/>
      <c r="D11" s="25"/>
      <c r="E11" s="25"/>
      <c r="F11" s="25"/>
      <c r="G11" s="1"/>
      <c r="H11" s="31" t="str">
        <f aca="true">IF(E11="","",IF(F11&lt;&gt;"",MAX(0,F11-E11),MAX(0,TODAY()-E11)))</f>
        <v/>
      </c>
      <c r="I11" s="21"/>
      <c r="J11" s="21"/>
      <c r="K11" s="1"/>
    </row>
    <row r="12" customFormat="false" ht="15" hidden="false" customHeight="false" outlineLevel="0" collapsed="false">
      <c r="A12" s="1"/>
      <c r="B12" s="1"/>
      <c r="C12" s="1"/>
      <c r="D12" s="25"/>
      <c r="E12" s="25"/>
      <c r="F12" s="25"/>
      <c r="G12" s="1"/>
      <c r="H12" s="31" t="str">
        <f aca="true">IF(E12="","",IF(F12&lt;&gt;"",MAX(0,F12-E12),MAX(0,TODAY()-E12)))</f>
        <v/>
      </c>
      <c r="I12" s="21"/>
      <c r="J12" s="21"/>
      <c r="K12" s="1"/>
    </row>
    <row r="13" customFormat="false" ht="15" hidden="false" customHeight="false" outlineLevel="0" collapsed="false">
      <c r="A13" s="1"/>
      <c r="B13" s="1"/>
      <c r="C13" s="1"/>
      <c r="D13" s="25"/>
      <c r="E13" s="25"/>
      <c r="F13" s="25"/>
      <c r="G13" s="1"/>
      <c r="H13" s="31" t="str">
        <f aca="true">IF(E13="","",IF(F13&lt;&gt;"",MAX(0,F13-E13),MAX(0,TODAY()-E13)))</f>
        <v/>
      </c>
      <c r="I13" s="21"/>
      <c r="J13" s="21"/>
      <c r="K13" s="1"/>
    </row>
    <row r="14" customFormat="false" ht="15" hidden="false" customHeight="false" outlineLevel="0" collapsed="false">
      <c r="A14" s="1"/>
      <c r="B14" s="1"/>
      <c r="C14" s="1"/>
      <c r="D14" s="25"/>
      <c r="E14" s="25"/>
      <c r="F14" s="25"/>
      <c r="G14" s="1"/>
      <c r="H14" s="31" t="str">
        <f aca="true">IF(E14="","",IF(F14&lt;&gt;"",MAX(0,F14-E14),MAX(0,TODAY()-E14)))</f>
        <v/>
      </c>
      <c r="I14" s="21"/>
      <c r="J14" s="21"/>
      <c r="K14" s="1"/>
    </row>
    <row r="15" customFormat="false" ht="15" hidden="false" customHeight="false" outlineLevel="0" collapsed="false">
      <c r="A15" s="1"/>
      <c r="B15" s="1"/>
      <c r="C15" s="1"/>
      <c r="D15" s="25"/>
      <c r="E15" s="25"/>
      <c r="F15" s="25"/>
      <c r="G15" s="1"/>
      <c r="H15" s="31" t="str">
        <f aca="true">IF(E15="","",IF(F15&lt;&gt;"",MAX(0,F15-E15),MAX(0,TODAY()-E15)))</f>
        <v/>
      </c>
      <c r="I15" s="21"/>
      <c r="J15" s="21"/>
      <c r="K15" s="1"/>
    </row>
    <row r="16" customFormat="false" ht="15" hidden="false" customHeight="false" outlineLevel="0" collapsed="false">
      <c r="A16" s="1"/>
      <c r="B16" s="1"/>
      <c r="C16" s="1"/>
      <c r="D16" s="25"/>
      <c r="E16" s="25"/>
      <c r="F16" s="25"/>
      <c r="G16" s="1"/>
      <c r="H16" s="31" t="str">
        <f aca="true">IF(E16="","",IF(F16&lt;&gt;"",MAX(0,F16-E16),MAX(0,TODAY()-E16)))</f>
        <v/>
      </c>
      <c r="I16" s="21"/>
      <c r="J16" s="21"/>
      <c r="K16" s="1"/>
    </row>
    <row r="17" customFormat="false" ht="15" hidden="false" customHeight="false" outlineLevel="0" collapsed="false">
      <c r="A17" s="1"/>
      <c r="B17" s="1"/>
      <c r="C17" s="1"/>
      <c r="D17" s="25"/>
      <c r="E17" s="25"/>
      <c r="F17" s="25"/>
      <c r="G17" s="1"/>
      <c r="H17" s="31" t="str">
        <f aca="true">IF(E17="","",IF(F17&lt;&gt;"",MAX(0,F17-E17),MAX(0,TODAY()-E17)))</f>
        <v/>
      </c>
      <c r="I17" s="21"/>
      <c r="J17" s="21"/>
      <c r="K17" s="1"/>
    </row>
    <row r="18" customFormat="false" ht="15" hidden="false" customHeight="false" outlineLevel="0" collapsed="false">
      <c r="A18" s="1"/>
      <c r="B18" s="1"/>
      <c r="C18" s="1"/>
      <c r="D18" s="25"/>
      <c r="E18" s="25"/>
      <c r="F18" s="25"/>
      <c r="G18" s="1"/>
      <c r="H18" s="31" t="str">
        <f aca="true">IF(E18="","",IF(F18&lt;&gt;"",MAX(0,F18-E18),MAX(0,TODAY()-E18)))</f>
        <v/>
      </c>
      <c r="I18" s="21"/>
      <c r="J18" s="21"/>
      <c r="K18" s="1"/>
    </row>
    <row r="19" customFormat="false" ht="15" hidden="false" customHeight="false" outlineLevel="0" collapsed="false">
      <c r="A19" s="1"/>
      <c r="B19" s="1"/>
      <c r="C19" s="1"/>
      <c r="D19" s="25"/>
      <c r="E19" s="25"/>
      <c r="F19" s="25"/>
      <c r="G19" s="1"/>
      <c r="H19" s="31" t="str">
        <f aca="true">IF(E19="","",IF(F19&lt;&gt;"",MAX(0,F19-E19),MAX(0,TODAY()-E19)))</f>
        <v/>
      </c>
      <c r="I19" s="21"/>
      <c r="J19" s="21"/>
      <c r="K19" s="1"/>
    </row>
    <row r="20" customFormat="false" ht="15" hidden="false" customHeight="false" outlineLevel="0" collapsed="false">
      <c r="A20" s="1"/>
      <c r="B20" s="1"/>
      <c r="C20" s="1"/>
      <c r="D20" s="25"/>
      <c r="E20" s="25"/>
      <c r="F20" s="25"/>
      <c r="G20" s="1"/>
      <c r="H20" s="31" t="str">
        <f aca="true">IF(E20="","",IF(F20&lt;&gt;"",MAX(0,F20-E20),MAX(0,TODAY()-E20)))</f>
        <v/>
      </c>
      <c r="I20" s="21"/>
      <c r="J20" s="21"/>
      <c r="K20" s="1"/>
    </row>
    <row r="21" customFormat="false" ht="15" hidden="false" customHeight="false" outlineLevel="0" collapsed="false">
      <c r="A21" s="1"/>
      <c r="B21" s="1"/>
      <c r="C21" s="1"/>
      <c r="D21" s="25"/>
      <c r="E21" s="25"/>
      <c r="F21" s="25"/>
      <c r="G21" s="1"/>
      <c r="H21" s="31" t="str">
        <f aca="true">IF(E21="","",IF(F21&lt;&gt;"",MAX(0,F21-E21),MAX(0,TODAY()-E21)))</f>
        <v/>
      </c>
      <c r="I21" s="21"/>
      <c r="J21" s="21"/>
      <c r="K21" s="1"/>
    </row>
    <row r="22" customFormat="false" ht="15" hidden="false" customHeight="false" outlineLevel="0" collapsed="false">
      <c r="A22" s="1"/>
      <c r="B22" s="1"/>
      <c r="C22" s="1"/>
      <c r="D22" s="25"/>
      <c r="E22" s="25"/>
      <c r="F22" s="25"/>
      <c r="G22" s="1"/>
      <c r="H22" s="31" t="str">
        <f aca="true">IF(E22="","",IF(F22&lt;&gt;"",MAX(0,F22-E22),MAX(0,TODAY()-E22)))</f>
        <v/>
      </c>
      <c r="I22" s="21"/>
      <c r="J22" s="21"/>
      <c r="K22" s="1"/>
    </row>
    <row r="23" customFormat="false" ht="15" hidden="false" customHeight="false" outlineLevel="0" collapsed="false">
      <c r="A23" s="1"/>
      <c r="B23" s="1"/>
      <c r="C23" s="1"/>
      <c r="D23" s="25"/>
      <c r="E23" s="25"/>
      <c r="F23" s="25"/>
      <c r="G23" s="1"/>
      <c r="H23" s="31" t="str">
        <f aca="true">IF(E23="","",IF(F23&lt;&gt;"",MAX(0,F23-E23),MAX(0,TODAY()-E23)))</f>
        <v/>
      </c>
      <c r="I23" s="21"/>
      <c r="J23" s="21"/>
      <c r="K23" s="1"/>
    </row>
    <row r="24" customFormat="false" ht="15" hidden="false" customHeight="false" outlineLevel="0" collapsed="false">
      <c r="A24" s="1"/>
      <c r="B24" s="1"/>
      <c r="C24" s="1"/>
      <c r="D24" s="25"/>
      <c r="E24" s="25"/>
      <c r="F24" s="25"/>
      <c r="G24" s="1"/>
      <c r="H24" s="31" t="str">
        <f aca="true">IF(E24="","",IF(F24&lt;&gt;"",MAX(0,F24-E24),MAX(0,TODAY()-E24)))</f>
        <v/>
      </c>
      <c r="I24" s="21"/>
      <c r="J24" s="21"/>
      <c r="K24" s="1"/>
    </row>
    <row r="25" customFormat="false" ht="15" hidden="false" customHeight="false" outlineLevel="0" collapsed="false">
      <c r="A25" s="1"/>
      <c r="B25" s="1"/>
      <c r="C25" s="1"/>
      <c r="D25" s="25"/>
      <c r="E25" s="25"/>
      <c r="F25" s="25"/>
      <c r="G25" s="1"/>
      <c r="H25" s="31" t="str">
        <f aca="true">IF(E25="","",IF(F25&lt;&gt;"",MAX(0,F25-E25),MAX(0,TODAY()-E25)))</f>
        <v/>
      </c>
      <c r="I25" s="21"/>
      <c r="J25" s="21"/>
      <c r="K25" s="1"/>
    </row>
    <row r="26" customFormat="false" ht="15" hidden="false" customHeight="false" outlineLevel="0" collapsed="false">
      <c r="A26" s="1"/>
      <c r="B26" s="1"/>
      <c r="C26" s="1"/>
      <c r="D26" s="25"/>
      <c r="E26" s="25"/>
      <c r="F26" s="25"/>
      <c r="G26" s="1"/>
      <c r="H26" s="31" t="str">
        <f aca="true">IF(E26="","",IF(F26&lt;&gt;"",MAX(0,F26-E26),MAX(0,TODAY()-E26)))</f>
        <v/>
      </c>
      <c r="I26" s="21"/>
      <c r="J26" s="21"/>
      <c r="K26" s="1"/>
    </row>
    <row r="27" customFormat="false" ht="15" hidden="false" customHeight="false" outlineLevel="0" collapsed="false">
      <c r="A27" s="1"/>
      <c r="B27" s="1"/>
      <c r="C27" s="1"/>
      <c r="D27" s="25"/>
      <c r="E27" s="25"/>
      <c r="F27" s="25"/>
      <c r="G27" s="1"/>
      <c r="H27" s="31" t="str">
        <f aca="true">IF(E27="","",IF(F27&lt;&gt;"",MAX(0,F27-E27),MAX(0,TODAY()-E27)))</f>
        <v/>
      </c>
      <c r="I27" s="21"/>
      <c r="J27" s="21"/>
      <c r="K27" s="1"/>
    </row>
    <row r="28" customFormat="false" ht="15" hidden="false" customHeight="false" outlineLevel="0" collapsed="false">
      <c r="A28" s="1"/>
      <c r="B28" s="1"/>
      <c r="C28" s="1"/>
      <c r="D28" s="25"/>
      <c r="E28" s="25"/>
      <c r="F28" s="25"/>
      <c r="G28" s="1"/>
      <c r="H28" s="31" t="str">
        <f aca="true">IF(E28="","",IF(F28&lt;&gt;"",MAX(0,F28-E28),MAX(0,TODAY()-E28)))</f>
        <v/>
      </c>
      <c r="I28" s="21"/>
      <c r="J28" s="21"/>
      <c r="K28" s="1"/>
    </row>
    <row r="29" customFormat="false" ht="15" hidden="false" customHeight="false" outlineLevel="0" collapsed="false">
      <c r="A29" s="1"/>
      <c r="B29" s="1"/>
      <c r="C29" s="1"/>
      <c r="D29" s="25"/>
      <c r="E29" s="25"/>
      <c r="F29" s="25"/>
      <c r="G29" s="1"/>
      <c r="H29" s="31" t="str">
        <f aca="true">IF(E29="","",IF(F29&lt;&gt;"",MAX(0,F29-E29),MAX(0,TODAY()-E29)))</f>
        <v/>
      </c>
      <c r="I29" s="21"/>
      <c r="J29" s="21"/>
      <c r="K29" s="1"/>
    </row>
    <row r="30" customFormat="false" ht="15" hidden="false" customHeight="false" outlineLevel="0" collapsed="false">
      <c r="A30" s="1"/>
      <c r="B30" s="1"/>
      <c r="C30" s="1"/>
      <c r="D30" s="25"/>
      <c r="E30" s="25"/>
      <c r="F30" s="25"/>
      <c r="G30" s="1"/>
      <c r="H30" s="31" t="str">
        <f aca="true">IF(E30="","",IF(F30&lt;&gt;"",MAX(0,F30-E30),MAX(0,TODAY()-E30)))</f>
        <v/>
      </c>
      <c r="I30" s="21"/>
      <c r="J30" s="21"/>
      <c r="K30" s="1"/>
    </row>
    <row r="31" customFormat="false" ht="15" hidden="false" customHeight="false" outlineLevel="0" collapsed="false">
      <c r="A31" s="1"/>
      <c r="B31" s="1"/>
      <c r="C31" s="1"/>
      <c r="D31" s="25"/>
      <c r="E31" s="25"/>
      <c r="F31" s="25"/>
      <c r="G31" s="1"/>
      <c r="H31" s="31" t="str">
        <f aca="true">IF(E31="","",IF(F31&lt;&gt;"",MAX(0,F31-E31),MAX(0,TODAY()-E31)))</f>
        <v/>
      </c>
      <c r="I31" s="21"/>
      <c r="J31" s="21"/>
      <c r="K31" s="1"/>
    </row>
    <row r="32" customFormat="false" ht="15" hidden="false" customHeight="false" outlineLevel="0" collapsed="false">
      <c r="A32" s="1"/>
      <c r="B32" s="1"/>
      <c r="C32" s="1"/>
      <c r="D32" s="25"/>
      <c r="E32" s="25"/>
      <c r="F32" s="25"/>
      <c r="G32" s="1"/>
      <c r="H32" s="31" t="str">
        <f aca="true">IF(E32="","",IF(F32&lt;&gt;"",MAX(0,F32-E32),MAX(0,TODAY()-E32)))</f>
        <v/>
      </c>
      <c r="I32" s="21"/>
      <c r="J32" s="21"/>
      <c r="K32" s="1"/>
    </row>
    <row r="33" customFormat="false" ht="15" hidden="false" customHeight="false" outlineLevel="0" collapsed="false">
      <c r="A33" s="1"/>
      <c r="B33" s="1"/>
      <c r="C33" s="1"/>
      <c r="D33" s="25"/>
      <c r="E33" s="25"/>
      <c r="F33" s="25"/>
      <c r="G33" s="1"/>
      <c r="H33" s="31" t="str">
        <f aca="true">IF(E33="","",IF(F33&lt;&gt;"",MAX(0,F33-E33),MAX(0,TODAY()-E33)))</f>
        <v/>
      </c>
      <c r="I33" s="21"/>
      <c r="J33" s="21"/>
      <c r="K33" s="1"/>
    </row>
    <row r="34" customFormat="false" ht="15" hidden="false" customHeight="false" outlineLevel="0" collapsed="false">
      <c r="A34" s="1"/>
      <c r="B34" s="1"/>
      <c r="C34" s="1"/>
      <c r="D34" s="25"/>
      <c r="E34" s="25"/>
      <c r="F34" s="25"/>
      <c r="G34" s="1"/>
      <c r="H34" s="31" t="str">
        <f aca="true">IF(E34="","",IF(F34&lt;&gt;"",MAX(0,F34-E34),MAX(0,TODAY()-E34)))</f>
        <v/>
      </c>
      <c r="I34" s="21"/>
      <c r="J34" s="21"/>
      <c r="K34" s="1"/>
    </row>
    <row r="35" customFormat="false" ht="15" hidden="false" customHeight="false" outlineLevel="0" collapsed="false">
      <c r="A35" s="1"/>
      <c r="B35" s="1"/>
      <c r="C35" s="1"/>
      <c r="D35" s="25"/>
      <c r="E35" s="25"/>
      <c r="F35" s="25"/>
      <c r="G35" s="1"/>
      <c r="H35" s="31" t="str">
        <f aca="true">IF(E35="","",IF(F35&lt;&gt;"",MAX(0,F35-E35),MAX(0,TODAY()-E35)))</f>
        <v/>
      </c>
      <c r="I35" s="21"/>
      <c r="J35" s="21"/>
      <c r="K35" s="1"/>
    </row>
    <row r="36" customFormat="false" ht="15" hidden="false" customHeight="false" outlineLevel="0" collapsed="false">
      <c r="A36" s="1"/>
      <c r="B36" s="1"/>
      <c r="C36" s="1"/>
      <c r="D36" s="25"/>
      <c r="E36" s="25"/>
      <c r="F36" s="25"/>
      <c r="G36" s="1"/>
      <c r="H36" s="31" t="str">
        <f aca="true">IF(E36="","",IF(F36&lt;&gt;"",MAX(0,F36-E36),MAX(0,TODAY()-E36)))</f>
        <v/>
      </c>
      <c r="I36" s="21"/>
      <c r="J36" s="21"/>
      <c r="K36" s="1"/>
    </row>
    <row r="37" customFormat="false" ht="15" hidden="false" customHeight="false" outlineLevel="0" collapsed="false">
      <c r="A37" s="1"/>
      <c r="B37" s="1"/>
      <c r="C37" s="1"/>
      <c r="D37" s="25"/>
      <c r="E37" s="25"/>
      <c r="F37" s="25"/>
      <c r="G37" s="1"/>
      <c r="H37" s="31" t="str">
        <f aca="true">IF(E37="","",IF(F37&lt;&gt;"",MAX(0,F37-E37),MAX(0,TODAY()-E37)))</f>
        <v/>
      </c>
      <c r="I37" s="21"/>
      <c r="J37" s="21"/>
      <c r="K37" s="1"/>
    </row>
    <row r="38" customFormat="false" ht="15" hidden="false" customHeight="false" outlineLevel="0" collapsed="false">
      <c r="A38" s="1"/>
      <c r="B38" s="1"/>
      <c r="C38" s="1"/>
      <c r="D38" s="25"/>
      <c r="E38" s="25"/>
      <c r="F38" s="25"/>
      <c r="G38" s="1"/>
      <c r="H38" s="31" t="str">
        <f aca="true">IF(E38="","",IF(F38&lt;&gt;"",MAX(0,F38-E38),MAX(0,TODAY()-E38)))</f>
        <v/>
      </c>
      <c r="I38" s="21"/>
      <c r="J38" s="21"/>
      <c r="K38" s="1"/>
    </row>
    <row r="39" customFormat="false" ht="15" hidden="false" customHeight="false" outlineLevel="0" collapsed="false">
      <c r="A39" s="1"/>
      <c r="B39" s="1"/>
      <c r="C39" s="1"/>
      <c r="D39" s="25"/>
      <c r="E39" s="25"/>
      <c r="F39" s="25"/>
      <c r="G39" s="1"/>
      <c r="H39" s="31" t="str">
        <f aca="true">IF(E39="","",IF(F39&lt;&gt;"",MAX(0,F39-E39),MAX(0,TODAY()-E39)))</f>
        <v/>
      </c>
      <c r="I39" s="21"/>
      <c r="J39" s="21"/>
      <c r="K39" s="1"/>
    </row>
    <row r="40" customFormat="false" ht="15" hidden="false" customHeight="false" outlineLevel="0" collapsed="false">
      <c r="A40" s="1"/>
      <c r="B40" s="1"/>
      <c r="C40" s="1"/>
      <c r="D40" s="25"/>
      <c r="E40" s="25"/>
      <c r="F40" s="25"/>
      <c r="G40" s="1"/>
      <c r="H40" s="31" t="str">
        <f aca="true">IF(E40="","",IF(F40&lt;&gt;"",MAX(0,F40-E40),MAX(0,TODAY()-E40)))</f>
        <v/>
      </c>
      <c r="I40" s="21"/>
      <c r="J40" s="21"/>
      <c r="K40" s="1"/>
    </row>
    <row r="41" customFormat="false" ht="15" hidden="false" customHeight="false" outlineLevel="0" collapsed="false">
      <c r="A41" s="1"/>
      <c r="B41" s="1"/>
      <c r="C41" s="1"/>
      <c r="D41" s="25"/>
      <c r="E41" s="25"/>
      <c r="F41" s="25"/>
      <c r="G41" s="1"/>
      <c r="H41" s="31" t="str">
        <f aca="true">IF(E41="","",IF(F41&lt;&gt;"",MAX(0,F41-E41),MAX(0,TODAY()-E41)))</f>
        <v/>
      </c>
      <c r="I41" s="21"/>
      <c r="J41" s="21"/>
      <c r="K41" s="1"/>
    </row>
    <row r="42" customFormat="false" ht="15" hidden="false" customHeight="false" outlineLevel="0" collapsed="false">
      <c r="A42" s="1"/>
      <c r="B42" s="1"/>
      <c r="C42" s="1"/>
      <c r="D42" s="25"/>
      <c r="E42" s="25"/>
      <c r="F42" s="25"/>
      <c r="G42" s="1"/>
      <c r="H42" s="31" t="str">
        <f aca="true">IF(E42="","",IF(F42&lt;&gt;"",MAX(0,F42-E42),MAX(0,TODAY()-E42)))</f>
        <v/>
      </c>
      <c r="I42" s="21"/>
      <c r="J42" s="21"/>
      <c r="K42" s="1"/>
    </row>
    <row r="43" customFormat="false" ht="15" hidden="false" customHeight="false" outlineLevel="0" collapsed="false">
      <c r="A43" s="1"/>
      <c r="B43" s="1"/>
      <c r="C43" s="1"/>
      <c r="D43" s="25"/>
      <c r="E43" s="25"/>
      <c r="F43" s="25"/>
      <c r="G43" s="1"/>
      <c r="H43" s="31" t="str">
        <f aca="true">IF(E43="","",IF(F43&lt;&gt;"",MAX(0,F43-E43),MAX(0,TODAY()-E43)))</f>
        <v/>
      </c>
      <c r="I43" s="21"/>
      <c r="J43" s="21"/>
      <c r="K43" s="1"/>
    </row>
    <row r="44" customFormat="false" ht="15" hidden="false" customHeight="false" outlineLevel="0" collapsed="false">
      <c r="A44" s="1"/>
      <c r="B44" s="1"/>
      <c r="C44" s="1"/>
      <c r="D44" s="25"/>
      <c r="E44" s="25"/>
      <c r="F44" s="25"/>
      <c r="G44" s="1"/>
      <c r="H44" s="31" t="str">
        <f aca="true">IF(E44="","",IF(F44&lt;&gt;"",MAX(0,F44-E44),MAX(0,TODAY()-E44)))</f>
        <v/>
      </c>
      <c r="I44" s="21"/>
      <c r="J44" s="21"/>
      <c r="K44" s="1"/>
    </row>
    <row r="45" customFormat="false" ht="15" hidden="false" customHeight="false" outlineLevel="0" collapsed="false">
      <c r="A45" s="1"/>
      <c r="B45" s="1"/>
      <c r="C45" s="1"/>
      <c r="D45" s="25"/>
      <c r="E45" s="25"/>
      <c r="F45" s="25"/>
      <c r="G45" s="1"/>
      <c r="H45" s="31" t="str">
        <f aca="true">IF(E45="","",IF(F45&lt;&gt;"",MAX(0,F45-E45),MAX(0,TODAY()-E45)))</f>
        <v/>
      </c>
      <c r="I45" s="21"/>
      <c r="J45" s="21"/>
      <c r="K45" s="1"/>
    </row>
    <row r="46" customFormat="false" ht="15" hidden="false" customHeight="false" outlineLevel="0" collapsed="false">
      <c r="A46" s="1"/>
      <c r="B46" s="1"/>
      <c r="C46" s="1"/>
      <c r="D46" s="25"/>
      <c r="E46" s="25"/>
      <c r="F46" s="25"/>
      <c r="G46" s="1"/>
      <c r="H46" s="31" t="str">
        <f aca="true">IF(E46="","",IF(F46&lt;&gt;"",MAX(0,F46-E46),MAX(0,TODAY()-E46)))</f>
        <v/>
      </c>
      <c r="I46" s="21"/>
      <c r="J46" s="21"/>
      <c r="K46" s="1"/>
    </row>
    <row r="47" customFormat="false" ht="15" hidden="false" customHeight="false" outlineLevel="0" collapsed="false">
      <c r="A47" s="1"/>
      <c r="B47" s="1"/>
      <c r="C47" s="1"/>
      <c r="D47" s="25"/>
      <c r="E47" s="25"/>
      <c r="F47" s="25"/>
      <c r="G47" s="1"/>
      <c r="H47" s="31" t="str">
        <f aca="true">IF(E47="","",IF(F47&lt;&gt;"",MAX(0,F47-E47),MAX(0,TODAY()-E47)))</f>
        <v/>
      </c>
      <c r="I47" s="21"/>
      <c r="J47" s="21"/>
      <c r="K47" s="1"/>
    </row>
    <row r="48" customFormat="false" ht="15" hidden="false" customHeight="false" outlineLevel="0" collapsed="false">
      <c r="A48" s="1"/>
      <c r="B48" s="1"/>
      <c r="C48" s="1"/>
      <c r="D48" s="25"/>
      <c r="E48" s="25"/>
      <c r="F48" s="25"/>
      <c r="G48" s="1"/>
      <c r="H48" s="31" t="str">
        <f aca="true">IF(E48="","",IF(F48&lt;&gt;"",MAX(0,F48-E48),MAX(0,TODAY()-E48)))</f>
        <v/>
      </c>
      <c r="I48" s="21"/>
      <c r="J48" s="21"/>
      <c r="K48" s="1"/>
    </row>
    <row r="49" customFormat="false" ht="15" hidden="false" customHeight="false" outlineLevel="0" collapsed="false">
      <c r="A49" s="1"/>
      <c r="B49" s="1"/>
      <c r="C49" s="1"/>
      <c r="D49" s="25"/>
      <c r="E49" s="25"/>
      <c r="F49" s="25"/>
      <c r="G49" s="1"/>
      <c r="H49" s="31" t="str">
        <f aca="true">IF(E49="","",IF(F49&lt;&gt;"",MAX(0,F49-E49),MAX(0,TODAY()-E49)))</f>
        <v/>
      </c>
      <c r="I49" s="21"/>
      <c r="J49" s="21"/>
      <c r="K49" s="1"/>
    </row>
    <row r="50" customFormat="false" ht="15" hidden="false" customHeight="false" outlineLevel="0" collapsed="false">
      <c r="A50" s="1"/>
      <c r="B50" s="1"/>
      <c r="C50" s="1"/>
      <c r="D50" s="25"/>
      <c r="E50" s="25"/>
      <c r="F50" s="25"/>
      <c r="G50" s="1"/>
      <c r="H50" s="31" t="str">
        <f aca="true">IF(E50="","",IF(F50&lt;&gt;"",MAX(0,F50-E50),MAX(0,TODAY()-E50)))</f>
        <v/>
      </c>
      <c r="I50" s="21"/>
      <c r="J50" s="21"/>
      <c r="K50" s="1"/>
    </row>
    <row r="51" customFormat="false" ht="15" hidden="false" customHeight="false" outlineLevel="0" collapsed="false">
      <c r="A51" s="1"/>
      <c r="B51" s="1"/>
      <c r="C51" s="1"/>
      <c r="D51" s="25"/>
      <c r="E51" s="25"/>
      <c r="F51" s="25"/>
      <c r="G51" s="1"/>
      <c r="H51" s="31" t="str">
        <f aca="true">IF(E51="","",IF(F51&lt;&gt;"",MAX(0,F51-E51),MAX(0,TODAY()-E51)))</f>
        <v/>
      </c>
      <c r="I51" s="21"/>
      <c r="J51" s="21"/>
      <c r="K51" s="1"/>
    </row>
    <row r="52" customFormat="false" ht="15" hidden="false" customHeight="false" outlineLevel="0" collapsed="false">
      <c r="A52" s="1"/>
      <c r="B52" s="1"/>
      <c r="C52" s="1"/>
      <c r="D52" s="25"/>
      <c r="E52" s="25"/>
      <c r="F52" s="25"/>
      <c r="G52" s="1"/>
      <c r="H52" s="31" t="str">
        <f aca="true">IF(E52="","",IF(F52&lt;&gt;"",MAX(0,F52-E52),MAX(0,TODAY()-E52)))</f>
        <v/>
      </c>
      <c r="I52" s="21"/>
      <c r="J52" s="21"/>
      <c r="K52" s="1"/>
    </row>
    <row r="53" customFormat="false" ht="15" hidden="false" customHeight="false" outlineLevel="0" collapsed="false">
      <c r="A53" s="1"/>
      <c r="B53" s="1"/>
      <c r="C53" s="1"/>
      <c r="D53" s="25"/>
      <c r="E53" s="25"/>
      <c r="F53" s="25"/>
      <c r="G53" s="1"/>
      <c r="H53" s="31" t="str">
        <f aca="true">IF(E53="","",IF(F53&lt;&gt;"",MAX(0,F53-E53),MAX(0,TODAY()-E53)))</f>
        <v/>
      </c>
      <c r="I53" s="21"/>
      <c r="J53" s="21"/>
      <c r="K53" s="1"/>
    </row>
    <row r="54" customFormat="false" ht="15" hidden="false" customHeight="false" outlineLevel="0" collapsed="false">
      <c r="A54" s="1"/>
      <c r="B54" s="1"/>
      <c r="C54" s="1"/>
      <c r="D54" s="25"/>
      <c r="E54" s="25"/>
      <c r="F54" s="25"/>
      <c r="G54" s="1"/>
      <c r="H54" s="31" t="str">
        <f aca="true">IF(E54="","",IF(F54&lt;&gt;"",MAX(0,F54-E54),MAX(0,TODAY()-E54)))</f>
        <v/>
      </c>
      <c r="I54" s="21"/>
      <c r="J54" s="21"/>
      <c r="K54" s="1"/>
    </row>
    <row r="55" customFormat="false" ht="15" hidden="false" customHeight="false" outlineLevel="0" collapsed="false">
      <c r="A55" s="1"/>
      <c r="B55" s="1"/>
      <c r="C55" s="1"/>
      <c r="D55" s="25"/>
      <c r="E55" s="25"/>
      <c r="F55" s="25"/>
      <c r="G55" s="1"/>
      <c r="H55" s="31" t="str">
        <f aca="true">IF(E55="","",IF(F55&lt;&gt;"",MAX(0,F55-E55),MAX(0,TODAY()-E55)))</f>
        <v/>
      </c>
      <c r="I55" s="21"/>
      <c r="J55" s="21"/>
      <c r="K55" s="1"/>
    </row>
    <row r="56" customFormat="false" ht="15" hidden="false" customHeight="false" outlineLevel="0" collapsed="false">
      <c r="A56" s="1"/>
      <c r="B56" s="1"/>
      <c r="C56" s="1"/>
      <c r="D56" s="25"/>
      <c r="E56" s="25"/>
      <c r="F56" s="25"/>
      <c r="G56" s="1"/>
      <c r="H56" s="31" t="str">
        <f aca="true">IF(E56="","",IF(F56&lt;&gt;"",MAX(0,F56-E56),MAX(0,TODAY()-E56)))</f>
        <v/>
      </c>
      <c r="I56" s="21"/>
      <c r="J56" s="21"/>
      <c r="K56" s="1"/>
    </row>
    <row r="57" customFormat="false" ht="15" hidden="false" customHeight="false" outlineLevel="0" collapsed="false">
      <c r="A57" s="1"/>
      <c r="B57" s="1"/>
      <c r="C57" s="1"/>
      <c r="D57" s="25"/>
      <c r="E57" s="25"/>
      <c r="F57" s="25"/>
      <c r="G57" s="1"/>
      <c r="H57" s="31" t="str">
        <f aca="true">IF(E57="","",IF(F57&lt;&gt;"",MAX(0,F57-E57),MAX(0,TODAY()-E57)))</f>
        <v/>
      </c>
      <c r="I57" s="21"/>
      <c r="J57" s="21"/>
      <c r="K57" s="1"/>
    </row>
    <row r="58" customFormat="false" ht="15" hidden="false" customHeight="false" outlineLevel="0" collapsed="false">
      <c r="A58" s="1"/>
      <c r="B58" s="1"/>
      <c r="C58" s="1"/>
      <c r="D58" s="25"/>
      <c r="E58" s="25"/>
      <c r="F58" s="25"/>
      <c r="G58" s="1"/>
      <c r="H58" s="31" t="str">
        <f aca="true">IF(E58="","",IF(F58&lt;&gt;"",MAX(0,F58-E58),MAX(0,TODAY()-E58)))</f>
        <v/>
      </c>
      <c r="I58" s="21"/>
      <c r="J58" s="21"/>
      <c r="K58" s="1"/>
    </row>
    <row r="59" customFormat="false" ht="15" hidden="false" customHeight="false" outlineLevel="0" collapsed="false">
      <c r="A59" s="1"/>
      <c r="B59" s="1"/>
      <c r="C59" s="1"/>
      <c r="D59" s="25"/>
      <c r="E59" s="25"/>
      <c r="F59" s="25"/>
      <c r="G59" s="1"/>
      <c r="H59" s="31" t="str">
        <f aca="true">IF(E59="","",IF(F59&lt;&gt;"",MAX(0,F59-E59),MAX(0,TODAY()-E59)))</f>
        <v/>
      </c>
      <c r="I59" s="21"/>
      <c r="J59" s="21"/>
      <c r="K59" s="1"/>
    </row>
    <row r="60" customFormat="false" ht="15" hidden="false" customHeight="false" outlineLevel="0" collapsed="false">
      <c r="A60" s="1"/>
      <c r="B60" s="1"/>
      <c r="C60" s="1"/>
      <c r="D60" s="25"/>
      <c r="E60" s="25"/>
      <c r="F60" s="25"/>
      <c r="G60" s="1"/>
      <c r="H60" s="31" t="str">
        <f aca="true">IF(E60="","",IF(F60&lt;&gt;"",MAX(0,F60-E60),MAX(0,TODAY()-E60)))</f>
        <v/>
      </c>
      <c r="I60" s="21"/>
      <c r="J60" s="21"/>
      <c r="K60" s="1"/>
    </row>
    <row r="61" customFormat="false" ht="15" hidden="false" customHeight="false" outlineLevel="0" collapsed="false">
      <c r="A61" s="1"/>
      <c r="B61" s="1"/>
      <c r="C61" s="1"/>
      <c r="D61" s="25"/>
      <c r="E61" s="25"/>
      <c r="F61" s="25"/>
      <c r="G61" s="1"/>
      <c r="H61" s="31" t="str">
        <f aca="true">IF(E61="","",IF(F61&lt;&gt;"",MAX(0,F61-E61),MAX(0,TODAY()-E61)))</f>
        <v/>
      </c>
      <c r="I61" s="21"/>
      <c r="J61" s="21"/>
      <c r="K61" s="1"/>
    </row>
    <row r="62" customFormat="false" ht="15" hidden="false" customHeight="false" outlineLevel="0" collapsed="false">
      <c r="A62" s="1"/>
      <c r="B62" s="1"/>
      <c r="C62" s="1"/>
      <c r="D62" s="25"/>
      <c r="E62" s="25"/>
      <c r="F62" s="25"/>
      <c r="G62" s="1"/>
      <c r="H62" s="31" t="str">
        <f aca="true">IF(E62="","",IF(F62&lt;&gt;"",MAX(0,F62-E62),MAX(0,TODAY()-E62)))</f>
        <v/>
      </c>
      <c r="I62" s="21"/>
      <c r="J62" s="21"/>
      <c r="K62" s="1"/>
    </row>
    <row r="63" customFormat="false" ht="15" hidden="false" customHeight="false" outlineLevel="0" collapsed="false">
      <c r="A63" s="1"/>
      <c r="B63" s="1"/>
      <c r="C63" s="1"/>
      <c r="D63" s="25"/>
      <c r="E63" s="25"/>
      <c r="F63" s="25"/>
      <c r="G63" s="1"/>
      <c r="H63" s="31" t="str">
        <f aca="true">IF(E63="","",IF(F63&lt;&gt;"",MAX(0,F63-E63),MAX(0,TODAY()-E63)))</f>
        <v/>
      </c>
      <c r="I63" s="21"/>
      <c r="J63" s="21"/>
      <c r="K63" s="1"/>
    </row>
    <row r="64" customFormat="false" ht="15" hidden="false" customHeight="false" outlineLevel="0" collapsed="false">
      <c r="A64" s="1"/>
      <c r="B64" s="1"/>
      <c r="C64" s="1"/>
      <c r="D64" s="25"/>
      <c r="E64" s="25"/>
      <c r="F64" s="25"/>
      <c r="G64" s="1"/>
      <c r="H64" s="31" t="str">
        <f aca="true">IF(E64="","",IF(F64&lt;&gt;"",MAX(0,F64-E64),MAX(0,TODAY()-E64)))</f>
        <v/>
      </c>
      <c r="I64" s="21"/>
      <c r="J64" s="21"/>
      <c r="K64" s="1"/>
    </row>
    <row r="65" customFormat="false" ht="15" hidden="false" customHeight="false" outlineLevel="0" collapsed="false">
      <c r="A65" s="1"/>
      <c r="B65" s="1"/>
      <c r="C65" s="1"/>
      <c r="D65" s="25"/>
      <c r="E65" s="25"/>
      <c r="F65" s="25"/>
      <c r="G65" s="1"/>
      <c r="H65" s="31" t="str">
        <f aca="true">IF(E65="","",IF(F65&lt;&gt;"",MAX(0,F65-E65),MAX(0,TODAY()-E65)))</f>
        <v/>
      </c>
      <c r="I65" s="21"/>
      <c r="J65" s="21"/>
      <c r="K65" s="1"/>
    </row>
    <row r="66" customFormat="false" ht="15" hidden="false" customHeight="false" outlineLevel="0" collapsed="false">
      <c r="A66" s="1"/>
      <c r="B66" s="1"/>
      <c r="C66" s="1"/>
      <c r="D66" s="25"/>
      <c r="E66" s="25"/>
      <c r="F66" s="25"/>
      <c r="G66" s="1"/>
      <c r="H66" s="31" t="str">
        <f aca="true">IF(E66="","",IF(F66&lt;&gt;"",MAX(0,F66-E66),MAX(0,TODAY()-E66)))</f>
        <v/>
      </c>
      <c r="I66" s="21"/>
      <c r="J66" s="21"/>
      <c r="K66" s="1"/>
    </row>
    <row r="67" customFormat="false" ht="15" hidden="false" customHeight="false" outlineLevel="0" collapsed="false">
      <c r="A67" s="1"/>
      <c r="B67" s="1"/>
      <c r="C67" s="1"/>
      <c r="D67" s="25"/>
      <c r="E67" s="25"/>
      <c r="F67" s="25"/>
      <c r="G67" s="1"/>
      <c r="H67" s="31" t="str">
        <f aca="true">IF(E67="","",IF(F67&lt;&gt;"",MAX(0,F67-E67),MAX(0,TODAY()-E67)))</f>
        <v/>
      </c>
      <c r="I67" s="21"/>
      <c r="J67" s="21"/>
      <c r="K67" s="1"/>
    </row>
    <row r="68" customFormat="false" ht="15" hidden="false" customHeight="false" outlineLevel="0" collapsed="false">
      <c r="A68" s="1"/>
      <c r="B68" s="1"/>
      <c r="C68" s="1"/>
      <c r="D68" s="25"/>
      <c r="E68" s="25"/>
      <c r="F68" s="25"/>
      <c r="G68" s="1"/>
      <c r="H68" s="31" t="str">
        <f aca="true">IF(E68="","",IF(F68&lt;&gt;"",MAX(0,F68-E68),MAX(0,TODAY()-E68)))</f>
        <v/>
      </c>
      <c r="I68" s="21"/>
      <c r="J68" s="21"/>
      <c r="K68" s="1"/>
    </row>
    <row r="69" customFormat="false" ht="15" hidden="false" customHeight="false" outlineLevel="0" collapsed="false">
      <c r="A69" s="1"/>
      <c r="B69" s="1"/>
      <c r="C69" s="1"/>
      <c r="D69" s="25"/>
      <c r="E69" s="25"/>
      <c r="F69" s="25"/>
      <c r="G69" s="1"/>
      <c r="H69" s="31" t="str">
        <f aca="true">IF(E69="","",IF(F69&lt;&gt;"",MAX(0,F69-E69),MAX(0,TODAY()-E69)))</f>
        <v/>
      </c>
      <c r="I69" s="21"/>
      <c r="J69" s="21"/>
      <c r="K69" s="1"/>
    </row>
    <row r="70" customFormat="false" ht="15" hidden="false" customHeight="false" outlineLevel="0" collapsed="false">
      <c r="A70" s="1"/>
      <c r="B70" s="1"/>
      <c r="C70" s="1"/>
      <c r="D70" s="25"/>
      <c r="E70" s="25"/>
      <c r="F70" s="25"/>
      <c r="G70" s="1"/>
      <c r="H70" s="31" t="str">
        <f aca="true">IF(E70="","",IF(F70&lt;&gt;"",MAX(0,F70-E70),MAX(0,TODAY()-E70)))</f>
        <v/>
      </c>
      <c r="I70" s="21"/>
      <c r="J70" s="21"/>
      <c r="K70" s="1"/>
    </row>
    <row r="71" customFormat="false" ht="15" hidden="false" customHeight="false" outlineLevel="0" collapsed="false">
      <c r="A71" s="1"/>
      <c r="B71" s="1"/>
      <c r="C71" s="1"/>
      <c r="D71" s="25"/>
      <c r="E71" s="25"/>
      <c r="F71" s="25"/>
      <c r="G71" s="1"/>
      <c r="H71" s="31" t="str">
        <f aca="true">IF(E71="","",IF(F71&lt;&gt;"",MAX(0,F71-E71),MAX(0,TODAY()-E71)))</f>
        <v/>
      </c>
      <c r="I71" s="21"/>
      <c r="J71" s="21"/>
      <c r="K71" s="1"/>
    </row>
    <row r="72" customFormat="false" ht="15" hidden="false" customHeight="false" outlineLevel="0" collapsed="false">
      <c r="A72" s="1"/>
      <c r="B72" s="1"/>
      <c r="C72" s="1"/>
      <c r="D72" s="25"/>
      <c r="E72" s="25"/>
      <c r="F72" s="25"/>
      <c r="G72" s="1"/>
      <c r="H72" s="31" t="str">
        <f aca="true">IF(E72="","",IF(F72&lt;&gt;"",MAX(0,F72-E72),MAX(0,TODAY()-E72)))</f>
        <v/>
      </c>
      <c r="I72" s="21"/>
      <c r="J72" s="21"/>
      <c r="K72" s="1"/>
    </row>
    <row r="73" customFormat="false" ht="15" hidden="false" customHeight="false" outlineLevel="0" collapsed="false">
      <c r="A73" s="1"/>
      <c r="B73" s="1"/>
      <c r="C73" s="1"/>
      <c r="D73" s="25"/>
      <c r="E73" s="25"/>
      <c r="F73" s="25"/>
      <c r="G73" s="1"/>
      <c r="H73" s="31" t="str">
        <f aca="true">IF(E73="","",IF(F73&lt;&gt;"",MAX(0,F73-E73),MAX(0,TODAY()-E73)))</f>
        <v/>
      </c>
      <c r="I73" s="21"/>
      <c r="J73" s="21"/>
      <c r="K73" s="1"/>
    </row>
    <row r="74" customFormat="false" ht="15" hidden="false" customHeight="false" outlineLevel="0" collapsed="false">
      <c r="A74" s="1"/>
      <c r="B74" s="1"/>
      <c r="C74" s="1"/>
      <c r="D74" s="25"/>
      <c r="E74" s="25"/>
      <c r="F74" s="25"/>
      <c r="G74" s="1"/>
      <c r="H74" s="31" t="str">
        <f aca="true">IF(E74="","",IF(F74&lt;&gt;"",MAX(0,F74-E74),MAX(0,TODAY()-E74)))</f>
        <v/>
      </c>
      <c r="I74" s="21"/>
      <c r="J74" s="21"/>
      <c r="K74" s="1"/>
    </row>
    <row r="75" customFormat="false" ht="15" hidden="false" customHeight="false" outlineLevel="0" collapsed="false">
      <c r="A75" s="1"/>
      <c r="B75" s="1"/>
      <c r="C75" s="1"/>
      <c r="D75" s="25"/>
      <c r="E75" s="25"/>
      <c r="F75" s="25"/>
      <c r="G75" s="1"/>
      <c r="H75" s="31" t="str">
        <f aca="true">IF(E75="","",IF(F75&lt;&gt;"",MAX(0,F75-E75),MAX(0,TODAY()-E75)))</f>
        <v/>
      </c>
      <c r="I75" s="21"/>
      <c r="J75" s="21"/>
      <c r="K75" s="1"/>
    </row>
    <row r="76" customFormat="false" ht="15" hidden="false" customHeight="false" outlineLevel="0" collapsed="false">
      <c r="A76" s="1"/>
      <c r="B76" s="1"/>
      <c r="C76" s="1"/>
      <c r="D76" s="25"/>
      <c r="E76" s="25"/>
      <c r="F76" s="25"/>
      <c r="G76" s="1"/>
      <c r="H76" s="31" t="str">
        <f aca="true">IF(E76="","",IF(F76&lt;&gt;"",MAX(0,F76-E76),MAX(0,TODAY()-E76)))</f>
        <v/>
      </c>
      <c r="I76" s="21"/>
      <c r="J76" s="21"/>
      <c r="K76" s="1"/>
    </row>
    <row r="77" customFormat="false" ht="15" hidden="false" customHeight="false" outlineLevel="0" collapsed="false">
      <c r="A77" s="1"/>
      <c r="B77" s="1"/>
      <c r="C77" s="1"/>
      <c r="D77" s="25"/>
      <c r="E77" s="25"/>
      <c r="F77" s="25"/>
      <c r="G77" s="1"/>
      <c r="H77" s="31" t="str">
        <f aca="true">IF(E77="","",IF(F77&lt;&gt;"",MAX(0,F77-E77),MAX(0,TODAY()-E77)))</f>
        <v/>
      </c>
      <c r="I77" s="21"/>
      <c r="J77" s="21"/>
      <c r="K77" s="1"/>
    </row>
    <row r="78" customFormat="false" ht="15" hidden="false" customHeight="false" outlineLevel="0" collapsed="false">
      <c r="A78" s="1"/>
      <c r="B78" s="1"/>
      <c r="C78" s="1"/>
      <c r="D78" s="25"/>
      <c r="E78" s="25"/>
      <c r="F78" s="25"/>
      <c r="G78" s="1"/>
      <c r="H78" s="31" t="str">
        <f aca="true">IF(E78="","",IF(F78&lt;&gt;"",MAX(0,F78-E78),MAX(0,TODAY()-E78)))</f>
        <v/>
      </c>
      <c r="I78" s="21"/>
      <c r="J78" s="21"/>
      <c r="K78" s="1"/>
    </row>
    <row r="79" customFormat="false" ht="15" hidden="false" customHeight="false" outlineLevel="0" collapsed="false">
      <c r="A79" s="1"/>
      <c r="B79" s="1"/>
      <c r="C79" s="1"/>
      <c r="D79" s="25"/>
      <c r="E79" s="25"/>
      <c r="F79" s="25"/>
      <c r="G79" s="1"/>
      <c r="H79" s="31" t="str">
        <f aca="true">IF(E79="","",IF(F79&lt;&gt;"",MAX(0,F79-E79),MAX(0,TODAY()-E79)))</f>
        <v/>
      </c>
      <c r="I79" s="21"/>
      <c r="J79" s="21"/>
      <c r="K79" s="1"/>
    </row>
    <row r="80" customFormat="false" ht="15" hidden="false" customHeight="false" outlineLevel="0" collapsed="false">
      <c r="A80" s="1"/>
      <c r="B80" s="1"/>
      <c r="C80" s="1"/>
      <c r="D80" s="25"/>
      <c r="E80" s="25"/>
      <c r="F80" s="25"/>
      <c r="G80" s="1"/>
      <c r="H80" s="31" t="str">
        <f aca="true">IF(E80="","",IF(F80&lt;&gt;"",MAX(0,F80-E80),MAX(0,TODAY()-E80)))</f>
        <v/>
      </c>
      <c r="I80" s="21"/>
      <c r="J80" s="21"/>
      <c r="K80" s="1"/>
    </row>
    <row r="81" customFormat="false" ht="15" hidden="false" customHeight="false" outlineLevel="0" collapsed="false">
      <c r="A81" s="1"/>
      <c r="B81" s="1"/>
      <c r="C81" s="1"/>
      <c r="D81" s="25"/>
      <c r="E81" s="25"/>
      <c r="F81" s="25"/>
      <c r="G81" s="1"/>
      <c r="H81" s="31" t="str">
        <f aca="true">IF(E81="","",IF(F81&lt;&gt;"",MAX(0,F81-E81),MAX(0,TODAY()-E81)))</f>
        <v/>
      </c>
      <c r="I81" s="21"/>
      <c r="J81" s="21"/>
      <c r="K81" s="1"/>
    </row>
    <row r="82" customFormat="false" ht="15" hidden="false" customHeight="false" outlineLevel="0" collapsed="false">
      <c r="A82" s="1"/>
      <c r="B82" s="1"/>
      <c r="C82" s="1"/>
      <c r="D82" s="25"/>
      <c r="E82" s="25"/>
      <c r="F82" s="25"/>
      <c r="G82" s="1"/>
      <c r="H82" s="31" t="str">
        <f aca="true">IF(E82="","",IF(F82&lt;&gt;"",MAX(0,F82-E82),MAX(0,TODAY()-E82)))</f>
        <v/>
      </c>
      <c r="I82" s="21"/>
      <c r="J82" s="21"/>
      <c r="K82" s="1"/>
    </row>
    <row r="83" customFormat="false" ht="15" hidden="false" customHeight="false" outlineLevel="0" collapsed="false">
      <c r="A83" s="1"/>
      <c r="B83" s="1"/>
      <c r="C83" s="1"/>
      <c r="D83" s="25"/>
      <c r="E83" s="25"/>
      <c r="F83" s="25"/>
      <c r="G83" s="1"/>
      <c r="H83" s="31" t="str">
        <f aca="true">IF(E83="","",IF(F83&lt;&gt;"",MAX(0,F83-E83),MAX(0,TODAY()-E83)))</f>
        <v/>
      </c>
      <c r="I83" s="21"/>
      <c r="J83" s="21"/>
      <c r="K83" s="1"/>
    </row>
    <row r="84" customFormat="false" ht="15" hidden="false" customHeight="false" outlineLevel="0" collapsed="false">
      <c r="A84" s="1"/>
      <c r="B84" s="1"/>
      <c r="C84" s="1"/>
      <c r="D84" s="25"/>
      <c r="E84" s="25"/>
      <c r="F84" s="25"/>
      <c r="G84" s="1"/>
      <c r="H84" s="31" t="str">
        <f aca="true">IF(E84="","",IF(F84&lt;&gt;"",MAX(0,F84-E84),MAX(0,TODAY()-E84)))</f>
        <v/>
      </c>
      <c r="I84" s="21"/>
      <c r="J84" s="21"/>
      <c r="K84" s="1"/>
    </row>
    <row r="85" customFormat="false" ht="15" hidden="false" customHeight="false" outlineLevel="0" collapsed="false">
      <c r="A85" s="1"/>
      <c r="B85" s="1"/>
      <c r="C85" s="1"/>
      <c r="D85" s="25"/>
      <c r="E85" s="25"/>
      <c r="F85" s="25"/>
      <c r="G85" s="1"/>
      <c r="H85" s="31" t="str">
        <f aca="true">IF(E85="","",IF(F85&lt;&gt;"",MAX(0,F85-E85),MAX(0,TODAY()-E85)))</f>
        <v/>
      </c>
      <c r="I85" s="21"/>
      <c r="J85" s="21"/>
      <c r="K85" s="1"/>
    </row>
    <row r="86" customFormat="false" ht="15" hidden="false" customHeight="false" outlineLevel="0" collapsed="false">
      <c r="A86" s="1"/>
      <c r="B86" s="1"/>
      <c r="C86" s="1"/>
      <c r="D86" s="25"/>
      <c r="E86" s="25"/>
      <c r="F86" s="25"/>
      <c r="G86" s="1"/>
      <c r="H86" s="31" t="str">
        <f aca="true">IF(E86="","",IF(F86&lt;&gt;"",MAX(0,F86-E86),MAX(0,TODAY()-E86)))</f>
        <v/>
      </c>
      <c r="I86" s="21"/>
      <c r="J86" s="21"/>
      <c r="K86" s="1"/>
    </row>
    <row r="87" customFormat="false" ht="15" hidden="false" customHeight="false" outlineLevel="0" collapsed="false">
      <c r="A87" s="1"/>
      <c r="B87" s="1"/>
      <c r="C87" s="1"/>
      <c r="D87" s="25"/>
      <c r="E87" s="25"/>
      <c r="F87" s="25"/>
      <c r="G87" s="1"/>
      <c r="H87" s="31" t="str">
        <f aca="true">IF(E87="","",IF(F87&lt;&gt;"",MAX(0,F87-E87),MAX(0,TODAY()-E87)))</f>
        <v/>
      </c>
      <c r="I87" s="21"/>
      <c r="J87" s="21"/>
      <c r="K87" s="1"/>
    </row>
    <row r="88" customFormat="false" ht="15" hidden="false" customHeight="false" outlineLevel="0" collapsed="false">
      <c r="A88" s="1"/>
      <c r="B88" s="1"/>
      <c r="C88" s="1"/>
      <c r="D88" s="25"/>
      <c r="E88" s="25"/>
      <c r="F88" s="25"/>
      <c r="G88" s="1"/>
      <c r="H88" s="31" t="str">
        <f aca="true">IF(E88="","",IF(F88&lt;&gt;"",MAX(0,F88-E88),MAX(0,TODAY()-E88)))</f>
        <v/>
      </c>
      <c r="I88" s="21"/>
      <c r="J88" s="21"/>
      <c r="K88" s="1"/>
    </row>
    <row r="89" customFormat="false" ht="15" hidden="false" customHeight="false" outlineLevel="0" collapsed="false">
      <c r="A89" s="1"/>
      <c r="B89" s="1"/>
      <c r="C89" s="1"/>
      <c r="D89" s="25"/>
      <c r="E89" s="25"/>
      <c r="F89" s="25"/>
      <c r="G89" s="1"/>
      <c r="H89" s="31" t="str">
        <f aca="true">IF(E89="","",IF(F89&lt;&gt;"",MAX(0,F89-E89),MAX(0,TODAY()-E89)))</f>
        <v/>
      </c>
      <c r="I89" s="21"/>
      <c r="J89" s="21"/>
      <c r="K89" s="1"/>
    </row>
    <row r="90" customFormat="false" ht="15" hidden="false" customHeight="false" outlineLevel="0" collapsed="false">
      <c r="A90" s="1"/>
      <c r="B90" s="1"/>
      <c r="C90" s="1"/>
      <c r="D90" s="25"/>
      <c r="E90" s="25"/>
      <c r="F90" s="25"/>
      <c r="G90" s="1"/>
      <c r="H90" s="31" t="str">
        <f aca="true">IF(E90="","",IF(F90&lt;&gt;"",MAX(0,F90-E90),MAX(0,TODAY()-E90)))</f>
        <v/>
      </c>
      <c r="I90" s="21"/>
      <c r="J90" s="21"/>
      <c r="K90" s="1"/>
    </row>
    <row r="91" customFormat="false" ht="15" hidden="false" customHeight="false" outlineLevel="0" collapsed="false">
      <c r="A91" s="1"/>
      <c r="B91" s="1"/>
      <c r="C91" s="1"/>
      <c r="D91" s="25"/>
      <c r="E91" s="25"/>
      <c r="F91" s="25"/>
      <c r="G91" s="1"/>
      <c r="H91" s="31" t="str">
        <f aca="true">IF(E91="","",IF(F91&lt;&gt;"",MAX(0,F91-E91),MAX(0,TODAY()-E91)))</f>
        <v/>
      </c>
      <c r="I91" s="21"/>
      <c r="J91" s="21"/>
      <c r="K91" s="1"/>
    </row>
    <row r="92" customFormat="false" ht="15" hidden="false" customHeight="false" outlineLevel="0" collapsed="false">
      <c r="A92" s="1"/>
      <c r="B92" s="1"/>
      <c r="C92" s="1"/>
      <c r="D92" s="25"/>
      <c r="E92" s="25"/>
      <c r="F92" s="25"/>
      <c r="G92" s="1"/>
      <c r="H92" s="31" t="str">
        <f aca="true">IF(E92="","",IF(F92&lt;&gt;"",MAX(0,F92-E92),MAX(0,TODAY()-E92)))</f>
        <v/>
      </c>
      <c r="I92" s="21"/>
      <c r="J92" s="21"/>
      <c r="K92" s="1"/>
    </row>
    <row r="93" customFormat="false" ht="15" hidden="false" customHeight="false" outlineLevel="0" collapsed="false">
      <c r="A93" s="1"/>
      <c r="B93" s="1"/>
      <c r="C93" s="1"/>
      <c r="D93" s="25"/>
      <c r="E93" s="25"/>
      <c r="F93" s="25"/>
      <c r="G93" s="1"/>
      <c r="H93" s="31" t="str">
        <f aca="true">IF(E93="","",IF(F93&lt;&gt;"",MAX(0,F93-E93),MAX(0,TODAY()-E93)))</f>
        <v/>
      </c>
      <c r="I93" s="21"/>
      <c r="J93" s="21"/>
      <c r="K93" s="1"/>
    </row>
    <row r="94" customFormat="false" ht="15" hidden="false" customHeight="false" outlineLevel="0" collapsed="false">
      <c r="A94" s="1"/>
      <c r="B94" s="1"/>
      <c r="C94" s="1"/>
      <c r="D94" s="25"/>
      <c r="E94" s="25"/>
      <c r="F94" s="25"/>
      <c r="G94" s="1"/>
      <c r="H94" s="31" t="str">
        <f aca="true">IF(E94="","",IF(F94&lt;&gt;"",MAX(0,F94-E94),MAX(0,TODAY()-E94)))</f>
        <v/>
      </c>
      <c r="I94" s="21"/>
      <c r="J94" s="21"/>
      <c r="K94" s="1"/>
    </row>
    <row r="95" customFormat="false" ht="15" hidden="false" customHeight="false" outlineLevel="0" collapsed="false">
      <c r="A95" s="1"/>
      <c r="B95" s="1"/>
      <c r="C95" s="1"/>
      <c r="D95" s="25"/>
      <c r="E95" s="25"/>
      <c r="F95" s="25"/>
      <c r="G95" s="1"/>
      <c r="H95" s="31" t="str">
        <f aca="true">IF(E95="","",IF(F95&lt;&gt;"",MAX(0,F95-E95),MAX(0,TODAY()-E95)))</f>
        <v/>
      </c>
      <c r="I95" s="21"/>
      <c r="J95" s="21"/>
      <c r="K95" s="1"/>
    </row>
    <row r="96" customFormat="false" ht="15" hidden="false" customHeight="false" outlineLevel="0" collapsed="false">
      <c r="A96" s="1"/>
      <c r="B96" s="1"/>
      <c r="C96" s="1"/>
      <c r="D96" s="25"/>
      <c r="E96" s="25"/>
      <c r="F96" s="25"/>
      <c r="G96" s="1"/>
      <c r="H96" s="31" t="str">
        <f aca="true">IF(E96="","",IF(F96&lt;&gt;"",MAX(0,F96-E96),MAX(0,TODAY()-E96)))</f>
        <v/>
      </c>
      <c r="I96" s="21"/>
      <c r="J96" s="21"/>
      <c r="K96" s="1"/>
    </row>
    <row r="97" customFormat="false" ht="15" hidden="false" customHeight="false" outlineLevel="0" collapsed="false">
      <c r="A97" s="1"/>
      <c r="B97" s="1"/>
      <c r="C97" s="1"/>
      <c r="D97" s="25"/>
      <c r="E97" s="25"/>
      <c r="F97" s="25"/>
      <c r="G97" s="1"/>
      <c r="H97" s="31" t="str">
        <f aca="true">IF(E97="","",IF(F97&lt;&gt;"",MAX(0,F97-E97),MAX(0,TODAY()-E97)))</f>
        <v/>
      </c>
      <c r="I97" s="21"/>
      <c r="J97" s="21"/>
      <c r="K97" s="1"/>
    </row>
    <row r="98" customFormat="false" ht="15" hidden="false" customHeight="false" outlineLevel="0" collapsed="false">
      <c r="A98" s="1"/>
      <c r="B98" s="1"/>
      <c r="C98" s="1"/>
      <c r="D98" s="25"/>
      <c r="E98" s="25"/>
      <c r="F98" s="25"/>
      <c r="G98" s="1"/>
      <c r="H98" s="31" t="str">
        <f aca="true">IF(E98="","",IF(F98&lt;&gt;"",MAX(0,F98-E98),MAX(0,TODAY()-E98)))</f>
        <v/>
      </c>
      <c r="I98" s="21"/>
      <c r="J98" s="21"/>
      <c r="K98" s="1"/>
    </row>
    <row r="99" customFormat="false" ht="15" hidden="false" customHeight="false" outlineLevel="0" collapsed="false">
      <c r="A99" s="1"/>
      <c r="B99" s="1"/>
      <c r="C99" s="1"/>
      <c r="D99" s="25"/>
      <c r="E99" s="25"/>
      <c r="F99" s="25"/>
      <c r="G99" s="1"/>
      <c r="H99" s="31" t="str">
        <f aca="true">IF(E99="","",IF(F99&lt;&gt;"",MAX(0,F99-E99),MAX(0,TODAY()-E99)))</f>
        <v/>
      </c>
      <c r="I99" s="21"/>
      <c r="J99" s="21"/>
      <c r="K99" s="1"/>
    </row>
    <row r="100" customFormat="false" ht="15" hidden="false" customHeight="false" outlineLevel="0" collapsed="false">
      <c r="A100" s="1"/>
      <c r="B100" s="1"/>
      <c r="C100" s="1"/>
      <c r="D100" s="25"/>
      <c r="E100" s="25"/>
      <c r="F100" s="25"/>
      <c r="G100" s="1"/>
      <c r="H100" s="31" t="str">
        <f aca="true">IF(E100="","",IF(F100&lt;&gt;"",MAX(0,F100-E100),MAX(0,TODAY()-E100)))</f>
        <v/>
      </c>
      <c r="I100" s="21"/>
      <c r="J100" s="21"/>
      <c r="K100" s="1"/>
    </row>
    <row r="101" customFormat="false" ht="15" hidden="false" customHeight="false" outlineLevel="0" collapsed="false">
      <c r="A101" s="1"/>
      <c r="B101" s="1"/>
      <c r="C101" s="1"/>
      <c r="D101" s="25"/>
      <c r="E101" s="25"/>
      <c r="F101" s="25"/>
      <c r="G101" s="1"/>
      <c r="H101" s="31" t="str">
        <f aca="true">IF(E101="","",IF(F101&lt;&gt;"",MAX(0,F101-E101),MAX(0,TODAY()-E101)))</f>
        <v/>
      </c>
      <c r="I101" s="21"/>
      <c r="J101" s="21"/>
      <c r="K101" s="1"/>
    </row>
    <row r="102" customFormat="false" ht="15" hidden="false" customHeight="false" outlineLevel="0" collapsed="false">
      <c r="A102" s="1"/>
      <c r="B102" s="1"/>
      <c r="C102" s="1"/>
      <c r="D102" s="25"/>
      <c r="E102" s="25"/>
      <c r="F102" s="25"/>
      <c r="G102" s="1"/>
      <c r="H102" s="31" t="str">
        <f aca="true">IF(E102="","",IF(F102&lt;&gt;"",MAX(0,F102-E102),MAX(0,TODAY()-E102)))</f>
        <v/>
      </c>
      <c r="I102" s="21"/>
      <c r="J102" s="21"/>
      <c r="K102" s="1"/>
    </row>
    <row r="103" customFormat="false" ht="15" hidden="false" customHeight="false" outlineLevel="0" collapsed="false">
      <c r="A103" s="1"/>
      <c r="B103" s="1"/>
      <c r="C103" s="1"/>
      <c r="D103" s="25"/>
      <c r="E103" s="25"/>
      <c r="F103" s="25"/>
      <c r="G103" s="1"/>
      <c r="H103" s="31" t="str">
        <f aca="true">IF(E103="","",IF(F103&lt;&gt;"",MAX(0,F103-E103),MAX(0,TODAY()-E103)))</f>
        <v/>
      </c>
      <c r="I103" s="21"/>
      <c r="J103" s="21"/>
      <c r="K103" s="1"/>
    </row>
    <row r="104" customFormat="false" ht="15" hidden="false" customHeight="false" outlineLevel="0" collapsed="false">
      <c r="A104" s="1"/>
      <c r="B104" s="1"/>
      <c r="C104" s="1"/>
      <c r="D104" s="25"/>
      <c r="E104" s="25"/>
      <c r="F104" s="25"/>
      <c r="G104" s="1"/>
      <c r="H104" s="31" t="str">
        <f aca="true">IF(E104="","",IF(F104&lt;&gt;"",MAX(0,F104-E104),MAX(0,TODAY()-E104)))</f>
        <v/>
      </c>
      <c r="I104" s="21"/>
      <c r="J104" s="21"/>
      <c r="K104" s="1"/>
    </row>
    <row r="105" customFormat="false" ht="15" hidden="false" customHeight="false" outlineLevel="0" collapsed="false">
      <c r="A105" s="1"/>
      <c r="B105" s="1"/>
      <c r="C105" s="1"/>
      <c r="D105" s="25"/>
      <c r="E105" s="25"/>
      <c r="F105" s="25"/>
      <c r="G105" s="1"/>
      <c r="H105" s="31" t="str">
        <f aca="true">IF(E105="","",IF(F105&lt;&gt;"",MAX(0,F105-E105),MAX(0,TODAY()-E105)))</f>
        <v/>
      </c>
      <c r="I105" s="21"/>
      <c r="J105" s="21"/>
      <c r="K105" s="1"/>
    </row>
    <row r="106" customFormat="false" ht="15" hidden="false" customHeight="false" outlineLevel="0" collapsed="false">
      <c r="A106" s="1"/>
      <c r="B106" s="1"/>
      <c r="C106" s="1"/>
      <c r="D106" s="25"/>
      <c r="E106" s="25"/>
      <c r="F106" s="25"/>
      <c r="G106" s="1"/>
      <c r="H106" s="31" t="str">
        <f aca="true">IF(E106="","",IF(F106&lt;&gt;"",MAX(0,F106-E106),MAX(0,TODAY()-E106)))</f>
        <v/>
      </c>
      <c r="I106" s="21"/>
      <c r="J106" s="21"/>
      <c r="K106" s="1"/>
    </row>
    <row r="107" customFormat="false" ht="15" hidden="false" customHeight="false" outlineLevel="0" collapsed="false">
      <c r="A107" s="1"/>
      <c r="B107" s="1"/>
      <c r="C107" s="1"/>
      <c r="D107" s="25"/>
      <c r="E107" s="25"/>
      <c r="F107" s="25"/>
      <c r="G107" s="1"/>
      <c r="H107" s="31" t="str">
        <f aca="true">IF(E107="","",IF(F107&lt;&gt;"",MAX(0,F107-E107),MAX(0,TODAY()-E107)))</f>
        <v/>
      </c>
      <c r="I107" s="21"/>
      <c r="J107" s="21"/>
      <c r="K107" s="1"/>
    </row>
    <row r="108" customFormat="false" ht="15" hidden="false" customHeight="false" outlineLevel="0" collapsed="false">
      <c r="A108" s="1"/>
      <c r="B108" s="1"/>
      <c r="C108" s="1"/>
      <c r="D108" s="25"/>
      <c r="E108" s="25"/>
      <c r="F108" s="25"/>
      <c r="G108" s="1"/>
      <c r="H108" s="31" t="str">
        <f aca="true">IF(E108="","",IF(F108&lt;&gt;"",MAX(0,F108-E108),MAX(0,TODAY()-E108)))</f>
        <v/>
      </c>
      <c r="I108" s="21"/>
      <c r="J108" s="21"/>
      <c r="K108" s="1"/>
    </row>
    <row r="109" customFormat="false" ht="15" hidden="false" customHeight="false" outlineLevel="0" collapsed="false">
      <c r="A109" s="1"/>
      <c r="B109" s="1"/>
      <c r="C109" s="1"/>
      <c r="D109" s="25"/>
      <c r="E109" s="25"/>
      <c r="F109" s="25"/>
      <c r="G109" s="1"/>
      <c r="H109" s="31" t="str">
        <f aca="true">IF(E109="","",IF(F109&lt;&gt;"",MAX(0,F109-E109),MAX(0,TODAY()-E109)))</f>
        <v/>
      </c>
      <c r="I109" s="21"/>
      <c r="J109" s="21"/>
      <c r="K109" s="1"/>
    </row>
    <row r="110" customFormat="false" ht="15" hidden="false" customHeight="false" outlineLevel="0" collapsed="false">
      <c r="A110" s="1"/>
      <c r="B110" s="1"/>
      <c r="C110" s="1"/>
      <c r="D110" s="25"/>
      <c r="E110" s="25"/>
      <c r="F110" s="25"/>
      <c r="G110" s="1"/>
      <c r="H110" s="31" t="str">
        <f aca="true">IF(E110="","",IF(F110&lt;&gt;"",MAX(0,F110-E110),MAX(0,TODAY()-E110)))</f>
        <v/>
      </c>
      <c r="I110" s="21"/>
      <c r="J110" s="21"/>
      <c r="K110" s="1"/>
    </row>
    <row r="111" customFormat="false" ht="15" hidden="false" customHeight="false" outlineLevel="0" collapsed="false">
      <c r="A111" s="1"/>
      <c r="B111" s="1"/>
      <c r="C111" s="1"/>
      <c r="D111" s="25"/>
      <c r="E111" s="25"/>
      <c r="F111" s="25"/>
      <c r="G111" s="1"/>
      <c r="H111" s="31" t="str">
        <f aca="true">IF(E111="","",IF(F111&lt;&gt;"",MAX(0,F111-E111),MAX(0,TODAY()-E111)))</f>
        <v/>
      </c>
      <c r="I111" s="21"/>
      <c r="J111" s="21"/>
      <c r="K111" s="1"/>
    </row>
    <row r="112" customFormat="false" ht="15" hidden="false" customHeight="false" outlineLevel="0" collapsed="false">
      <c r="A112" s="1"/>
      <c r="B112" s="1"/>
      <c r="C112" s="1"/>
      <c r="D112" s="25"/>
      <c r="E112" s="25"/>
      <c r="F112" s="25"/>
      <c r="G112" s="1"/>
      <c r="H112" s="31" t="str">
        <f aca="true">IF(E112="","",IF(F112&lt;&gt;"",MAX(0,F112-E112),MAX(0,TODAY()-E112)))</f>
        <v/>
      </c>
      <c r="I112" s="21"/>
      <c r="J112" s="21"/>
      <c r="K112" s="1"/>
    </row>
    <row r="113" customFormat="false" ht="15" hidden="false" customHeight="false" outlineLevel="0" collapsed="false">
      <c r="A113" s="1"/>
      <c r="B113" s="1"/>
      <c r="C113" s="1"/>
      <c r="D113" s="25"/>
      <c r="E113" s="25"/>
      <c r="F113" s="25"/>
      <c r="G113" s="1"/>
      <c r="H113" s="31" t="str">
        <f aca="true">IF(E113="","",IF(F113&lt;&gt;"",MAX(0,F113-E113),MAX(0,TODAY()-E113)))</f>
        <v/>
      </c>
      <c r="I113" s="21"/>
      <c r="J113" s="21"/>
      <c r="K113" s="1"/>
    </row>
    <row r="114" customFormat="false" ht="15" hidden="false" customHeight="false" outlineLevel="0" collapsed="false">
      <c r="A114" s="1"/>
      <c r="B114" s="1"/>
      <c r="C114" s="1"/>
      <c r="D114" s="25"/>
      <c r="E114" s="25"/>
      <c r="F114" s="25"/>
      <c r="G114" s="1"/>
      <c r="H114" s="31" t="str">
        <f aca="true">IF(E114="","",IF(F114&lt;&gt;"",MAX(0,F114-E114),MAX(0,TODAY()-E114)))</f>
        <v/>
      </c>
      <c r="I114" s="21"/>
      <c r="J114" s="21"/>
      <c r="K114" s="1"/>
    </row>
    <row r="115" customFormat="false" ht="15" hidden="false" customHeight="false" outlineLevel="0" collapsed="false">
      <c r="A115" s="1"/>
      <c r="B115" s="1"/>
      <c r="C115" s="1"/>
      <c r="D115" s="25"/>
      <c r="E115" s="25"/>
      <c r="F115" s="25"/>
      <c r="G115" s="1"/>
      <c r="H115" s="31" t="str">
        <f aca="true">IF(E115="","",IF(F115&lt;&gt;"",MAX(0,F115-E115),MAX(0,TODAY()-E115)))</f>
        <v/>
      </c>
      <c r="I115" s="21"/>
      <c r="J115" s="21"/>
      <c r="K115" s="1"/>
    </row>
    <row r="116" customFormat="false" ht="15" hidden="false" customHeight="false" outlineLevel="0" collapsed="false">
      <c r="A116" s="1"/>
      <c r="B116" s="1"/>
      <c r="C116" s="1"/>
      <c r="D116" s="25"/>
      <c r="E116" s="25"/>
      <c r="F116" s="25"/>
      <c r="G116" s="1"/>
      <c r="H116" s="31" t="str">
        <f aca="true">IF(E116="","",IF(F116&lt;&gt;"",MAX(0,F116-E116),MAX(0,TODAY()-E116)))</f>
        <v/>
      </c>
      <c r="I116" s="21"/>
      <c r="J116" s="21"/>
      <c r="K116" s="1"/>
    </row>
    <row r="117" customFormat="false" ht="15" hidden="false" customHeight="false" outlineLevel="0" collapsed="false">
      <c r="A117" s="1"/>
      <c r="B117" s="1"/>
      <c r="C117" s="1"/>
      <c r="D117" s="25"/>
      <c r="E117" s="25"/>
      <c r="F117" s="25"/>
      <c r="G117" s="1"/>
      <c r="H117" s="31" t="str">
        <f aca="true">IF(E117="","",IF(F117&lt;&gt;"",MAX(0,F117-E117),MAX(0,TODAY()-E117)))</f>
        <v/>
      </c>
      <c r="I117" s="21"/>
      <c r="J117" s="21"/>
      <c r="K117" s="1"/>
    </row>
    <row r="118" customFormat="false" ht="15" hidden="false" customHeight="false" outlineLevel="0" collapsed="false">
      <c r="A118" s="1"/>
      <c r="B118" s="1"/>
      <c r="C118" s="1"/>
      <c r="D118" s="25"/>
      <c r="E118" s="25"/>
      <c r="F118" s="25"/>
      <c r="G118" s="1"/>
      <c r="H118" s="31" t="str">
        <f aca="true">IF(E118="","",IF(F118&lt;&gt;"",MAX(0,F118-E118),MAX(0,TODAY()-E118)))</f>
        <v/>
      </c>
      <c r="I118" s="21"/>
      <c r="J118" s="21"/>
      <c r="K118" s="1"/>
    </row>
    <row r="119" customFormat="false" ht="15" hidden="false" customHeight="false" outlineLevel="0" collapsed="false">
      <c r="A119" s="1"/>
      <c r="B119" s="1"/>
      <c r="C119" s="1"/>
      <c r="D119" s="25"/>
      <c r="E119" s="25"/>
      <c r="F119" s="25"/>
      <c r="G119" s="1"/>
      <c r="H119" s="31" t="str">
        <f aca="true">IF(E119="","",IF(F119&lt;&gt;"",MAX(0,F119-E119),MAX(0,TODAY()-E119)))</f>
        <v/>
      </c>
      <c r="I119" s="21"/>
      <c r="J119" s="21"/>
      <c r="K119" s="1"/>
    </row>
    <row r="120" customFormat="false" ht="15" hidden="false" customHeight="false" outlineLevel="0" collapsed="false">
      <c r="A120" s="1"/>
      <c r="B120" s="1"/>
      <c r="C120" s="1"/>
      <c r="D120" s="25"/>
      <c r="E120" s="25"/>
      <c r="F120" s="25"/>
      <c r="G120" s="1"/>
      <c r="H120" s="31" t="str">
        <f aca="true">IF(E120="","",IF(F120&lt;&gt;"",MAX(0,F120-E120),MAX(0,TODAY()-E120)))</f>
        <v/>
      </c>
      <c r="I120" s="21"/>
      <c r="J120" s="21"/>
      <c r="K120" s="1"/>
    </row>
    <row r="121" customFormat="false" ht="15" hidden="false" customHeight="false" outlineLevel="0" collapsed="false">
      <c r="A121" s="1"/>
      <c r="B121" s="1"/>
      <c r="C121" s="1"/>
      <c r="D121" s="25"/>
      <c r="E121" s="25"/>
      <c r="F121" s="25"/>
      <c r="G121" s="1"/>
      <c r="H121" s="31" t="str">
        <f aca="true">IF(E121="","",IF(F121&lt;&gt;"",MAX(0,F121-E121),MAX(0,TODAY()-E121)))</f>
        <v/>
      </c>
      <c r="I121" s="21"/>
      <c r="J121" s="21"/>
      <c r="K121" s="1"/>
    </row>
    <row r="122" customFormat="false" ht="15" hidden="false" customHeight="false" outlineLevel="0" collapsed="false">
      <c r="A122" s="1"/>
      <c r="B122" s="1"/>
      <c r="C122" s="1"/>
      <c r="D122" s="25"/>
      <c r="E122" s="25"/>
      <c r="F122" s="25"/>
      <c r="G122" s="1"/>
      <c r="H122" s="31" t="str">
        <f aca="true">IF(E122="","",IF(F122&lt;&gt;"",MAX(0,F122-E122),MAX(0,TODAY()-E122)))</f>
        <v/>
      </c>
      <c r="I122" s="21"/>
      <c r="J122" s="21"/>
      <c r="K122" s="1"/>
    </row>
    <row r="123" customFormat="false" ht="15" hidden="false" customHeight="false" outlineLevel="0" collapsed="false">
      <c r="A123" s="1"/>
      <c r="B123" s="1"/>
      <c r="C123" s="1"/>
      <c r="D123" s="25"/>
      <c r="E123" s="25"/>
      <c r="F123" s="25"/>
      <c r="G123" s="1"/>
      <c r="H123" s="31" t="str">
        <f aca="true">IF(E123="","",IF(F123&lt;&gt;"",MAX(0,F123-E123),MAX(0,TODAY()-E123)))</f>
        <v/>
      </c>
      <c r="I123" s="21"/>
      <c r="J123" s="21"/>
      <c r="K123" s="1"/>
    </row>
    <row r="124" customFormat="false" ht="15" hidden="false" customHeight="false" outlineLevel="0" collapsed="false">
      <c r="A124" s="1"/>
      <c r="B124" s="1"/>
      <c r="C124" s="1"/>
      <c r="D124" s="25"/>
      <c r="E124" s="25"/>
      <c r="F124" s="25"/>
      <c r="G124" s="1"/>
      <c r="H124" s="31" t="str">
        <f aca="true">IF(E124="","",IF(F124&lt;&gt;"",MAX(0,F124-E124),MAX(0,TODAY()-E124)))</f>
        <v/>
      </c>
      <c r="I124" s="21"/>
      <c r="J124" s="21"/>
      <c r="K124" s="1"/>
    </row>
    <row r="125" customFormat="false" ht="15" hidden="false" customHeight="false" outlineLevel="0" collapsed="false">
      <c r="A125" s="1"/>
      <c r="B125" s="1"/>
      <c r="C125" s="1"/>
      <c r="D125" s="25"/>
      <c r="E125" s="25"/>
      <c r="F125" s="25"/>
      <c r="G125" s="1"/>
      <c r="H125" s="31" t="str">
        <f aca="true">IF(E125="","",IF(F125&lt;&gt;"",MAX(0,F125-E125),MAX(0,TODAY()-E125)))</f>
        <v/>
      </c>
      <c r="I125" s="21"/>
      <c r="J125" s="21"/>
      <c r="K125" s="1"/>
    </row>
    <row r="126" customFormat="false" ht="15" hidden="false" customHeight="false" outlineLevel="0" collapsed="false">
      <c r="A126" s="1"/>
      <c r="B126" s="1"/>
      <c r="C126" s="1"/>
      <c r="D126" s="25"/>
      <c r="E126" s="25"/>
      <c r="F126" s="25"/>
      <c r="G126" s="1"/>
      <c r="H126" s="31" t="str">
        <f aca="true">IF(E126="","",IF(F126&lt;&gt;"",MAX(0,F126-E126),MAX(0,TODAY()-E126)))</f>
        <v/>
      </c>
      <c r="I126" s="21"/>
      <c r="J126" s="21"/>
      <c r="K126" s="1"/>
    </row>
    <row r="127" customFormat="false" ht="15" hidden="false" customHeight="false" outlineLevel="0" collapsed="false">
      <c r="A127" s="1"/>
      <c r="B127" s="1"/>
      <c r="C127" s="1"/>
      <c r="D127" s="25"/>
      <c r="E127" s="25"/>
      <c r="F127" s="25"/>
      <c r="G127" s="1"/>
      <c r="H127" s="31" t="str">
        <f aca="true">IF(E127="","",IF(F127&lt;&gt;"",MAX(0,F127-E127),MAX(0,TODAY()-E127)))</f>
        <v/>
      </c>
      <c r="I127" s="21"/>
      <c r="J127" s="21"/>
      <c r="K127" s="1"/>
    </row>
    <row r="128" customFormat="false" ht="15" hidden="false" customHeight="false" outlineLevel="0" collapsed="false">
      <c r="A128" s="1"/>
      <c r="B128" s="1"/>
      <c r="C128" s="1"/>
      <c r="D128" s="25"/>
      <c r="E128" s="25"/>
      <c r="F128" s="25"/>
      <c r="G128" s="1"/>
      <c r="H128" s="31" t="str">
        <f aca="true">IF(E128="","",IF(F128&lt;&gt;"",MAX(0,F128-E128),MAX(0,TODAY()-E128)))</f>
        <v/>
      </c>
      <c r="I128" s="21"/>
      <c r="J128" s="21"/>
      <c r="K128" s="1"/>
    </row>
    <row r="129" customFormat="false" ht="15" hidden="false" customHeight="false" outlineLevel="0" collapsed="false">
      <c r="A129" s="1"/>
      <c r="B129" s="1"/>
      <c r="C129" s="1"/>
      <c r="D129" s="25"/>
      <c r="E129" s="25"/>
      <c r="F129" s="25"/>
      <c r="G129" s="1"/>
      <c r="H129" s="31" t="str">
        <f aca="true">IF(E129="","",IF(F129&lt;&gt;"",MAX(0,F129-E129),MAX(0,TODAY()-E129)))</f>
        <v/>
      </c>
      <c r="I129" s="21"/>
      <c r="J129" s="21"/>
      <c r="K129" s="1"/>
    </row>
    <row r="130" customFormat="false" ht="15" hidden="false" customHeight="false" outlineLevel="0" collapsed="false">
      <c r="A130" s="1"/>
      <c r="B130" s="1"/>
      <c r="C130" s="1"/>
      <c r="D130" s="25"/>
      <c r="E130" s="25"/>
      <c r="F130" s="25"/>
      <c r="G130" s="1"/>
      <c r="H130" s="31" t="str">
        <f aca="true">IF(E130="","",IF(F130&lt;&gt;"",MAX(0,F130-E130),MAX(0,TODAY()-E130)))</f>
        <v/>
      </c>
      <c r="I130" s="21"/>
      <c r="J130" s="21"/>
      <c r="K130" s="1"/>
    </row>
    <row r="131" customFormat="false" ht="15" hidden="false" customHeight="false" outlineLevel="0" collapsed="false">
      <c r="A131" s="1"/>
      <c r="B131" s="1"/>
      <c r="C131" s="1"/>
      <c r="D131" s="25"/>
      <c r="E131" s="25"/>
      <c r="F131" s="25"/>
      <c r="G131" s="1"/>
      <c r="H131" s="31" t="str">
        <f aca="true">IF(E131="","",IF(F131&lt;&gt;"",MAX(0,F131-E131),MAX(0,TODAY()-E131)))</f>
        <v/>
      </c>
      <c r="I131" s="21"/>
      <c r="J131" s="21"/>
      <c r="K131" s="1"/>
    </row>
    <row r="132" customFormat="false" ht="15" hidden="false" customHeight="false" outlineLevel="0" collapsed="false">
      <c r="A132" s="1"/>
      <c r="B132" s="1"/>
      <c r="C132" s="1"/>
      <c r="D132" s="25"/>
      <c r="E132" s="25"/>
      <c r="F132" s="25"/>
      <c r="G132" s="1"/>
      <c r="H132" s="31" t="str">
        <f aca="true">IF(E132="","",IF(F132&lt;&gt;"",MAX(0,F132-E132),MAX(0,TODAY()-E132)))</f>
        <v/>
      </c>
      <c r="I132" s="21"/>
      <c r="J132" s="21"/>
      <c r="K132" s="1"/>
    </row>
    <row r="133" customFormat="false" ht="15" hidden="false" customHeight="false" outlineLevel="0" collapsed="false">
      <c r="A133" s="1"/>
      <c r="B133" s="1"/>
      <c r="C133" s="1"/>
      <c r="D133" s="25"/>
      <c r="E133" s="25"/>
      <c r="F133" s="25"/>
      <c r="G133" s="1"/>
      <c r="H133" s="31" t="str">
        <f aca="true">IF(E133="","",IF(F133&lt;&gt;"",MAX(0,F133-E133),MAX(0,TODAY()-E133)))</f>
        <v/>
      </c>
      <c r="I133" s="21"/>
      <c r="J133" s="21"/>
      <c r="K133" s="1"/>
    </row>
    <row r="134" customFormat="false" ht="15" hidden="false" customHeight="false" outlineLevel="0" collapsed="false">
      <c r="A134" s="1"/>
      <c r="B134" s="1"/>
      <c r="C134" s="1"/>
      <c r="D134" s="25"/>
      <c r="E134" s="25"/>
      <c r="F134" s="25"/>
      <c r="G134" s="1"/>
      <c r="H134" s="31" t="str">
        <f aca="true">IF(E134="","",IF(F134&lt;&gt;"",MAX(0,F134-E134),MAX(0,TODAY()-E134)))</f>
        <v/>
      </c>
      <c r="I134" s="21"/>
      <c r="J134" s="21"/>
      <c r="K134" s="1"/>
    </row>
    <row r="135" customFormat="false" ht="15" hidden="false" customHeight="false" outlineLevel="0" collapsed="false">
      <c r="A135" s="1"/>
      <c r="B135" s="1"/>
      <c r="C135" s="1"/>
      <c r="D135" s="25"/>
      <c r="E135" s="25"/>
      <c r="F135" s="25"/>
      <c r="G135" s="1"/>
      <c r="H135" s="31" t="str">
        <f aca="true">IF(E135="","",IF(F135&lt;&gt;"",MAX(0,F135-E135),MAX(0,TODAY()-E135)))</f>
        <v/>
      </c>
      <c r="I135" s="21"/>
      <c r="J135" s="21"/>
      <c r="K135" s="1"/>
    </row>
    <row r="136" customFormat="false" ht="15" hidden="false" customHeight="false" outlineLevel="0" collapsed="false">
      <c r="A136" s="1"/>
      <c r="B136" s="1"/>
      <c r="C136" s="1"/>
      <c r="D136" s="25"/>
      <c r="E136" s="25"/>
      <c r="F136" s="25"/>
      <c r="G136" s="1"/>
      <c r="H136" s="31" t="str">
        <f aca="true">IF(E136="","",IF(F136&lt;&gt;"",MAX(0,F136-E136),MAX(0,TODAY()-E136)))</f>
        <v/>
      </c>
      <c r="I136" s="21"/>
      <c r="J136" s="21"/>
      <c r="K136" s="1"/>
    </row>
    <row r="137" customFormat="false" ht="15" hidden="false" customHeight="false" outlineLevel="0" collapsed="false">
      <c r="A137" s="1"/>
      <c r="B137" s="1"/>
      <c r="C137" s="1"/>
      <c r="D137" s="25"/>
      <c r="E137" s="25"/>
      <c r="F137" s="25"/>
      <c r="G137" s="1"/>
      <c r="H137" s="31" t="str">
        <f aca="true">IF(E137="","",IF(F137&lt;&gt;"",MAX(0,F137-E137),MAX(0,TODAY()-E137)))</f>
        <v/>
      </c>
      <c r="I137" s="21"/>
      <c r="J137" s="21"/>
      <c r="K137" s="1"/>
    </row>
    <row r="138" customFormat="false" ht="15" hidden="false" customHeight="false" outlineLevel="0" collapsed="false">
      <c r="A138" s="1"/>
      <c r="B138" s="1"/>
      <c r="C138" s="1"/>
      <c r="D138" s="25"/>
      <c r="E138" s="25"/>
      <c r="F138" s="25"/>
      <c r="G138" s="1"/>
      <c r="H138" s="31" t="str">
        <f aca="true">IF(E138="","",IF(F138&lt;&gt;"",MAX(0,F138-E138),MAX(0,TODAY()-E138)))</f>
        <v/>
      </c>
      <c r="I138" s="21"/>
      <c r="J138" s="21"/>
      <c r="K138" s="1"/>
    </row>
    <row r="139" customFormat="false" ht="15" hidden="false" customHeight="false" outlineLevel="0" collapsed="false">
      <c r="A139" s="1"/>
      <c r="B139" s="1"/>
      <c r="C139" s="1"/>
      <c r="D139" s="25"/>
      <c r="E139" s="25"/>
      <c r="F139" s="25"/>
      <c r="G139" s="1"/>
      <c r="H139" s="31" t="str">
        <f aca="true">IF(E139="","",IF(F139&lt;&gt;"",MAX(0,F139-E139),MAX(0,TODAY()-E139)))</f>
        <v/>
      </c>
      <c r="I139" s="21"/>
      <c r="J139" s="21"/>
      <c r="K139" s="1"/>
    </row>
    <row r="140" customFormat="false" ht="15" hidden="false" customHeight="false" outlineLevel="0" collapsed="false">
      <c r="A140" s="1"/>
      <c r="B140" s="1"/>
      <c r="C140" s="1"/>
      <c r="D140" s="25"/>
      <c r="E140" s="25"/>
      <c r="F140" s="25"/>
      <c r="G140" s="1"/>
      <c r="H140" s="31" t="str">
        <f aca="true">IF(E140="","",IF(F140&lt;&gt;"",MAX(0,F140-E140),MAX(0,TODAY()-E140)))</f>
        <v/>
      </c>
      <c r="I140" s="21"/>
      <c r="J140" s="21"/>
      <c r="K140" s="1"/>
    </row>
    <row r="141" customFormat="false" ht="15" hidden="false" customHeight="false" outlineLevel="0" collapsed="false">
      <c r="A141" s="1"/>
      <c r="B141" s="1"/>
      <c r="C141" s="1"/>
      <c r="D141" s="25"/>
      <c r="E141" s="25"/>
      <c r="F141" s="25"/>
      <c r="G141" s="1"/>
      <c r="H141" s="31" t="str">
        <f aca="true">IF(E141="","",IF(F141&lt;&gt;"",MAX(0,F141-E141),MAX(0,TODAY()-E141)))</f>
        <v/>
      </c>
      <c r="I141" s="21"/>
      <c r="J141" s="21"/>
      <c r="K141" s="1"/>
    </row>
    <row r="142" customFormat="false" ht="15" hidden="false" customHeight="false" outlineLevel="0" collapsed="false">
      <c r="A142" s="1"/>
      <c r="B142" s="1"/>
      <c r="C142" s="1"/>
      <c r="D142" s="25"/>
      <c r="E142" s="25"/>
      <c r="F142" s="25"/>
      <c r="G142" s="1"/>
      <c r="H142" s="31" t="str">
        <f aca="true">IF(E142="","",IF(F142&lt;&gt;"",MAX(0,F142-E142),MAX(0,TODAY()-E142)))</f>
        <v/>
      </c>
      <c r="I142" s="21"/>
      <c r="J142" s="21"/>
      <c r="K142" s="1"/>
    </row>
    <row r="143" customFormat="false" ht="15" hidden="false" customHeight="false" outlineLevel="0" collapsed="false">
      <c r="A143" s="1"/>
      <c r="B143" s="1"/>
      <c r="C143" s="1"/>
      <c r="D143" s="25"/>
      <c r="E143" s="25"/>
      <c r="F143" s="25"/>
      <c r="G143" s="1"/>
      <c r="H143" s="31" t="str">
        <f aca="true">IF(E143="","",IF(F143&lt;&gt;"",MAX(0,F143-E143),MAX(0,TODAY()-E143)))</f>
        <v/>
      </c>
      <c r="I143" s="21"/>
      <c r="J143" s="21"/>
      <c r="K143" s="1"/>
    </row>
    <row r="144" customFormat="false" ht="15" hidden="false" customHeight="false" outlineLevel="0" collapsed="false">
      <c r="A144" s="1"/>
      <c r="B144" s="1"/>
      <c r="C144" s="1"/>
      <c r="D144" s="25"/>
      <c r="E144" s="25"/>
      <c r="F144" s="25"/>
      <c r="G144" s="1"/>
      <c r="H144" s="31" t="str">
        <f aca="true">IF(E144="","",IF(F144&lt;&gt;"",MAX(0,F144-E144),MAX(0,TODAY()-E144)))</f>
        <v/>
      </c>
      <c r="I144" s="21"/>
      <c r="J144" s="21"/>
      <c r="K144" s="1"/>
    </row>
    <row r="145" customFormat="false" ht="15" hidden="false" customHeight="false" outlineLevel="0" collapsed="false">
      <c r="A145" s="1"/>
      <c r="B145" s="1"/>
      <c r="C145" s="1"/>
      <c r="D145" s="25"/>
      <c r="E145" s="25"/>
      <c r="F145" s="25"/>
      <c r="G145" s="1"/>
      <c r="H145" s="31" t="str">
        <f aca="true">IF(E145="","",IF(F145&lt;&gt;"",MAX(0,F145-E145),MAX(0,TODAY()-E145)))</f>
        <v/>
      </c>
      <c r="I145" s="21"/>
      <c r="J145" s="21"/>
      <c r="K145" s="1"/>
    </row>
    <row r="146" customFormat="false" ht="15" hidden="false" customHeight="false" outlineLevel="0" collapsed="false">
      <c r="A146" s="1"/>
      <c r="B146" s="1"/>
      <c r="C146" s="1"/>
      <c r="D146" s="25"/>
      <c r="E146" s="25"/>
      <c r="F146" s="25"/>
      <c r="G146" s="1"/>
      <c r="H146" s="31" t="str">
        <f aca="true">IF(E146="","",IF(F146&lt;&gt;"",MAX(0,F146-E146),MAX(0,TODAY()-E146)))</f>
        <v/>
      </c>
      <c r="I146" s="21"/>
      <c r="J146" s="21"/>
      <c r="K146" s="1"/>
    </row>
    <row r="147" customFormat="false" ht="15" hidden="false" customHeight="false" outlineLevel="0" collapsed="false">
      <c r="A147" s="1"/>
      <c r="B147" s="1"/>
      <c r="C147" s="1"/>
      <c r="D147" s="25"/>
      <c r="E147" s="25"/>
      <c r="F147" s="25"/>
      <c r="G147" s="1"/>
      <c r="H147" s="31" t="str">
        <f aca="true">IF(E147="","",IF(F147&lt;&gt;"",MAX(0,F147-E147),MAX(0,TODAY()-E147)))</f>
        <v/>
      </c>
      <c r="I147" s="21"/>
      <c r="J147" s="21"/>
      <c r="K147" s="1"/>
    </row>
    <row r="148" customFormat="false" ht="15" hidden="false" customHeight="false" outlineLevel="0" collapsed="false">
      <c r="A148" s="1"/>
      <c r="B148" s="1"/>
      <c r="C148" s="1"/>
      <c r="D148" s="25"/>
      <c r="E148" s="25"/>
      <c r="F148" s="25"/>
      <c r="G148" s="1"/>
      <c r="H148" s="31" t="str">
        <f aca="true">IF(E148="","",IF(F148&lt;&gt;"",MAX(0,F148-E148),MAX(0,TODAY()-E148)))</f>
        <v/>
      </c>
      <c r="I148" s="21"/>
      <c r="J148" s="21"/>
      <c r="K148" s="1"/>
    </row>
    <row r="149" customFormat="false" ht="15" hidden="false" customHeight="false" outlineLevel="0" collapsed="false">
      <c r="A149" s="1"/>
      <c r="B149" s="1"/>
      <c r="C149" s="1"/>
      <c r="D149" s="25"/>
      <c r="E149" s="25"/>
      <c r="F149" s="25"/>
      <c r="G149" s="1"/>
      <c r="H149" s="31" t="str">
        <f aca="true">IF(E149="","",IF(F149&lt;&gt;"",MAX(0,F149-E149),MAX(0,TODAY()-E149)))</f>
        <v/>
      </c>
      <c r="I149" s="21"/>
      <c r="J149" s="21"/>
      <c r="K149" s="1"/>
    </row>
    <row r="150" customFormat="false" ht="15" hidden="false" customHeight="false" outlineLevel="0" collapsed="false">
      <c r="A150" s="1"/>
      <c r="B150" s="1"/>
      <c r="C150" s="1"/>
      <c r="D150" s="25"/>
      <c r="E150" s="25"/>
      <c r="F150" s="25"/>
      <c r="G150" s="1"/>
      <c r="H150" s="31" t="str">
        <f aca="true">IF(E150="","",IF(F150&lt;&gt;"",MAX(0,F150-E150),MAX(0,TODAY()-E150)))</f>
        <v/>
      </c>
      <c r="I150" s="21"/>
      <c r="J150" s="21"/>
      <c r="K150" s="1"/>
    </row>
    <row r="151" customFormat="false" ht="15" hidden="false" customHeight="false" outlineLevel="0" collapsed="false">
      <c r="A151" s="1"/>
      <c r="B151" s="1"/>
      <c r="C151" s="1"/>
      <c r="D151" s="25"/>
      <c r="E151" s="25"/>
      <c r="F151" s="25"/>
      <c r="G151" s="1"/>
      <c r="H151" s="31" t="str">
        <f aca="true">IF(E151="","",IF(F151&lt;&gt;"",MAX(0,F151-E151),MAX(0,TODAY()-E151)))</f>
        <v/>
      </c>
      <c r="I151" s="21"/>
      <c r="J151" s="21"/>
      <c r="K151" s="1"/>
    </row>
    <row r="152" customFormat="false" ht="15" hidden="false" customHeight="false" outlineLevel="0" collapsed="false">
      <c r="A152" s="1"/>
      <c r="B152" s="1"/>
      <c r="C152" s="1"/>
      <c r="D152" s="25"/>
      <c r="E152" s="25"/>
      <c r="F152" s="25"/>
      <c r="G152" s="1"/>
      <c r="H152" s="31" t="str">
        <f aca="true">IF(E152="","",IF(F152&lt;&gt;"",MAX(0,F152-E152),MAX(0,TODAY()-E152)))</f>
        <v/>
      </c>
      <c r="I152" s="21"/>
      <c r="J152" s="21"/>
      <c r="K152" s="1"/>
    </row>
    <row r="153" customFormat="false" ht="15" hidden="false" customHeight="false" outlineLevel="0" collapsed="false">
      <c r="A153" s="1"/>
      <c r="B153" s="1"/>
      <c r="C153" s="1"/>
      <c r="D153" s="25"/>
      <c r="E153" s="25"/>
      <c r="F153" s="25"/>
      <c r="G153" s="1"/>
      <c r="H153" s="31" t="str">
        <f aca="true">IF(E153="","",IF(F153&lt;&gt;"",MAX(0,F153-E153),MAX(0,TODAY()-E153)))</f>
        <v/>
      </c>
      <c r="I153" s="21"/>
      <c r="J153" s="21"/>
      <c r="K153" s="1"/>
    </row>
    <row r="154" customFormat="false" ht="15" hidden="false" customHeight="false" outlineLevel="0" collapsed="false">
      <c r="A154" s="1"/>
      <c r="B154" s="1"/>
      <c r="C154" s="1"/>
      <c r="D154" s="25"/>
      <c r="E154" s="25"/>
      <c r="F154" s="25"/>
      <c r="G154" s="1"/>
      <c r="H154" s="31" t="str">
        <f aca="true">IF(E154="","",IF(F154&lt;&gt;"",MAX(0,F154-E154),MAX(0,TODAY()-E154)))</f>
        <v/>
      </c>
      <c r="I154" s="21"/>
      <c r="J154" s="21"/>
      <c r="K154" s="1"/>
    </row>
    <row r="155" customFormat="false" ht="15" hidden="false" customHeight="false" outlineLevel="0" collapsed="false">
      <c r="A155" s="1"/>
      <c r="B155" s="1"/>
      <c r="C155" s="1"/>
      <c r="D155" s="25"/>
      <c r="E155" s="25"/>
      <c r="F155" s="25"/>
      <c r="G155" s="1"/>
      <c r="H155" s="31" t="str">
        <f aca="true">IF(E155="","",IF(F155&lt;&gt;"",MAX(0,F155-E155),MAX(0,TODAY()-E155)))</f>
        <v/>
      </c>
      <c r="I155" s="21"/>
      <c r="J155" s="21"/>
      <c r="K155" s="1"/>
    </row>
    <row r="156" customFormat="false" ht="15" hidden="false" customHeight="false" outlineLevel="0" collapsed="false">
      <c r="A156" s="1"/>
      <c r="B156" s="1"/>
      <c r="C156" s="1"/>
      <c r="D156" s="25"/>
      <c r="E156" s="25"/>
      <c r="F156" s="25"/>
      <c r="G156" s="1"/>
      <c r="H156" s="31" t="str">
        <f aca="true">IF(E156="","",IF(F156&lt;&gt;"",MAX(0,F156-E156),MAX(0,TODAY()-E156)))</f>
        <v/>
      </c>
      <c r="I156" s="21"/>
      <c r="J156" s="21"/>
      <c r="K156" s="1"/>
    </row>
    <row r="157" customFormat="false" ht="15" hidden="false" customHeight="false" outlineLevel="0" collapsed="false">
      <c r="A157" s="1"/>
      <c r="B157" s="1"/>
      <c r="C157" s="1"/>
      <c r="D157" s="25"/>
      <c r="E157" s="25"/>
      <c r="F157" s="25"/>
      <c r="G157" s="1"/>
      <c r="H157" s="31" t="str">
        <f aca="true">IF(E157="","",IF(F157&lt;&gt;"",MAX(0,F157-E157),MAX(0,TODAY()-E157)))</f>
        <v/>
      </c>
      <c r="I157" s="21"/>
      <c r="J157" s="21"/>
      <c r="K157" s="1"/>
    </row>
    <row r="158" customFormat="false" ht="15" hidden="false" customHeight="false" outlineLevel="0" collapsed="false">
      <c r="A158" s="1"/>
      <c r="B158" s="1"/>
      <c r="C158" s="1"/>
      <c r="D158" s="25"/>
      <c r="E158" s="25"/>
      <c r="F158" s="25"/>
      <c r="G158" s="1"/>
      <c r="H158" s="31" t="str">
        <f aca="true">IF(E158="","",IF(F158&lt;&gt;"",MAX(0,F158-E158),MAX(0,TODAY()-E158)))</f>
        <v/>
      </c>
      <c r="I158" s="21"/>
      <c r="J158" s="21"/>
      <c r="K158" s="1"/>
    </row>
    <row r="159" customFormat="false" ht="15" hidden="false" customHeight="false" outlineLevel="0" collapsed="false">
      <c r="A159" s="1"/>
      <c r="B159" s="1"/>
      <c r="C159" s="1"/>
      <c r="D159" s="25"/>
      <c r="E159" s="25"/>
      <c r="F159" s="25"/>
      <c r="G159" s="1"/>
      <c r="H159" s="31" t="str">
        <f aca="true">IF(E159="","",IF(F159&lt;&gt;"",MAX(0,F159-E159),MAX(0,TODAY()-E159)))</f>
        <v/>
      </c>
      <c r="I159" s="21"/>
      <c r="J159" s="21"/>
      <c r="K159" s="1"/>
    </row>
    <row r="160" customFormat="false" ht="15" hidden="false" customHeight="false" outlineLevel="0" collapsed="false">
      <c r="A160" s="1"/>
      <c r="B160" s="1"/>
      <c r="C160" s="1"/>
      <c r="D160" s="25"/>
      <c r="E160" s="25"/>
      <c r="F160" s="25"/>
      <c r="G160" s="1"/>
      <c r="H160" s="31" t="str">
        <f aca="true">IF(E160="","",IF(F160&lt;&gt;"",MAX(0,F160-E160),MAX(0,TODAY()-E160)))</f>
        <v/>
      </c>
      <c r="I160" s="21"/>
      <c r="J160" s="21"/>
      <c r="K160" s="1"/>
    </row>
    <row r="161" customFormat="false" ht="15" hidden="false" customHeight="false" outlineLevel="0" collapsed="false">
      <c r="A161" s="1"/>
      <c r="B161" s="1"/>
      <c r="C161" s="1"/>
      <c r="D161" s="25"/>
      <c r="E161" s="25"/>
      <c r="F161" s="25"/>
      <c r="G161" s="1"/>
      <c r="H161" s="31" t="str">
        <f aca="true">IF(E161="","",IF(F161&lt;&gt;"",MAX(0,F161-E161),MAX(0,TODAY()-E161)))</f>
        <v/>
      </c>
      <c r="I161" s="21"/>
      <c r="J161" s="21"/>
      <c r="K161" s="1"/>
    </row>
    <row r="162" customFormat="false" ht="15" hidden="false" customHeight="false" outlineLevel="0" collapsed="false">
      <c r="A162" s="1"/>
      <c r="B162" s="1"/>
      <c r="C162" s="1"/>
      <c r="D162" s="25"/>
      <c r="E162" s="25"/>
      <c r="F162" s="25"/>
      <c r="G162" s="1"/>
      <c r="H162" s="31" t="str">
        <f aca="true">IF(E162="","",IF(F162&lt;&gt;"",MAX(0,F162-E162),MAX(0,TODAY()-E162)))</f>
        <v/>
      </c>
      <c r="I162" s="21"/>
      <c r="J162" s="21"/>
      <c r="K162" s="1"/>
    </row>
    <row r="163" customFormat="false" ht="15" hidden="false" customHeight="false" outlineLevel="0" collapsed="false">
      <c r="A163" s="1"/>
      <c r="B163" s="1"/>
      <c r="C163" s="1"/>
      <c r="D163" s="25"/>
      <c r="E163" s="25"/>
      <c r="F163" s="25"/>
      <c r="G163" s="1"/>
      <c r="H163" s="31" t="str">
        <f aca="true">IF(E163="","",IF(F163&lt;&gt;"",MAX(0,F163-E163),MAX(0,TODAY()-E163)))</f>
        <v/>
      </c>
      <c r="I163" s="21"/>
      <c r="J163" s="21"/>
      <c r="K163" s="1"/>
    </row>
    <row r="164" customFormat="false" ht="15" hidden="false" customHeight="false" outlineLevel="0" collapsed="false">
      <c r="A164" s="1"/>
      <c r="B164" s="1"/>
      <c r="C164" s="1"/>
      <c r="D164" s="25"/>
      <c r="E164" s="25"/>
      <c r="F164" s="25"/>
      <c r="G164" s="1"/>
      <c r="H164" s="31" t="str">
        <f aca="true">IF(E164="","",IF(F164&lt;&gt;"",MAX(0,F164-E164),MAX(0,TODAY()-E164)))</f>
        <v/>
      </c>
      <c r="I164" s="21"/>
      <c r="J164" s="21"/>
      <c r="K164" s="1"/>
    </row>
    <row r="165" customFormat="false" ht="15" hidden="false" customHeight="false" outlineLevel="0" collapsed="false">
      <c r="A165" s="1"/>
      <c r="B165" s="1"/>
      <c r="C165" s="1"/>
      <c r="D165" s="25"/>
      <c r="E165" s="25"/>
      <c r="F165" s="25"/>
      <c r="G165" s="1"/>
      <c r="H165" s="31" t="str">
        <f aca="true">IF(E165="","",IF(F165&lt;&gt;"",MAX(0,F165-E165),MAX(0,TODAY()-E165)))</f>
        <v/>
      </c>
      <c r="I165" s="21"/>
      <c r="J165" s="21"/>
      <c r="K165" s="1"/>
    </row>
    <row r="166" customFormat="false" ht="15" hidden="false" customHeight="false" outlineLevel="0" collapsed="false">
      <c r="A166" s="1"/>
      <c r="B166" s="1"/>
      <c r="C166" s="1"/>
      <c r="D166" s="25"/>
      <c r="E166" s="25"/>
      <c r="F166" s="25"/>
      <c r="G166" s="1"/>
      <c r="H166" s="31" t="str">
        <f aca="true">IF(E166="","",IF(F166&lt;&gt;"",MAX(0,F166-E166),MAX(0,TODAY()-E166)))</f>
        <v/>
      </c>
      <c r="I166" s="21"/>
      <c r="J166" s="21"/>
      <c r="K166" s="1"/>
    </row>
    <row r="167" customFormat="false" ht="15" hidden="false" customHeight="false" outlineLevel="0" collapsed="false">
      <c r="A167" s="1"/>
      <c r="B167" s="1"/>
      <c r="C167" s="1"/>
      <c r="D167" s="25"/>
      <c r="E167" s="25"/>
      <c r="F167" s="25"/>
      <c r="G167" s="1"/>
      <c r="H167" s="31" t="str">
        <f aca="true">IF(E167="","",IF(F167&lt;&gt;"",MAX(0,F167-E167),MAX(0,TODAY()-E167)))</f>
        <v/>
      </c>
      <c r="I167" s="21"/>
      <c r="J167" s="21"/>
      <c r="K167" s="1"/>
    </row>
    <row r="168" customFormat="false" ht="15" hidden="false" customHeight="false" outlineLevel="0" collapsed="false">
      <c r="A168" s="1"/>
      <c r="B168" s="1"/>
      <c r="C168" s="1"/>
      <c r="D168" s="25"/>
      <c r="E168" s="25"/>
      <c r="F168" s="25"/>
      <c r="G168" s="1"/>
      <c r="H168" s="31" t="str">
        <f aca="true">IF(E168="","",IF(F168&lt;&gt;"",MAX(0,F168-E168),MAX(0,TODAY()-E168)))</f>
        <v/>
      </c>
      <c r="I168" s="21"/>
      <c r="J168" s="21"/>
      <c r="K168" s="1"/>
    </row>
    <row r="169" customFormat="false" ht="15" hidden="false" customHeight="false" outlineLevel="0" collapsed="false">
      <c r="A169" s="1"/>
      <c r="B169" s="1"/>
      <c r="C169" s="1"/>
      <c r="D169" s="25"/>
      <c r="E169" s="25"/>
      <c r="F169" s="25"/>
      <c r="G169" s="1"/>
      <c r="H169" s="31" t="str">
        <f aca="true">IF(E169="","",IF(F169&lt;&gt;"",MAX(0,F169-E169),MAX(0,TODAY()-E169)))</f>
        <v/>
      </c>
      <c r="I169" s="21"/>
      <c r="J169" s="21"/>
      <c r="K169" s="1"/>
    </row>
    <row r="170" customFormat="false" ht="15" hidden="false" customHeight="false" outlineLevel="0" collapsed="false">
      <c r="A170" s="1"/>
      <c r="B170" s="1"/>
      <c r="C170" s="1"/>
      <c r="D170" s="25"/>
      <c r="E170" s="25"/>
      <c r="F170" s="25"/>
      <c r="G170" s="1"/>
      <c r="H170" s="31" t="str">
        <f aca="true">IF(E170="","",IF(F170&lt;&gt;"",MAX(0,F170-E170),MAX(0,TODAY()-E170)))</f>
        <v/>
      </c>
      <c r="I170" s="21"/>
      <c r="J170" s="21"/>
      <c r="K170" s="1"/>
    </row>
    <row r="171" customFormat="false" ht="15" hidden="false" customHeight="false" outlineLevel="0" collapsed="false">
      <c r="A171" s="1"/>
      <c r="B171" s="1"/>
      <c r="C171" s="1"/>
      <c r="D171" s="25"/>
      <c r="E171" s="25"/>
      <c r="F171" s="25"/>
      <c r="G171" s="1"/>
      <c r="H171" s="31" t="str">
        <f aca="true">IF(E171="","",IF(F171&lt;&gt;"",MAX(0,F171-E171),MAX(0,TODAY()-E171)))</f>
        <v/>
      </c>
      <c r="I171" s="21"/>
      <c r="J171" s="21"/>
      <c r="K171" s="1"/>
    </row>
    <row r="172" customFormat="false" ht="15" hidden="false" customHeight="false" outlineLevel="0" collapsed="false">
      <c r="A172" s="1"/>
      <c r="B172" s="1"/>
      <c r="C172" s="1"/>
      <c r="D172" s="25"/>
      <c r="E172" s="25"/>
      <c r="F172" s="25"/>
      <c r="G172" s="1"/>
      <c r="H172" s="31" t="str">
        <f aca="true">IF(E172="","",IF(F172&lt;&gt;"",MAX(0,F172-E172),MAX(0,TODAY()-E172)))</f>
        <v/>
      </c>
      <c r="I172" s="21"/>
      <c r="J172" s="21"/>
      <c r="K172" s="1"/>
    </row>
    <row r="173" customFormat="false" ht="15" hidden="false" customHeight="false" outlineLevel="0" collapsed="false">
      <c r="A173" s="1"/>
      <c r="B173" s="1"/>
      <c r="C173" s="1"/>
      <c r="D173" s="25"/>
      <c r="E173" s="25"/>
      <c r="F173" s="25"/>
      <c r="G173" s="1"/>
      <c r="H173" s="31" t="str">
        <f aca="true">IF(E173="","",IF(F173&lt;&gt;"",MAX(0,F173-E173),MAX(0,TODAY()-E173)))</f>
        <v/>
      </c>
      <c r="I173" s="21"/>
      <c r="J173" s="21"/>
      <c r="K173" s="1"/>
    </row>
    <row r="174" customFormat="false" ht="15" hidden="false" customHeight="false" outlineLevel="0" collapsed="false">
      <c r="A174" s="1"/>
      <c r="B174" s="1"/>
      <c r="C174" s="1"/>
      <c r="D174" s="25"/>
      <c r="E174" s="25"/>
      <c r="F174" s="25"/>
      <c r="G174" s="1"/>
      <c r="H174" s="31" t="str">
        <f aca="true">IF(E174="","",IF(F174&lt;&gt;"",MAX(0,F174-E174),MAX(0,TODAY()-E174)))</f>
        <v/>
      </c>
      <c r="I174" s="21"/>
      <c r="J174" s="21"/>
      <c r="K174" s="1"/>
    </row>
    <row r="175" customFormat="false" ht="15" hidden="false" customHeight="false" outlineLevel="0" collapsed="false">
      <c r="A175" s="1"/>
      <c r="B175" s="1"/>
      <c r="C175" s="1"/>
      <c r="D175" s="25"/>
      <c r="E175" s="25"/>
      <c r="F175" s="25"/>
      <c r="G175" s="1"/>
      <c r="H175" s="31" t="str">
        <f aca="true">IF(E175="","",IF(F175&lt;&gt;"",MAX(0,F175-E175),MAX(0,TODAY()-E175)))</f>
        <v/>
      </c>
      <c r="I175" s="21"/>
      <c r="J175" s="21"/>
      <c r="K175" s="1"/>
    </row>
    <row r="176" customFormat="false" ht="15" hidden="false" customHeight="false" outlineLevel="0" collapsed="false">
      <c r="A176" s="1"/>
      <c r="B176" s="1"/>
      <c r="C176" s="1"/>
      <c r="D176" s="25"/>
      <c r="E176" s="25"/>
      <c r="F176" s="25"/>
      <c r="G176" s="1"/>
      <c r="H176" s="31" t="str">
        <f aca="true">IF(E176="","",IF(F176&lt;&gt;"",MAX(0,F176-E176),MAX(0,TODAY()-E176)))</f>
        <v/>
      </c>
      <c r="I176" s="21"/>
      <c r="J176" s="21"/>
      <c r="K176" s="1"/>
    </row>
    <row r="177" customFormat="false" ht="15" hidden="false" customHeight="false" outlineLevel="0" collapsed="false">
      <c r="A177" s="1"/>
      <c r="B177" s="1"/>
      <c r="C177" s="1"/>
      <c r="D177" s="25"/>
      <c r="E177" s="25"/>
      <c r="F177" s="25"/>
      <c r="G177" s="1"/>
      <c r="H177" s="31" t="str">
        <f aca="true">IF(E177="","",IF(F177&lt;&gt;"",MAX(0,F177-E177),MAX(0,TODAY()-E177)))</f>
        <v/>
      </c>
      <c r="I177" s="21"/>
      <c r="J177" s="21"/>
      <c r="K177" s="1"/>
    </row>
    <row r="178" customFormat="false" ht="15" hidden="false" customHeight="false" outlineLevel="0" collapsed="false">
      <c r="A178" s="1"/>
      <c r="B178" s="1"/>
      <c r="C178" s="1"/>
      <c r="D178" s="25"/>
      <c r="E178" s="25"/>
      <c r="F178" s="25"/>
      <c r="G178" s="1"/>
      <c r="H178" s="31" t="str">
        <f aca="true">IF(E178="","",IF(F178&lt;&gt;"",MAX(0,F178-E178),MAX(0,TODAY()-E178)))</f>
        <v/>
      </c>
      <c r="I178" s="21"/>
      <c r="J178" s="21"/>
      <c r="K178" s="1"/>
    </row>
    <row r="179" customFormat="false" ht="15" hidden="false" customHeight="false" outlineLevel="0" collapsed="false">
      <c r="A179" s="1"/>
      <c r="B179" s="1"/>
      <c r="C179" s="1"/>
      <c r="D179" s="25"/>
      <c r="E179" s="25"/>
      <c r="F179" s="25"/>
      <c r="G179" s="1"/>
      <c r="H179" s="31" t="str">
        <f aca="true">IF(E179="","",IF(F179&lt;&gt;"",MAX(0,F179-E179),MAX(0,TODAY()-E179)))</f>
        <v/>
      </c>
      <c r="I179" s="21"/>
      <c r="J179" s="21"/>
      <c r="K179" s="1"/>
    </row>
    <row r="180" customFormat="false" ht="15" hidden="false" customHeight="false" outlineLevel="0" collapsed="false">
      <c r="A180" s="1"/>
      <c r="B180" s="1"/>
      <c r="C180" s="1"/>
      <c r="D180" s="25"/>
      <c r="E180" s="25"/>
      <c r="F180" s="25"/>
      <c r="G180" s="1"/>
      <c r="H180" s="31" t="str">
        <f aca="true">IF(E180="","",IF(F180&lt;&gt;"",MAX(0,F180-E180),MAX(0,TODAY()-E180)))</f>
        <v/>
      </c>
      <c r="I180" s="21"/>
      <c r="J180" s="21"/>
      <c r="K180" s="1"/>
    </row>
    <row r="181" customFormat="false" ht="15" hidden="false" customHeight="false" outlineLevel="0" collapsed="false">
      <c r="A181" s="1"/>
      <c r="B181" s="1"/>
      <c r="C181" s="1"/>
      <c r="D181" s="25"/>
      <c r="E181" s="25"/>
      <c r="F181" s="25"/>
      <c r="G181" s="1"/>
      <c r="H181" s="31" t="str">
        <f aca="true">IF(E181="","",IF(F181&lt;&gt;"",MAX(0,F181-E181),MAX(0,TODAY()-E181)))</f>
        <v/>
      </c>
      <c r="I181" s="21"/>
      <c r="J181" s="21"/>
      <c r="K181" s="1"/>
    </row>
    <row r="182" customFormat="false" ht="15" hidden="false" customHeight="false" outlineLevel="0" collapsed="false">
      <c r="A182" s="1"/>
      <c r="B182" s="1"/>
      <c r="C182" s="1"/>
      <c r="D182" s="25"/>
      <c r="E182" s="25"/>
      <c r="F182" s="25"/>
      <c r="G182" s="1"/>
      <c r="H182" s="31" t="str">
        <f aca="true">IF(E182="","",IF(F182&lt;&gt;"",MAX(0,F182-E182),MAX(0,TODAY()-E182)))</f>
        <v/>
      </c>
      <c r="I182" s="21"/>
      <c r="J182" s="21"/>
      <c r="K182" s="1"/>
    </row>
    <row r="183" customFormat="false" ht="15" hidden="false" customHeight="false" outlineLevel="0" collapsed="false">
      <c r="A183" s="1"/>
      <c r="B183" s="1"/>
      <c r="C183" s="1"/>
      <c r="D183" s="25"/>
      <c r="E183" s="25"/>
      <c r="F183" s="25"/>
      <c r="G183" s="1"/>
      <c r="H183" s="31" t="str">
        <f aca="true">IF(E183="","",IF(F183&lt;&gt;"",MAX(0,F183-E183),MAX(0,TODAY()-E183)))</f>
        <v/>
      </c>
      <c r="I183" s="21"/>
      <c r="J183" s="21"/>
      <c r="K183" s="1"/>
    </row>
    <row r="184" customFormat="false" ht="15" hidden="false" customHeight="false" outlineLevel="0" collapsed="false">
      <c r="A184" s="1"/>
      <c r="B184" s="1"/>
      <c r="C184" s="1"/>
      <c r="D184" s="25"/>
      <c r="E184" s="25"/>
      <c r="F184" s="25"/>
      <c r="G184" s="1"/>
      <c r="H184" s="31" t="str">
        <f aca="true">IF(E184="","",IF(F184&lt;&gt;"",MAX(0,F184-E184),MAX(0,TODAY()-E184)))</f>
        <v/>
      </c>
      <c r="I184" s="21"/>
      <c r="J184" s="21"/>
      <c r="K184" s="1"/>
    </row>
    <row r="185" customFormat="false" ht="15" hidden="false" customHeight="false" outlineLevel="0" collapsed="false">
      <c r="A185" s="1"/>
      <c r="B185" s="1"/>
      <c r="C185" s="1"/>
      <c r="D185" s="25"/>
      <c r="E185" s="25"/>
      <c r="F185" s="25"/>
      <c r="G185" s="1"/>
      <c r="H185" s="31" t="str">
        <f aca="true">IF(E185="","",IF(F185&lt;&gt;"",MAX(0,F185-E185),MAX(0,TODAY()-E185)))</f>
        <v/>
      </c>
      <c r="I185" s="21"/>
      <c r="J185" s="21"/>
      <c r="K185" s="1"/>
    </row>
    <row r="186" customFormat="false" ht="15" hidden="false" customHeight="false" outlineLevel="0" collapsed="false">
      <c r="A186" s="1"/>
      <c r="B186" s="1"/>
      <c r="C186" s="1"/>
      <c r="D186" s="25"/>
      <c r="E186" s="25"/>
      <c r="F186" s="25"/>
      <c r="G186" s="1"/>
      <c r="H186" s="31" t="str">
        <f aca="true">IF(E186="","",IF(F186&lt;&gt;"",MAX(0,F186-E186),MAX(0,TODAY()-E186)))</f>
        <v/>
      </c>
      <c r="I186" s="21"/>
      <c r="J186" s="21"/>
      <c r="K186" s="1"/>
    </row>
    <row r="187" customFormat="false" ht="15" hidden="false" customHeight="false" outlineLevel="0" collapsed="false">
      <c r="A187" s="1"/>
      <c r="B187" s="1"/>
      <c r="C187" s="1"/>
      <c r="D187" s="25"/>
      <c r="E187" s="25"/>
      <c r="F187" s="25"/>
      <c r="G187" s="1"/>
      <c r="H187" s="31" t="str">
        <f aca="true">IF(E187="","",IF(F187&lt;&gt;"",MAX(0,F187-E187),MAX(0,TODAY()-E187)))</f>
        <v/>
      </c>
      <c r="I187" s="21"/>
      <c r="J187" s="21"/>
      <c r="K187" s="1"/>
    </row>
    <row r="188" customFormat="false" ht="15" hidden="false" customHeight="false" outlineLevel="0" collapsed="false">
      <c r="A188" s="1"/>
      <c r="B188" s="1"/>
      <c r="C188" s="1"/>
      <c r="D188" s="25"/>
      <c r="E188" s="25"/>
      <c r="F188" s="25"/>
      <c r="G188" s="1"/>
      <c r="H188" s="31" t="str">
        <f aca="true">IF(E188="","",IF(F188&lt;&gt;"",MAX(0,F188-E188),MAX(0,TODAY()-E188)))</f>
        <v/>
      </c>
      <c r="I188" s="21"/>
      <c r="J188" s="21"/>
      <c r="K188" s="1"/>
    </row>
    <row r="189" customFormat="false" ht="15" hidden="false" customHeight="false" outlineLevel="0" collapsed="false">
      <c r="A189" s="1"/>
      <c r="B189" s="1"/>
      <c r="C189" s="1"/>
      <c r="D189" s="25"/>
      <c r="E189" s="25"/>
      <c r="F189" s="25"/>
      <c r="G189" s="1"/>
      <c r="H189" s="31" t="str">
        <f aca="true">IF(E189="","",IF(F189&lt;&gt;"",MAX(0,F189-E189),MAX(0,TODAY()-E189)))</f>
        <v/>
      </c>
      <c r="I189" s="21"/>
      <c r="J189" s="21"/>
      <c r="K189" s="1"/>
    </row>
    <row r="190" customFormat="false" ht="15" hidden="false" customHeight="false" outlineLevel="0" collapsed="false">
      <c r="A190" s="1"/>
      <c r="B190" s="1"/>
      <c r="C190" s="1"/>
      <c r="D190" s="25"/>
      <c r="E190" s="25"/>
      <c r="F190" s="25"/>
      <c r="G190" s="1"/>
      <c r="H190" s="31" t="str">
        <f aca="true">IF(E190="","",IF(F190&lt;&gt;"",MAX(0,F190-E190),MAX(0,TODAY()-E190)))</f>
        <v/>
      </c>
      <c r="I190" s="21"/>
      <c r="J190" s="21"/>
      <c r="K190" s="1"/>
    </row>
    <row r="191" customFormat="false" ht="15" hidden="false" customHeight="false" outlineLevel="0" collapsed="false">
      <c r="A191" s="1"/>
      <c r="B191" s="1"/>
      <c r="C191" s="1"/>
      <c r="D191" s="25"/>
      <c r="E191" s="25"/>
      <c r="F191" s="25"/>
      <c r="G191" s="1"/>
      <c r="H191" s="31" t="str">
        <f aca="true">IF(E191="","",IF(F191&lt;&gt;"",MAX(0,F191-E191),MAX(0,TODAY()-E191)))</f>
        <v/>
      </c>
      <c r="I191" s="21"/>
      <c r="J191" s="21"/>
      <c r="K191" s="1"/>
    </row>
    <row r="192" customFormat="false" ht="15" hidden="false" customHeight="false" outlineLevel="0" collapsed="false">
      <c r="A192" s="1"/>
      <c r="B192" s="1"/>
      <c r="C192" s="1"/>
      <c r="D192" s="25"/>
      <c r="E192" s="25"/>
      <c r="F192" s="25"/>
      <c r="G192" s="1"/>
      <c r="H192" s="31" t="str">
        <f aca="true">IF(E192="","",IF(F192&lt;&gt;"",MAX(0,F192-E192),MAX(0,TODAY()-E192)))</f>
        <v/>
      </c>
      <c r="I192" s="21"/>
      <c r="J192" s="21"/>
      <c r="K192" s="1"/>
    </row>
    <row r="193" customFormat="false" ht="15" hidden="false" customHeight="false" outlineLevel="0" collapsed="false">
      <c r="A193" s="1"/>
      <c r="B193" s="1"/>
      <c r="C193" s="1"/>
      <c r="D193" s="25"/>
      <c r="E193" s="25"/>
      <c r="F193" s="25"/>
      <c r="G193" s="1"/>
      <c r="H193" s="31" t="str">
        <f aca="true">IF(E193="","",IF(F193&lt;&gt;"",MAX(0,F193-E193),MAX(0,TODAY()-E193)))</f>
        <v/>
      </c>
      <c r="I193" s="21"/>
      <c r="J193" s="21"/>
      <c r="K193" s="1"/>
    </row>
    <row r="194" customFormat="false" ht="15" hidden="false" customHeight="false" outlineLevel="0" collapsed="false">
      <c r="A194" s="1"/>
      <c r="B194" s="1"/>
      <c r="C194" s="1"/>
      <c r="D194" s="25"/>
      <c r="E194" s="25"/>
      <c r="F194" s="25"/>
      <c r="G194" s="1"/>
      <c r="H194" s="31" t="str">
        <f aca="true">IF(E194="","",IF(F194&lt;&gt;"",MAX(0,F194-E194),MAX(0,TODAY()-E194)))</f>
        <v/>
      </c>
      <c r="I194" s="21"/>
      <c r="J194" s="21"/>
      <c r="K194" s="1"/>
    </row>
    <row r="195" customFormat="false" ht="15" hidden="false" customHeight="false" outlineLevel="0" collapsed="false">
      <c r="A195" s="1"/>
      <c r="B195" s="1"/>
      <c r="C195" s="1"/>
      <c r="D195" s="25"/>
      <c r="E195" s="25"/>
      <c r="F195" s="25"/>
      <c r="G195" s="1"/>
      <c r="H195" s="31" t="str">
        <f aca="true">IF(E195="","",IF(F195&lt;&gt;"",MAX(0,F195-E195),MAX(0,TODAY()-E195)))</f>
        <v/>
      </c>
      <c r="I195" s="21"/>
      <c r="J195" s="21"/>
      <c r="K195" s="1"/>
    </row>
    <row r="196" customFormat="false" ht="15" hidden="false" customHeight="false" outlineLevel="0" collapsed="false">
      <c r="A196" s="1"/>
      <c r="B196" s="1"/>
      <c r="C196" s="1"/>
      <c r="D196" s="25"/>
      <c r="E196" s="25"/>
      <c r="F196" s="25"/>
      <c r="G196" s="1"/>
      <c r="H196" s="31" t="str">
        <f aca="true">IF(E196="","",IF(F196&lt;&gt;"",MAX(0,F196-E196),MAX(0,TODAY()-E196)))</f>
        <v/>
      </c>
      <c r="I196" s="21"/>
      <c r="J196" s="21"/>
      <c r="K196" s="1"/>
    </row>
    <row r="197" customFormat="false" ht="15" hidden="false" customHeight="false" outlineLevel="0" collapsed="false">
      <c r="A197" s="1"/>
      <c r="B197" s="1"/>
      <c r="C197" s="1"/>
      <c r="D197" s="25"/>
      <c r="E197" s="25"/>
      <c r="F197" s="25"/>
      <c r="G197" s="1"/>
      <c r="H197" s="31" t="str">
        <f aca="true">IF(E197="","",IF(F197&lt;&gt;"",MAX(0,F197-E197),MAX(0,TODAY()-E197)))</f>
        <v/>
      </c>
      <c r="I197" s="21"/>
      <c r="J197" s="21"/>
      <c r="K197" s="1"/>
    </row>
    <row r="198" customFormat="false" ht="15" hidden="false" customHeight="false" outlineLevel="0" collapsed="false">
      <c r="A198" s="1"/>
      <c r="B198" s="1"/>
      <c r="C198" s="1"/>
      <c r="D198" s="25"/>
      <c r="E198" s="25"/>
      <c r="F198" s="25"/>
      <c r="G198" s="1"/>
      <c r="H198" s="31" t="str">
        <f aca="true">IF(E198="","",IF(F198&lt;&gt;"",MAX(0,F198-E198),MAX(0,TODAY()-E198)))</f>
        <v/>
      </c>
      <c r="I198" s="21"/>
      <c r="J198" s="21"/>
      <c r="K198" s="1"/>
    </row>
    <row r="199" customFormat="false" ht="15" hidden="false" customHeight="false" outlineLevel="0" collapsed="false">
      <c r="A199" s="1"/>
      <c r="B199" s="1"/>
      <c r="C199" s="1"/>
      <c r="D199" s="25"/>
      <c r="E199" s="25"/>
      <c r="F199" s="25"/>
      <c r="G199" s="1"/>
      <c r="H199" s="31" t="str">
        <f aca="true">IF(E199="","",IF(F199&lt;&gt;"",MAX(0,F199-E199),MAX(0,TODAY()-E199)))</f>
        <v/>
      </c>
      <c r="I199" s="21"/>
      <c r="J199" s="21"/>
      <c r="K199" s="1"/>
    </row>
    <row r="200" customFormat="false" ht="15" hidden="false" customHeight="false" outlineLevel="0" collapsed="false">
      <c r="A200" s="1"/>
      <c r="B200" s="1"/>
      <c r="C200" s="1"/>
      <c r="D200" s="25"/>
      <c r="E200" s="25"/>
      <c r="F200" s="25"/>
      <c r="G200" s="1"/>
      <c r="H200" s="31" t="str">
        <f aca="true">IF(E200="","",IF(F200&lt;&gt;"",MAX(0,F200-E200),MAX(0,TODAY()-E200)))</f>
        <v/>
      </c>
      <c r="I200" s="21"/>
      <c r="J200" s="21"/>
      <c r="K200" s="1"/>
    </row>
    <row r="201" customFormat="false" ht="15" hidden="false" customHeight="false" outlineLevel="0" collapsed="false">
      <c r="A201" s="1"/>
      <c r="B201" s="1"/>
      <c r="C201" s="1"/>
      <c r="D201" s="25"/>
      <c r="E201" s="25"/>
      <c r="F201" s="25"/>
      <c r="G201" s="1"/>
      <c r="H201" s="31" t="str">
        <f aca="true">IF(E201="","",IF(F201&lt;&gt;"",MAX(0,F201-E201),MAX(0,TODAY()-E201)))</f>
        <v/>
      </c>
      <c r="I201" s="21"/>
      <c r="J201" s="21"/>
      <c r="K201" s="1"/>
    </row>
    <row r="202" customFormat="false" ht="15" hidden="false" customHeight="false" outlineLevel="0" collapsed="false">
      <c r="A202" s="1"/>
      <c r="B202" s="1"/>
      <c r="C202" s="1"/>
      <c r="D202" s="25"/>
      <c r="E202" s="25"/>
      <c r="F202" s="25"/>
      <c r="G202" s="1"/>
      <c r="H202" s="31" t="str">
        <f aca="true">IF(E202="","",IF(F202&lt;&gt;"",MAX(0,F202-E202),MAX(0,TODAY()-E202)))</f>
        <v/>
      </c>
      <c r="I202" s="21"/>
      <c r="J202" s="21"/>
      <c r="K202" s="1"/>
    </row>
    <row r="203" customFormat="false" ht="15" hidden="false" customHeight="false" outlineLevel="0" collapsed="false">
      <c r="A203" s="1"/>
      <c r="B203" s="1"/>
      <c r="C203" s="1"/>
      <c r="D203" s="25"/>
      <c r="E203" s="25"/>
      <c r="F203" s="25"/>
      <c r="G203" s="1"/>
      <c r="H203" s="31" t="str">
        <f aca="true">IF(E203="","",IF(F203&lt;&gt;"",MAX(0,F203-E203),MAX(0,TODAY()-E203)))</f>
        <v/>
      </c>
      <c r="I203" s="21"/>
      <c r="J203" s="21"/>
      <c r="K203" s="1"/>
    </row>
    <row r="204" customFormat="false" ht="15" hidden="false" customHeight="false" outlineLevel="0" collapsed="false">
      <c r="A204" s="1"/>
      <c r="B204" s="1"/>
      <c r="C204" s="1"/>
      <c r="D204" s="25"/>
      <c r="E204" s="25"/>
      <c r="F204" s="25"/>
      <c r="G204" s="1"/>
      <c r="H204" s="31" t="str">
        <f aca="true">IF(E204="","",IF(F204&lt;&gt;"",MAX(0,F204-E204),MAX(0,TODAY()-E204)))</f>
        <v/>
      </c>
      <c r="I204" s="21"/>
      <c r="J204" s="21"/>
      <c r="K204" s="1"/>
    </row>
    <row r="205" customFormat="false" ht="15" hidden="false" customHeight="false" outlineLevel="0" collapsed="false">
      <c r="A205" s="1"/>
      <c r="B205" s="1"/>
      <c r="C205" s="1"/>
      <c r="D205" s="25"/>
      <c r="E205" s="25"/>
      <c r="F205" s="25"/>
      <c r="G205" s="1"/>
      <c r="H205" s="31" t="str">
        <f aca="true">IF(E205="","",IF(F205&lt;&gt;"",MAX(0,F205-E205),MAX(0,TODAY()-E205)))</f>
        <v/>
      </c>
      <c r="I205" s="21"/>
      <c r="J205" s="21"/>
      <c r="K205" s="1"/>
    </row>
    <row r="206" customFormat="false" ht="15" hidden="false" customHeight="false" outlineLevel="0" collapsed="false">
      <c r="A206" s="1"/>
      <c r="B206" s="1"/>
      <c r="C206" s="1"/>
      <c r="D206" s="25"/>
      <c r="E206" s="25"/>
      <c r="F206" s="25"/>
      <c r="G206" s="1"/>
      <c r="H206" s="31" t="str">
        <f aca="true">IF(E206="","",IF(F206&lt;&gt;"",MAX(0,F206-E206),MAX(0,TODAY()-E206)))</f>
        <v/>
      </c>
      <c r="I206" s="21"/>
      <c r="J206" s="21"/>
      <c r="K206" s="1"/>
    </row>
    <row r="207" customFormat="false" ht="15" hidden="false" customHeight="false" outlineLevel="0" collapsed="false">
      <c r="A207" s="1"/>
      <c r="B207" s="1"/>
      <c r="C207" s="1"/>
      <c r="D207" s="25"/>
      <c r="E207" s="25"/>
      <c r="F207" s="25"/>
      <c r="G207" s="1"/>
      <c r="H207" s="31" t="str">
        <f aca="true">IF(E207="","",IF(F207&lt;&gt;"",MAX(0,F207-E207),MAX(0,TODAY()-E207)))</f>
        <v/>
      </c>
      <c r="I207" s="21"/>
      <c r="J207" s="21"/>
      <c r="K207" s="1"/>
    </row>
    <row r="208" customFormat="false" ht="15" hidden="false" customHeight="false" outlineLevel="0" collapsed="false">
      <c r="A208" s="1"/>
      <c r="B208" s="1"/>
      <c r="C208" s="1"/>
      <c r="D208" s="25"/>
      <c r="E208" s="25"/>
      <c r="F208" s="25"/>
      <c r="G208" s="1"/>
      <c r="H208" s="31" t="str">
        <f aca="true">IF(E208="","",IF(F208&lt;&gt;"",MAX(0,F208-E208),MAX(0,TODAY()-E208)))</f>
        <v/>
      </c>
      <c r="I208" s="21"/>
      <c r="J208" s="21"/>
      <c r="K208" s="1"/>
    </row>
    <row r="209" customFormat="false" ht="15" hidden="false" customHeight="false" outlineLevel="0" collapsed="false">
      <c r="A209" s="1"/>
      <c r="B209" s="1"/>
      <c r="C209" s="1"/>
      <c r="D209" s="25"/>
      <c r="E209" s="25"/>
      <c r="F209" s="25"/>
      <c r="G209" s="1"/>
      <c r="H209" s="31" t="str">
        <f aca="true">IF(E209="","",IF(F209&lt;&gt;"",MAX(0,F209-E209),MAX(0,TODAY()-E209)))</f>
        <v/>
      </c>
      <c r="I209" s="21"/>
      <c r="J209" s="21"/>
      <c r="K209" s="1"/>
    </row>
    <row r="210" customFormat="false" ht="15" hidden="false" customHeight="false" outlineLevel="0" collapsed="false">
      <c r="A210" s="1"/>
      <c r="B210" s="1"/>
      <c r="C210" s="1"/>
      <c r="D210" s="25"/>
      <c r="E210" s="25"/>
      <c r="F210" s="25"/>
      <c r="G210" s="1"/>
      <c r="H210" s="31" t="str">
        <f aca="true">IF(E210="","",IF(F210&lt;&gt;"",MAX(0,F210-E210),MAX(0,TODAY()-E210)))</f>
        <v/>
      </c>
      <c r="I210" s="21"/>
      <c r="J210" s="21"/>
      <c r="K210" s="1"/>
    </row>
    <row r="211" customFormat="false" ht="15" hidden="false" customHeight="false" outlineLevel="0" collapsed="false">
      <c r="A211" s="1"/>
      <c r="B211" s="1"/>
      <c r="C211" s="1"/>
      <c r="D211" s="25"/>
      <c r="E211" s="25"/>
      <c r="F211" s="25"/>
      <c r="G211" s="1"/>
      <c r="H211" s="31" t="str">
        <f aca="true">IF(E211="","",IF(F211&lt;&gt;"",MAX(0,F211-E211),MAX(0,TODAY()-E211)))</f>
        <v/>
      </c>
      <c r="I211" s="21"/>
      <c r="J211" s="21"/>
      <c r="K211" s="1"/>
    </row>
    <row r="212" customFormat="false" ht="15" hidden="false" customHeight="false" outlineLevel="0" collapsed="false">
      <c r="A212" s="1"/>
      <c r="B212" s="1"/>
      <c r="C212" s="1"/>
      <c r="D212" s="25"/>
      <c r="E212" s="25"/>
      <c r="F212" s="25"/>
      <c r="G212" s="1"/>
      <c r="H212" s="31" t="str">
        <f aca="true">IF(E212="","",IF(F212&lt;&gt;"",MAX(0,F212-E212),MAX(0,TODAY()-E212)))</f>
        <v/>
      </c>
      <c r="I212" s="21"/>
      <c r="J212" s="21"/>
      <c r="K212" s="1"/>
    </row>
    <row r="213" customFormat="false" ht="15" hidden="false" customHeight="false" outlineLevel="0" collapsed="false">
      <c r="A213" s="1"/>
      <c r="B213" s="1"/>
      <c r="C213" s="1"/>
      <c r="D213" s="25"/>
      <c r="E213" s="25"/>
      <c r="F213" s="25"/>
      <c r="G213" s="1"/>
      <c r="H213" s="31" t="str">
        <f aca="true">IF(E213="","",IF(F213&lt;&gt;"",MAX(0,F213-E213),MAX(0,TODAY()-E213)))</f>
        <v/>
      </c>
      <c r="I213" s="21"/>
      <c r="J213" s="21"/>
      <c r="K213" s="1"/>
    </row>
    <row r="214" customFormat="false" ht="15" hidden="false" customHeight="false" outlineLevel="0" collapsed="false">
      <c r="A214" s="1"/>
      <c r="B214" s="1"/>
      <c r="C214" s="1"/>
      <c r="D214" s="25"/>
      <c r="E214" s="25"/>
      <c r="F214" s="25"/>
      <c r="G214" s="1"/>
      <c r="H214" s="31" t="str">
        <f aca="true">IF(E214="","",IF(F214&lt;&gt;"",MAX(0,F214-E214),MAX(0,TODAY()-E214)))</f>
        <v/>
      </c>
      <c r="I214" s="21"/>
      <c r="J214" s="21"/>
      <c r="K214" s="1"/>
    </row>
    <row r="215" customFormat="false" ht="15" hidden="false" customHeight="false" outlineLevel="0" collapsed="false">
      <c r="A215" s="1"/>
      <c r="B215" s="1"/>
      <c r="C215" s="1"/>
      <c r="D215" s="25"/>
      <c r="E215" s="25"/>
      <c r="F215" s="25"/>
      <c r="G215" s="1"/>
      <c r="H215" s="31" t="str">
        <f aca="true">IF(E215="","",IF(F215&lt;&gt;"",MAX(0,F215-E215),MAX(0,TODAY()-E215)))</f>
        <v/>
      </c>
      <c r="I215" s="21"/>
      <c r="J215" s="21"/>
      <c r="K215" s="1"/>
    </row>
    <row r="216" customFormat="false" ht="15" hidden="false" customHeight="false" outlineLevel="0" collapsed="false">
      <c r="A216" s="1"/>
      <c r="B216" s="1"/>
      <c r="C216" s="1"/>
      <c r="D216" s="25"/>
      <c r="E216" s="25"/>
      <c r="F216" s="25"/>
      <c r="G216" s="1"/>
      <c r="H216" s="31" t="str">
        <f aca="true">IF(E216="","",IF(F216&lt;&gt;"",MAX(0,F216-E216),MAX(0,TODAY()-E216)))</f>
        <v/>
      </c>
      <c r="I216" s="21"/>
      <c r="J216" s="21"/>
      <c r="K216" s="1"/>
    </row>
    <row r="217" customFormat="false" ht="15" hidden="false" customHeight="false" outlineLevel="0" collapsed="false">
      <c r="A217" s="1"/>
      <c r="B217" s="1"/>
      <c r="C217" s="1"/>
      <c r="D217" s="25"/>
      <c r="E217" s="25"/>
      <c r="F217" s="25"/>
      <c r="G217" s="1"/>
      <c r="H217" s="31" t="str">
        <f aca="true">IF(E217="","",IF(F217&lt;&gt;"",MAX(0,F217-E217),MAX(0,TODAY()-E217)))</f>
        <v/>
      </c>
      <c r="I217" s="21"/>
      <c r="J217" s="21"/>
      <c r="K217" s="1"/>
    </row>
    <row r="218" customFormat="false" ht="15" hidden="false" customHeight="false" outlineLevel="0" collapsed="false">
      <c r="A218" s="1"/>
      <c r="B218" s="1"/>
      <c r="C218" s="1"/>
      <c r="D218" s="25"/>
      <c r="E218" s="25"/>
      <c r="F218" s="25"/>
      <c r="G218" s="1"/>
      <c r="H218" s="31" t="str">
        <f aca="true">IF(E218="","",IF(F218&lt;&gt;"",MAX(0,F218-E218),MAX(0,TODAY()-E218)))</f>
        <v/>
      </c>
      <c r="I218" s="21"/>
      <c r="J218" s="21"/>
      <c r="K218" s="1"/>
    </row>
    <row r="219" customFormat="false" ht="15" hidden="false" customHeight="false" outlineLevel="0" collapsed="false">
      <c r="A219" s="1"/>
      <c r="B219" s="1"/>
      <c r="C219" s="1"/>
      <c r="D219" s="25"/>
      <c r="E219" s="25"/>
      <c r="F219" s="25"/>
      <c r="G219" s="1"/>
      <c r="H219" s="31" t="str">
        <f aca="true">IF(E219="","",IF(F219&lt;&gt;"",MAX(0,F219-E219),MAX(0,TODAY()-E219)))</f>
        <v/>
      </c>
      <c r="I219" s="21"/>
      <c r="J219" s="21"/>
      <c r="K219" s="1"/>
    </row>
    <row r="220" customFormat="false" ht="15" hidden="false" customHeight="false" outlineLevel="0" collapsed="false">
      <c r="A220" s="1"/>
      <c r="B220" s="1"/>
      <c r="C220" s="1"/>
      <c r="D220" s="25"/>
      <c r="E220" s="25"/>
      <c r="F220" s="25"/>
      <c r="G220" s="1"/>
      <c r="H220" s="31" t="str">
        <f aca="true">IF(E220="","",IF(F220&lt;&gt;"",MAX(0,F220-E220),MAX(0,TODAY()-E220)))</f>
        <v/>
      </c>
      <c r="I220" s="21"/>
      <c r="J220" s="21"/>
      <c r="K220" s="1"/>
    </row>
    <row r="221" customFormat="false" ht="15" hidden="false" customHeight="false" outlineLevel="0" collapsed="false">
      <c r="A221" s="1"/>
      <c r="B221" s="1"/>
      <c r="C221" s="1"/>
      <c r="D221" s="25"/>
      <c r="E221" s="25"/>
      <c r="F221" s="25"/>
      <c r="G221" s="1"/>
      <c r="H221" s="31" t="str">
        <f aca="true">IF(E221="","",IF(F221&lt;&gt;"",MAX(0,F221-E221),MAX(0,TODAY()-E221)))</f>
        <v/>
      </c>
      <c r="I221" s="21"/>
      <c r="J221" s="21"/>
      <c r="K221" s="1"/>
    </row>
    <row r="222" customFormat="false" ht="15" hidden="false" customHeight="false" outlineLevel="0" collapsed="false">
      <c r="A222" s="1"/>
      <c r="B222" s="1"/>
      <c r="C222" s="1"/>
      <c r="D222" s="25"/>
      <c r="E222" s="25"/>
      <c r="F222" s="25"/>
      <c r="G222" s="1"/>
      <c r="H222" s="31" t="str">
        <f aca="true">IF(E222="","",IF(F222&lt;&gt;"",MAX(0,F222-E222),MAX(0,TODAY()-E222)))</f>
        <v/>
      </c>
      <c r="I222" s="21"/>
      <c r="J222" s="21"/>
      <c r="K222" s="1"/>
    </row>
    <row r="223" customFormat="false" ht="15" hidden="false" customHeight="false" outlineLevel="0" collapsed="false">
      <c r="A223" s="1"/>
      <c r="B223" s="1"/>
      <c r="C223" s="1"/>
      <c r="D223" s="25"/>
      <c r="E223" s="25"/>
      <c r="F223" s="25"/>
      <c r="G223" s="1"/>
      <c r="H223" s="31" t="str">
        <f aca="true">IF(E223="","",IF(F223&lt;&gt;"",MAX(0,F223-E223),MAX(0,TODAY()-E223)))</f>
        <v/>
      </c>
      <c r="I223" s="21"/>
      <c r="J223" s="21"/>
      <c r="K223" s="1"/>
    </row>
    <row r="224" customFormat="false" ht="15" hidden="false" customHeight="false" outlineLevel="0" collapsed="false">
      <c r="A224" s="1"/>
      <c r="B224" s="1"/>
      <c r="C224" s="1"/>
      <c r="D224" s="25"/>
      <c r="E224" s="25"/>
      <c r="F224" s="25"/>
      <c r="G224" s="1"/>
      <c r="H224" s="31" t="str">
        <f aca="true">IF(E224="","",IF(F224&lt;&gt;"",MAX(0,F224-E224),MAX(0,TODAY()-E224)))</f>
        <v/>
      </c>
      <c r="I224" s="21"/>
      <c r="J224" s="21"/>
      <c r="K224" s="1"/>
    </row>
    <row r="225" customFormat="false" ht="15" hidden="false" customHeight="false" outlineLevel="0" collapsed="false">
      <c r="A225" s="1"/>
      <c r="B225" s="1"/>
      <c r="C225" s="1"/>
      <c r="D225" s="25"/>
      <c r="E225" s="25"/>
      <c r="F225" s="25"/>
      <c r="G225" s="1"/>
      <c r="H225" s="31" t="str">
        <f aca="true">IF(E225="","",IF(F225&lt;&gt;"",MAX(0,F225-E225),MAX(0,TODAY()-E225)))</f>
        <v/>
      </c>
      <c r="I225" s="21"/>
      <c r="J225" s="21"/>
      <c r="K225" s="1"/>
    </row>
    <row r="226" customFormat="false" ht="15" hidden="false" customHeight="false" outlineLevel="0" collapsed="false">
      <c r="A226" s="1"/>
      <c r="B226" s="1"/>
      <c r="C226" s="1"/>
      <c r="D226" s="25"/>
      <c r="E226" s="25"/>
      <c r="F226" s="25"/>
      <c r="G226" s="1"/>
      <c r="H226" s="31" t="str">
        <f aca="true">IF(E226="","",IF(F226&lt;&gt;"",MAX(0,F226-E226),MAX(0,TODAY()-E226)))</f>
        <v/>
      </c>
      <c r="I226" s="21"/>
      <c r="J226" s="21"/>
      <c r="K226" s="1"/>
    </row>
    <row r="227" customFormat="false" ht="15" hidden="false" customHeight="false" outlineLevel="0" collapsed="false">
      <c r="A227" s="1"/>
      <c r="B227" s="1"/>
      <c r="C227" s="1"/>
      <c r="D227" s="25"/>
      <c r="E227" s="25"/>
      <c r="F227" s="25"/>
      <c r="G227" s="1"/>
      <c r="H227" s="31" t="str">
        <f aca="true">IF(E227="","",IF(F227&lt;&gt;"",MAX(0,F227-E227),MAX(0,TODAY()-E227)))</f>
        <v/>
      </c>
      <c r="I227" s="21"/>
      <c r="J227" s="21"/>
      <c r="K227" s="1"/>
    </row>
    <row r="228" customFormat="false" ht="15" hidden="false" customHeight="false" outlineLevel="0" collapsed="false">
      <c r="A228" s="1"/>
      <c r="B228" s="1"/>
      <c r="C228" s="1"/>
      <c r="D228" s="25"/>
      <c r="E228" s="25"/>
      <c r="F228" s="25"/>
      <c r="G228" s="1"/>
      <c r="H228" s="31" t="str">
        <f aca="true">IF(E228="","",IF(F228&lt;&gt;"",MAX(0,F228-E228),MAX(0,TODAY()-E228)))</f>
        <v/>
      </c>
      <c r="I228" s="21"/>
      <c r="J228" s="21"/>
      <c r="K228" s="1"/>
    </row>
    <row r="229" customFormat="false" ht="15" hidden="false" customHeight="false" outlineLevel="0" collapsed="false">
      <c r="A229" s="1"/>
      <c r="B229" s="1"/>
      <c r="C229" s="1"/>
      <c r="D229" s="25"/>
      <c r="E229" s="25"/>
      <c r="F229" s="25"/>
      <c r="G229" s="1"/>
      <c r="H229" s="31" t="str">
        <f aca="true">IF(E229="","",IF(F229&lt;&gt;"",MAX(0,F229-E229),MAX(0,TODAY()-E229)))</f>
        <v/>
      </c>
      <c r="I229" s="21"/>
      <c r="J229" s="21"/>
      <c r="K229" s="1"/>
    </row>
    <row r="230" customFormat="false" ht="15" hidden="false" customHeight="false" outlineLevel="0" collapsed="false">
      <c r="A230" s="1"/>
      <c r="B230" s="1"/>
      <c r="C230" s="1"/>
      <c r="D230" s="25"/>
      <c r="E230" s="25"/>
      <c r="F230" s="25"/>
      <c r="G230" s="1"/>
      <c r="H230" s="31" t="str">
        <f aca="true">IF(E230="","",IF(F230&lt;&gt;"",MAX(0,F230-E230),MAX(0,TODAY()-E230)))</f>
        <v/>
      </c>
      <c r="I230" s="21"/>
      <c r="J230" s="21"/>
      <c r="K230" s="1"/>
    </row>
    <row r="231" customFormat="false" ht="15" hidden="false" customHeight="false" outlineLevel="0" collapsed="false">
      <c r="A231" s="1"/>
      <c r="B231" s="1"/>
      <c r="C231" s="1"/>
      <c r="D231" s="25"/>
      <c r="E231" s="25"/>
      <c r="F231" s="25"/>
      <c r="G231" s="1"/>
      <c r="H231" s="31" t="str">
        <f aca="true">IF(E231="","",IF(F231&lt;&gt;"",MAX(0,F231-E231),MAX(0,TODAY()-E231)))</f>
        <v/>
      </c>
      <c r="I231" s="21"/>
      <c r="J231" s="21"/>
      <c r="K231" s="1"/>
    </row>
    <row r="232" customFormat="false" ht="15" hidden="false" customHeight="false" outlineLevel="0" collapsed="false">
      <c r="A232" s="1"/>
      <c r="B232" s="1"/>
      <c r="C232" s="1"/>
      <c r="D232" s="25"/>
      <c r="E232" s="25"/>
      <c r="F232" s="25"/>
      <c r="G232" s="1"/>
      <c r="H232" s="31" t="str">
        <f aca="true">IF(E232="","",IF(F232&lt;&gt;"",MAX(0,F232-E232),MAX(0,TODAY()-E232)))</f>
        <v/>
      </c>
      <c r="I232" s="21"/>
      <c r="J232" s="21"/>
      <c r="K232" s="1"/>
    </row>
    <row r="233" customFormat="false" ht="15" hidden="false" customHeight="false" outlineLevel="0" collapsed="false">
      <c r="A233" s="1"/>
      <c r="B233" s="1"/>
      <c r="C233" s="1"/>
      <c r="D233" s="25"/>
      <c r="E233" s="25"/>
      <c r="F233" s="25"/>
      <c r="G233" s="1"/>
      <c r="H233" s="31" t="str">
        <f aca="true">IF(E233="","",IF(F233&lt;&gt;"",MAX(0,F233-E233),MAX(0,TODAY()-E233)))</f>
        <v/>
      </c>
      <c r="I233" s="21"/>
      <c r="J233" s="21"/>
      <c r="K233" s="1"/>
    </row>
    <row r="234" customFormat="false" ht="15" hidden="false" customHeight="false" outlineLevel="0" collapsed="false">
      <c r="A234" s="1"/>
      <c r="B234" s="1"/>
      <c r="C234" s="1"/>
      <c r="D234" s="25"/>
      <c r="E234" s="25"/>
      <c r="F234" s="25"/>
      <c r="G234" s="1"/>
      <c r="H234" s="31" t="str">
        <f aca="true">IF(E234="","",IF(F234&lt;&gt;"",MAX(0,F234-E234),MAX(0,TODAY()-E234)))</f>
        <v/>
      </c>
      <c r="I234" s="21"/>
      <c r="J234" s="21"/>
      <c r="K234" s="1"/>
    </row>
    <row r="235" customFormat="false" ht="15" hidden="false" customHeight="false" outlineLevel="0" collapsed="false">
      <c r="A235" s="1"/>
      <c r="B235" s="1"/>
      <c r="C235" s="1"/>
      <c r="D235" s="25"/>
      <c r="E235" s="25"/>
      <c r="F235" s="25"/>
      <c r="G235" s="1"/>
      <c r="H235" s="31" t="str">
        <f aca="true">IF(E235="","",IF(F235&lt;&gt;"",MAX(0,F235-E235),MAX(0,TODAY()-E235)))</f>
        <v/>
      </c>
      <c r="I235" s="21"/>
      <c r="J235" s="21"/>
      <c r="K235" s="1"/>
    </row>
    <row r="236" customFormat="false" ht="15" hidden="false" customHeight="false" outlineLevel="0" collapsed="false">
      <c r="A236" s="1"/>
      <c r="B236" s="1"/>
      <c r="C236" s="1"/>
      <c r="D236" s="25"/>
      <c r="E236" s="25"/>
      <c r="F236" s="25"/>
      <c r="G236" s="1"/>
      <c r="H236" s="31" t="str">
        <f aca="true">IF(E236="","",IF(F236&lt;&gt;"",MAX(0,F236-E236),MAX(0,TODAY()-E236)))</f>
        <v/>
      </c>
      <c r="I236" s="21"/>
      <c r="J236" s="21"/>
      <c r="K236" s="1"/>
    </row>
    <row r="237" customFormat="false" ht="15" hidden="false" customHeight="false" outlineLevel="0" collapsed="false">
      <c r="A237" s="1"/>
      <c r="B237" s="1"/>
      <c r="C237" s="1"/>
      <c r="D237" s="25"/>
      <c r="E237" s="25"/>
      <c r="F237" s="25"/>
      <c r="G237" s="1"/>
      <c r="H237" s="31" t="str">
        <f aca="true">IF(E237="","",IF(F237&lt;&gt;"",MAX(0,F237-E237),MAX(0,TODAY()-E237)))</f>
        <v/>
      </c>
      <c r="I237" s="21"/>
      <c r="J237" s="21"/>
      <c r="K237" s="1"/>
    </row>
    <row r="238" customFormat="false" ht="15" hidden="false" customHeight="false" outlineLevel="0" collapsed="false">
      <c r="A238" s="1"/>
      <c r="B238" s="1"/>
      <c r="C238" s="1"/>
      <c r="D238" s="25"/>
      <c r="E238" s="25"/>
      <c r="F238" s="25"/>
      <c r="G238" s="1"/>
      <c r="H238" s="31" t="str">
        <f aca="true">IF(E238="","",IF(F238&lt;&gt;"",MAX(0,F238-E238),MAX(0,TODAY()-E238)))</f>
        <v/>
      </c>
      <c r="I238" s="21"/>
      <c r="J238" s="21"/>
      <c r="K238" s="1"/>
    </row>
    <row r="239" customFormat="false" ht="15" hidden="false" customHeight="false" outlineLevel="0" collapsed="false">
      <c r="A239" s="1"/>
      <c r="B239" s="1"/>
      <c r="C239" s="1"/>
      <c r="D239" s="25"/>
      <c r="E239" s="25"/>
      <c r="F239" s="25"/>
      <c r="G239" s="1"/>
      <c r="H239" s="31" t="str">
        <f aca="true">IF(E239="","",IF(F239&lt;&gt;"",MAX(0,F239-E239),MAX(0,TODAY()-E239)))</f>
        <v/>
      </c>
      <c r="I239" s="21"/>
      <c r="J239" s="21"/>
      <c r="K239" s="1"/>
    </row>
    <row r="240" customFormat="false" ht="15" hidden="false" customHeight="false" outlineLevel="0" collapsed="false">
      <c r="A240" s="1"/>
      <c r="B240" s="1"/>
      <c r="C240" s="1"/>
      <c r="D240" s="25"/>
      <c r="E240" s="25"/>
      <c r="F240" s="25"/>
      <c r="G240" s="1"/>
      <c r="H240" s="31" t="str">
        <f aca="true">IF(E240="","",IF(F240&lt;&gt;"",MAX(0,F240-E240),MAX(0,TODAY()-E240)))</f>
        <v/>
      </c>
      <c r="I240" s="21"/>
      <c r="J240" s="21"/>
      <c r="K240" s="1"/>
    </row>
    <row r="241" customFormat="false" ht="15" hidden="false" customHeight="false" outlineLevel="0" collapsed="false">
      <c r="A241" s="1"/>
      <c r="B241" s="1"/>
      <c r="C241" s="1"/>
      <c r="D241" s="25"/>
      <c r="E241" s="25"/>
      <c r="F241" s="25"/>
      <c r="G241" s="1"/>
      <c r="H241" s="31" t="str">
        <f aca="true">IF(E241="","",IF(F241&lt;&gt;"",MAX(0,F241-E241),MAX(0,TODAY()-E241)))</f>
        <v/>
      </c>
      <c r="I241" s="21"/>
      <c r="J241" s="21"/>
      <c r="K241" s="1"/>
    </row>
    <row r="242" customFormat="false" ht="15" hidden="false" customHeight="false" outlineLevel="0" collapsed="false">
      <c r="A242" s="1"/>
      <c r="B242" s="1"/>
      <c r="C242" s="1"/>
      <c r="D242" s="25"/>
      <c r="E242" s="25"/>
      <c r="F242" s="25"/>
      <c r="G242" s="1"/>
      <c r="H242" s="31" t="str">
        <f aca="true">IF(E242="","",IF(F242&lt;&gt;"",MAX(0,F242-E242),MAX(0,TODAY()-E242)))</f>
        <v/>
      </c>
      <c r="I242" s="21"/>
      <c r="J242" s="21"/>
      <c r="K242" s="1"/>
    </row>
    <row r="243" customFormat="false" ht="15" hidden="false" customHeight="false" outlineLevel="0" collapsed="false">
      <c r="A243" s="1"/>
      <c r="B243" s="1"/>
      <c r="C243" s="1"/>
      <c r="D243" s="25"/>
      <c r="E243" s="25"/>
      <c r="F243" s="25"/>
      <c r="G243" s="1"/>
      <c r="H243" s="31" t="str">
        <f aca="true">IF(E243="","",IF(F243&lt;&gt;"",MAX(0,F243-E243),MAX(0,TODAY()-E243)))</f>
        <v/>
      </c>
      <c r="I243" s="21"/>
      <c r="J243" s="21"/>
      <c r="K243" s="1"/>
    </row>
    <row r="244" customFormat="false" ht="15" hidden="false" customHeight="false" outlineLevel="0" collapsed="false">
      <c r="A244" s="1"/>
      <c r="B244" s="1"/>
      <c r="C244" s="1"/>
      <c r="D244" s="25"/>
      <c r="E244" s="25"/>
      <c r="F244" s="25"/>
      <c r="G244" s="1"/>
      <c r="H244" s="31" t="str">
        <f aca="true">IF(E244="","",IF(F244&lt;&gt;"",MAX(0,F244-E244),MAX(0,TODAY()-E244)))</f>
        <v/>
      </c>
      <c r="I244" s="21"/>
      <c r="J244" s="21"/>
      <c r="K244" s="1"/>
    </row>
    <row r="245" customFormat="false" ht="15" hidden="false" customHeight="false" outlineLevel="0" collapsed="false">
      <c r="A245" s="1"/>
      <c r="B245" s="1"/>
      <c r="C245" s="1"/>
      <c r="D245" s="25"/>
      <c r="E245" s="25"/>
      <c r="F245" s="25"/>
      <c r="G245" s="1"/>
      <c r="H245" s="31" t="str">
        <f aca="true">IF(E245="","",IF(F245&lt;&gt;"",MAX(0,F245-E245),MAX(0,TODAY()-E245)))</f>
        <v/>
      </c>
      <c r="I245" s="21"/>
      <c r="J245" s="21"/>
      <c r="K245" s="1"/>
    </row>
    <row r="246" customFormat="false" ht="15" hidden="false" customHeight="false" outlineLevel="0" collapsed="false">
      <c r="A246" s="1"/>
      <c r="B246" s="1"/>
      <c r="C246" s="1"/>
      <c r="D246" s="25"/>
      <c r="E246" s="25"/>
      <c r="F246" s="25"/>
      <c r="G246" s="1"/>
      <c r="H246" s="31" t="str">
        <f aca="true">IF(E246="","",IF(F246&lt;&gt;"",MAX(0,F246-E246),MAX(0,TODAY()-E246)))</f>
        <v/>
      </c>
      <c r="I246" s="21"/>
      <c r="J246" s="21"/>
      <c r="K246" s="1"/>
    </row>
    <row r="247" customFormat="false" ht="15" hidden="false" customHeight="false" outlineLevel="0" collapsed="false">
      <c r="A247" s="1"/>
      <c r="B247" s="1"/>
      <c r="C247" s="1"/>
      <c r="D247" s="25"/>
      <c r="E247" s="25"/>
      <c r="F247" s="25"/>
      <c r="G247" s="1"/>
      <c r="H247" s="31" t="str">
        <f aca="true">IF(E247="","",IF(F247&lt;&gt;"",MAX(0,F247-E247),MAX(0,TODAY()-E247)))</f>
        <v/>
      </c>
      <c r="I247" s="21"/>
      <c r="J247" s="21"/>
      <c r="K247" s="1"/>
    </row>
    <row r="248" customFormat="false" ht="15" hidden="false" customHeight="false" outlineLevel="0" collapsed="false">
      <c r="A248" s="1"/>
      <c r="B248" s="1"/>
      <c r="C248" s="1"/>
      <c r="D248" s="25"/>
      <c r="E248" s="25"/>
      <c r="F248" s="25"/>
      <c r="G248" s="1"/>
      <c r="H248" s="31" t="str">
        <f aca="true">IF(E248="","",IF(F248&lt;&gt;"",MAX(0,F248-E248),MAX(0,TODAY()-E248)))</f>
        <v/>
      </c>
      <c r="I248" s="21"/>
      <c r="J248" s="21"/>
      <c r="K248" s="1"/>
    </row>
    <row r="249" customFormat="false" ht="15" hidden="false" customHeight="false" outlineLevel="0" collapsed="false">
      <c r="A249" s="1"/>
      <c r="B249" s="1"/>
      <c r="C249" s="1"/>
      <c r="D249" s="25"/>
      <c r="E249" s="25"/>
      <c r="F249" s="25"/>
      <c r="G249" s="1"/>
      <c r="H249" s="31" t="str">
        <f aca="true">IF(E249="","",IF(F249&lt;&gt;"",MAX(0,F249-E249),MAX(0,TODAY()-E249)))</f>
        <v/>
      </c>
      <c r="I249" s="21"/>
      <c r="J249" s="21"/>
      <c r="K249" s="1"/>
    </row>
    <row r="250" customFormat="false" ht="15" hidden="false" customHeight="false" outlineLevel="0" collapsed="false">
      <c r="A250" s="1"/>
      <c r="B250" s="1"/>
      <c r="C250" s="1"/>
      <c r="D250" s="25"/>
      <c r="E250" s="25"/>
      <c r="F250" s="25"/>
      <c r="G250" s="1"/>
      <c r="H250" s="31" t="str">
        <f aca="true">IF(E250="","",IF(F250&lt;&gt;"",MAX(0,F250-E250),MAX(0,TODAY()-E250)))</f>
        <v/>
      </c>
      <c r="I250" s="21"/>
      <c r="J250" s="21"/>
      <c r="K250" s="1"/>
    </row>
    <row r="251" customFormat="false" ht="15" hidden="false" customHeight="false" outlineLevel="0" collapsed="false">
      <c r="A251" s="1"/>
      <c r="B251" s="1"/>
      <c r="C251" s="1"/>
      <c r="D251" s="25"/>
      <c r="E251" s="25"/>
      <c r="F251" s="25"/>
      <c r="G251" s="1"/>
      <c r="H251" s="31" t="str">
        <f aca="true">IF(E251="","",IF(F251&lt;&gt;"",MAX(0,F251-E251),MAX(0,TODAY()-E251)))</f>
        <v/>
      </c>
      <c r="I251" s="21"/>
      <c r="J251" s="21"/>
      <c r="K251" s="1"/>
    </row>
    <row r="252" customFormat="false" ht="15" hidden="false" customHeight="false" outlineLevel="0" collapsed="false">
      <c r="A252" s="1"/>
      <c r="B252" s="1"/>
      <c r="C252" s="1"/>
      <c r="D252" s="25"/>
      <c r="E252" s="25"/>
      <c r="F252" s="25"/>
      <c r="G252" s="1"/>
      <c r="H252" s="31" t="str">
        <f aca="true">IF(E252="","",IF(F252&lt;&gt;"",MAX(0,F252-E252),MAX(0,TODAY()-E252)))</f>
        <v/>
      </c>
      <c r="I252" s="21"/>
      <c r="J252" s="21"/>
      <c r="K252" s="1"/>
    </row>
    <row r="253" customFormat="false" ht="15" hidden="false" customHeight="false" outlineLevel="0" collapsed="false">
      <c r="A253" s="1"/>
      <c r="B253" s="1"/>
      <c r="C253" s="1"/>
      <c r="D253" s="25"/>
      <c r="E253" s="25"/>
      <c r="F253" s="25"/>
      <c r="G253" s="1"/>
      <c r="H253" s="31" t="str">
        <f aca="true">IF(E253="","",IF(F253&lt;&gt;"",MAX(0,F253-E253),MAX(0,TODAY()-E253)))</f>
        <v/>
      </c>
      <c r="I253" s="21"/>
      <c r="J253" s="21"/>
      <c r="K253" s="1"/>
    </row>
    <row r="254" customFormat="false" ht="15" hidden="false" customHeight="false" outlineLevel="0" collapsed="false">
      <c r="A254" s="1"/>
      <c r="B254" s="1"/>
      <c r="C254" s="1"/>
      <c r="D254" s="25"/>
      <c r="E254" s="25"/>
      <c r="F254" s="25"/>
      <c r="G254" s="1"/>
      <c r="H254" s="31" t="str">
        <f aca="true">IF(E254="","",IF(F254&lt;&gt;"",MAX(0,F254-E254),MAX(0,TODAY()-E254)))</f>
        <v/>
      </c>
      <c r="I254" s="21"/>
      <c r="J254" s="21"/>
      <c r="K254" s="1"/>
    </row>
    <row r="255" customFormat="false" ht="15" hidden="false" customHeight="false" outlineLevel="0" collapsed="false">
      <c r="A255" s="1"/>
      <c r="B255" s="1"/>
      <c r="C255" s="1"/>
      <c r="D255" s="25"/>
      <c r="E255" s="25"/>
      <c r="F255" s="25"/>
      <c r="G255" s="1"/>
      <c r="H255" s="31" t="str">
        <f aca="true">IF(E255="","",IF(F255&lt;&gt;"",MAX(0,F255-E255),MAX(0,TODAY()-E255)))</f>
        <v/>
      </c>
      <c r="I255" s="21"/>
      <c r="J255" s="21"/>
      <c r="K255" s="1"/>
    </row>
    <row r="256" customFormat="false" ht="15" hidden="false" customHeight="false" outlineLevel="0" collapsed="false">
      <c r="A256" s="1"/>
      <c r="B256" s="1"/>
      <c r="C256" s="1"/>
      <c r="D256" s="25"/>
      <c r="E256" s="25"/>
      <c r="F256" s="25"/>
      <c r="G256" s="1"/>
      <c r="H256" s="31" t="str">
        <f aca="true">IF(E256="","",IF(F256&lt;&gt;"",MAX(0,F256-E256),MAX(0,TODAY()-E256)))</f>
        <v/>
      </c>
      <c r="I256" s="21"/>
      <c r="J256" s="21"/>
      <c r="K256" s="1"/>
    </row>
    <row r="257" customFormat="false" ht="15" hidden="false" customHeight="false" outlineLevel="0" collapsed="false">
      <c r="A257" s="1"/>
      <c r="B257" s="1"/>
      <c r="C257" s="1"/>
      <c r="D257" s="25"/>
      <c r="E257" s="25"/>
      <c r="F257" s="25"/>
      <c r="G257" s="1"/>
      <c r="H257" s="31" t="str">
        <f aca="true">IF(E257="","",IF(F257&lt;&gt;"",MAX(0,F257-E257),MAX(0,TODAY()-E257)))</f>
        <v/>
      </c>
      <c r="I257" s="21"/>
      <c r="J257" s="21"/>
      <c r="K257" s="1"/>
    </row>
    <row r="258" customFormat="false" ht="15" hidden="false" customHeight="false" outlineLevel="0" collapsed="false">
      <c r="A258" s="1"/>
      <c r="B258" s="1"/>
      <c r="C258" s="1"/>
      <c r="D258" s="25"/>
      <c r="E258" s="25"/>
      <c r="F258" s="25"/>
      <c r="G258" s="1"/>
      <c r="H258" s="31" t="str">
        <f aca="true">IF(E258="","",IF(F258&lt;&gt;"",MAX(0,F258-E258),MAX(0,TODAY()-E258)))</f>
        <v/>
      </c>
      <c r="I258" s="21"/>
      <c r="J258" s="21"/>
      <c r="K258" s="1"/>
    </row>
    <row r="259" customFormat="false" ht="15" hidden="false" customHeight="false" outlineLevel="0" collapsed="false">
      <c r="A259" s="1"/>
      <c r="B259" s="1"/>
      <c r="C259" s="1"/>
      <c r="D259" s="25"/>
      <c r="E259" s="25"/>
      <c r="F259" s="25"/>
      <c r="G259" s="1"/>
      <c r="H259" s="31" t="str">
        <f aca="true">IF(E259="","",IF(F259&lt;&gt;"",MAX(0,F259-E259),MAX(0,TODAY()-E259)))</f>
        <v/>
      </c>
      <c r="I259" s="21"/>
      <c r="J259" s="21"/>
      <c r="K259" s="1"/>
    </row>
    <row r="260" customFormat="false" ht="15" hidden="false" customHeight="false" outlineLevel="0" collapsed="false">
      <c r="A260" s="1"/>
      <c r="B260" s="1"/>
      <c r="C260" s="1"/>
      <c r="D260" s="25"/>
      <c r="E260" s="25"/>
      <c r="F260" s="25"/>
      <c r="G260" s="1"/>
      <c r="H260" s="31" t="str">
        <f aca="true">IF(E260="","",IF(F260&lt;&gt;"",MAX(0,F260-E260),MAX(0,TODAY()-E260)))</f>
        <v/>
      </c>
      <c r="I260" s="21"/>
      <c r="J260" s="21"/>
      <c r="K260" s="1"/>
    </row>
    <row r="261" customFormat="false" ht="15" hidden="false" customHeight="false" outlineLevel="0" collapsed="false">
      <c r="A261" s="1"/>
      <c r="B261" s="1"/>
      <c r="C261" s="1"/>
      <c r="D261" s="25"/>
      <c r="E261" s="25"/>
      <c r="F261" s="25"/>
      <c r="G261" s="1"/>
      <c r="H261" s="31" t="str">
        <f aca="true">IF(E261="","",IF(F261&lt;&gt;"",MAX(0,F261-E261),MAX(0,TODAY()-E261)))</f>
        <v/>
      </c>
      <c r="I261" s="21"/>
      <c r="J261" s="21"/>
      <c r="K261" s="1"/>
    </row>
    <row r="262" customFormat="false" ht="15" hidden="false" customHeight="false" outlineLevel="0" collapsed="false">
      <c r="A262" s="1"/>
      <c r="B262" s="1"/>
      <c r="C262" s="1"/>
      <c r="D262" s="25"/>
      <c r="E262" s="25"/>
      <c r="F262" s="25"/>
      <c r="G262" s="1"/>
      <c r="H262" s="31" t="str">
        <f aca="true">IF(E262="","",IF(F262&lt;&gt;"",MAX(0,F262-E262),MAX(0,TODAY()-E262)))</f>
        <v/>
      </c>
      <c r="I262" s="21"/>
      <c r="J262" s="21"/>
      <c r="K262" s="1"/>
    </row>
    <row r="263" customFormat="false" ht="15" hidden="false" customHeight="false" outlineLevel="0" collapsed="false">
      <c r="A263" s="1"/>
      <c r="B263" s="1"/>
      <c r="C263" s="1"/>
      <c r="D263" s="25"/>
      <c r="E263" s="25"/>
      <c r="F263" s="25"/>
      <c r="G263" s="1"/>
      <c r="H263" s="31" t="str">
        <f aca="true">IF(E263="","",IF(F263&lt;&gt;"",MAX(0,F263-E263),MAX(0,TODAY()-E263)))</f>
        <v/>
      </c>
      <c r="I263" s="21"/>
      <c r="J263" s="21"/>
      <c r="K263" s="1"/>
    </row>
    <row r="264" customFormat="false" ht="15" hidden="false" customHeight="false" outlineLevel="0" collapsed="false">
      <c r="A264" s="1"/>
      <c r="B264" s="1"/>
      <c r="C264" s="1"/>
      <c r="D264" s="25"/>
      <c r="E264" s="25"/>
      <c r="F264" s="25"/>
      <c r="G264" s="1"/>
      <c r="H264" s="31" t="str">
        <f aca="true">IF(E264="","",IF(F264&lt;&gt;"",MAX(0,F264-E264),MAX(0,TODAY()-E264)))</f>
        <v/>
      </c>
      <c r="I264" s="21"/>
      <c r="J264" s="21"/>
      <c r="K264" s="1"/>
    </row>
    <row r="265" customFormat="false" ht="15" hidden="false" customHeight="false" outlineLevel="0" collapsed="false">
      <c r="A265" s="1"/>
      <c r="B265" s="1"/>
      <c r="C265" s="1"/>
      <c r="D265" s="25"/>
      <c r="E265" s="25"/>
      <c r="F265" s="25"/>
      <c r="G265" s="1"/>
      <c r="H265" s="31" t="str">
        <f aca="true">IF(E265="","",IF(F265&lt;&gt;"",MAX(0,F265-E265),MAX(0,TODAY()-E265)))</f>
        <v/>
      </c>
      <c r="I265" s="21"/>
      <c r="J265" s="21"/>
      <c r="K265" s="1"/>
    </row>
    <row r="266" customFormat="false" ht="15" hidden="false" customHeight="false" outlineLevel="0" collapsed="false">
      <c r="A266" s="1"/>
      <c r="B266" s="1"/>
      <c r="C266" s="1"/>
      <c r="D266" s="25"/>
      <c r="E266" s="25"/>
      <c r="F266" s="25"/>
      <c r="G266" s="1"/>
      <c r="H266" s="31" t="str">
        <f aca="true">IF(E266="","",IF(F266&lt;&gt;"",MAX(0,F266-E266),MAX(0,TODAY()-E266)))</f>
        <v/>
      </c>
      <c r="I266" s="21"/>
      <c r="J266" s="21"/>
      <c r="K266" s="1"/>
    </row>
    <row r="267" customFormat="false" ht="15" hidden="false" customHeight="false" outlineLevel="0" collapsed="false">
      <c r="A267" s="1"/>
      <c r="B267" s="1"/>
      <c r="C267" s="1"/>
      <c r="D267" s="25"/>
      <c r="E267" s="25"/>
      <c r="F267" s="25"/>
      <c r="G267" s="1"/>
      <c r="H267" s="31" t="str">
        <f aca="true">IF(E267="","",IF(F267&lt;&gt;"",MAX(0,F267-E267),MAX(0,TODAY()-E267)))</f>
        <v/>
      </c>
      <c r="I267" s="21"/>
      <c r="J267" s="21"/>
      <c r="K267" s="1"/>
    </row>
    <row r="268" customFormat="false" ht="15" hidden="false" customHeight="false" outlineLevel="0" collapsed="false">
      <c r="A268" s="1"/>
      <c r="B268" s="1"/>
      <c r="C268" s="1"/>
      <c r="D268" s="25"/>
      <c r="E268" s="25"/>
      <c r="F268" s="25"/>
      <c r="G268" s="1"/>
      <c r="H268" s="31" t="str">
        <f aca="true">IF(E268="","",IF(F268&lt;&gt;"",MAX(0,F268-E268),MAX(0,TODAY()-E268)))</f>
        <v/>
      </c>
      <c r="I268" s="21"/>
      <c r="J268" s="21"/>
      <c r="K268" s="1"/>
    </row>
    <row r="269" customFormat="false" ht="15" hidden="false" customHeight="false" outlineLevel="0" collapsed="false">
      <c r="A269" s="1"/>
      <c r="B269" s="1"/>
      <c r="C269" s="1"/>
      <c r="D269" s="25"/>
      <c r="E269" s="25"/>
      <c r="F269" s="25"/>
      <c r="G269" s="1"/>
      <c r="H269" s="31" t="str">
        <f aca="true">IF(E269="","",IF(F269&lt;&gt;"",MAX(0,F269-E269),MAX(0,TODAY()-E269)))</f>
        <v/>
      </c>
      <c r="I269" s="21"/>
      <c r="J269" s="21"/>
      <c r="K269" s="1"/>
    </row>
    <row r="270" customFormat="false" ht="15" hidden="false" customHeight="false" outlineLevel="0" collapsed="false">
      <c r="A270" s="1"/>
      <c r="B270" s="1"/>
      <c r="C270" s="1"/>
      <c r="D270" s="25"/>
      <c r="E270" s="25"/>
      <c r="F270" s="25"/>
      <c r="G270" s="1"/>
      <c r="H270" s="31" t="str">
        <f aca="true">IF(E270="","",IF(F270&lt;&gt;"",MAX(0,F270-E270),MAX(0,TODAY()-E270)))</f>
        <v/>
      </c>
      <c r="I270" s="21"/>
      <c r="J270" s="21"/>
      <c r="K270" s="1"/>
    </row>
    <row r="271" customFormat="false" ht="15" hidden="false" customHeight="false" outlineLevel="0" collapsed="false">
      <c r="A271" s="1"/>
      <c r="B271" s="1"/>
      <c r="C271" s="1"/>
      <c r="D271" s="25"/>
      <c r="E271" s="25"/>
      <c r="F271" s="25"/>
      <c r="G271" s="1"/>
      <c r="H271" s="31" t="str">
        <f aca="true">IF(E271="","",IF(F271&lt;&gt;"",MAX(0,F271-E271),MAX(0,TODAY()-E271)))</f>
        <v/>
      </c>
      <c r="I271" s="21"/>
      <c r="J271" s="21"/>
      <c r="K271" s="1"/>
    </row>
    <row r="272" customFormat="false" ht="15" hidden="false" customHeight="false" outlineLevel="0" collapsed="false">
      <c r="A272" s="1"/>
      <c r="B272" s="1"/>
      <c r="C272" s="1"/>
      <c r="D272" s="25"/>
      <c r="E272" s="25"/>
      <c r="F272" s="25"/>
      <c r="G272" s="1"/>
      <c r="H272" s="31" t="str">
        <f aca="true">IF(E272="","",IF(F272&lt;&gt;"",MAX(0,F272-E272),MAX(0,TODAY()-E272)))</f>
        <v/>
      </c>
      <c r="I272" s="21"/>
      <c r="J272" s="21"/>
      <c r="K272" s="1"/>
    </row>
    <row r="273" customFormat="false" ht="15" hidden="false" customHeight="false" outlineLevel="0" collapsed="false">
      <c r="A273" s="1"/>
      <c r="B273" s="1"/>
      <c r="C273" s="1"/>
      <c r="D273" s="25"/>
      <c r="E273" s="25"/>
      <c r="F273" s="25"/>
      <c r="G273" s="1"/>
      <c r="H273" s="31" t="str">
        <f aca="true">IF(E273="","",IF(F273&lt;&gt;"",MAX(0,F273-E273),MAX(0,TODAY()-E273)))</f>
        <v/>
      </c>
      <c r="I273" s="21"/>
      <c r="J273" s="21"/>
      <c r="K273" s="1"/>
    </row>
    <row r="274" customFormat="false" ht="15" hidden="false" customHeight="false" outlineLevel="0" collapsed="false">
      <c r="A274" s="1"/>
      <c r="B274" s="1"/>
      <c r="C274" s="1"/>
      <c r="D274" s="25"/>
      <c r="E274" s="25"/>
      <c r="F274" s="25"/>
      <c r="G274" s="1"/>
      <c r="H274" s="31" t="str">
        <f aca="true">IF(E274="","",IF(F274&lt;&gt;"",MAX(0,F274-E274),MAX(0,TODAY()-E274)))</f>
        <v/>
      </c>
      <c r="I274" s="21"/>
      <c r="J274" s="21"/>
      <c r="K274" s="1"/>
    </row>
    <row r="275" customFormat="false" ht="15" hidden="false" customHeight="false" outlineLevel="0" collapsed="false">
      <c r="A275" s="1"/>
      <c r="B275" s="1"/>
      <c r="C275" s="1"/>
      <c r="D275" s="25"/>
      <c r="E275" s="25"/>
      <c r="F275" s="25"/>
      <c r="G275" s="1"/>
      <c r="H275" s="31" t="str">
        <f aca="true">IF(E275="","",IF(F275&lt;&gt;"",MAX(0,F275-E275),MAX(0,TODAY()-E275)))</f>
        <v/>
      </c>
      <c r="I275" s="21"/>
      <c r="J275" s="21"/>
      <c r="K275" s="1"/>
    </row>
    <row r="276" customFormat="false" ht="15" hidden="false" customHeight="false" outlineLevel="0" collapsed="false">
      <c r="A276" s="1"/>
      <c r="B276" s="1"/>
      <c r="C276" s="1"/>
      <c r="D276" s="25"/>
      <c r="E276" s="25"/>
      <c r="F276" s="25"/>
      <c r="G276" s="1"/>
      <c r="H276" s="31" t="str">
        <f aca="true">IF(E276="","",IF(F276&lt;&gt;"",MAX(0,F276-E276),MAX(0,TODAY()-E276)))</f>
        <v/>
      </c>
      <c r="I276" s="21"/>
      <c r="J276" s="21"/>
      <c r="K276" s="1"/>
    </row>
    <row r="277" customFormat="false" ht="15" hidden="false" customHeight="false" outlineLevel="0" collapsed="false">
      <c r="A277" s="1"/>
      <c r="B277" s="1"/>
      <c r="C277" s="1"/>
      <c r="D277" s="25"/>
      <c r="E277" s="25"/>
      <c r="F277" s="25"/>
      <c r="G277" s="1"/>
      <c r="H277" s="31" t="str">
        <f aca="true">IF(E277="","",IF(F277&lt;&gt;"",MAX(0,F277-E277),MAX(0,TODAY()-E277)))</f>
        <v/>
      </c>
      <c r="I277" s="21"/>
      <c r="J277" s="21"/>
      <c r="K277" s="1"/>
    </row>
    <row r="278" customFormat="false" ht="15" hidden="false" customHeight="false" outlineLevel="0" collapsed="false">
      <c r="A278" s="1"/>
      <c r="B278" s="1"/>
      <c r="C278" s="1"/>
      <c r="D278" s="25"/>
      <c r="E278" s="25"/>
      <c r="F278" s="25"/>
      <c r="G278" s="1"/>
      <c r="H278" s="31" t="str">
        <f aca="true">IF(E278="","",IF(F278&lt;&gt;"",MAX(0,F278-E278),MAX(0,TODAY()-E278)))</f>
        <v/>
      </c>
      <c r="I278" s="21"/>
      <c r="J278" s="21"/>
      <c r="K278" s="1"/>
    </row>
    <row r="279" customFormat="false" ht="15" hidden="false" customHeight="false" outlineLevel="0" collapsed="false">
      <c r="A279" s="1"/>
      <c r="B279" s="1"/>
      <c r="C279" s="1"/>
      <c r="D279" s="25"/>
      <c r="E279" s="25"/>
      <c r="F279" s="25"/>
      <c r="G279" s="1"/>
      <c r="H279" s="31" t="str">
        <f aca="true">IF(E279="","",IF(F279&lt;&gt;"",MAX(0,F279-E279),MAX(0,TODAY()-E279)))</f>
        <v/>
      </c>
      <c r="I279" s="21"/>
      <c r="J279" s="21"/>
      <c r="K279" s="1"/>
    </row>
    <row r="280" customFormat="false" ht="15" hidden="false" customHeight="false" outlineLevel="0" collapsed="false">
      <c r="A280" s="1"/>
      <c r="B280" s="1"/>
      <c r="C280" s="1"/>
      <c r="D280" s="25"/>
      <c r="E280" s="25"/>
      <c r="F280" s="25"/>
      <c r="G280" s="1"/>
      <c r="H280" s="31" t="str">
        <f aca="true">IF(E280="","",IF(F280&lt;&gt;"",MAX(0,F280-E280),MAX(0,TODAY()-E280)))</f>
        <v/>
      </c>
      <c r="I280" s="21"/>
      <c r="J280" s="21"/>
      <c r="K280" s="1"/>
    </row>
    <row r="281" customFormat="false" ht="15" hidden="false" customHeight="false" outlineLevel="0" collapsed="false">
      <c r="A281" s="1"/>
      <c r="B281" s="1"/>
      <c r="C281" s="1"/>
      <c r="D281" s="25"/>
      <c r="E281" s="25"/>
      <c r="F281" s="25"/>
      <c r="G281" s="1"/>
      <c r="H281" s="31" t="str">
        <f aca="true">IF(E281="","",IF(F281&lt;&gt;"",MAX(0,F281-E281),MAX(0,TODAY()-E281)))</f>
        <v/>
      </c>
      <c r="I281" s="21"/>
      <c r="J281" s="21"/>
      <c r="K281" s="1"/>
    </row>
    <row r="282" customFormat="false" ht="15" hidden="false" customHeight="false" outlineLevel="0" collapsed="false">
      <c r="A282" s="1"/>
      <c r="B282" s="1"/>
      <c r="C282" s="1"/>
      <c r="D282" s="25"/>
      <c r="E282" s="25"/>
      <c r="F282" s="25"/>
      <c r="G282" s="1"/>
      <c r="H282" s="31" t="str">
        <f aca="true">IF(E282="","",IF(F282&lt;&gt;"",MAX(0,F282-E282),MAX(0,TODAY()-E282)))</f>
        <v/>
      </c>
      <c r="I282" s="21"/>
      <c r="J282" s="21"/>
      <c r="K282" s="1"/>
    </row>
    <row r="283" customFormat="false" ht="15" hidden="false" customHeight="false" outlineLevel="0" collapsed="false">
      <c r="A283" s="1"/>
      <c r="B283" s="1"/>
      <c r="C283" s="1"/>
      <c r="D283" s="25"/>
      <c r="E283" s="25"/>
      <c r="F283" s="25"/>
      <c r="G283" s="1"/>
      <c r="H283" s="31" t="str">
        <f aca="true">IF(E283="","",IF(F283&lt;&gt;"",MAX(0,F283-E283),MAX(0,TODAY()-E283)))</f>
        <v/>
      </c>
      <c r="I283" s="21"/>
      <c r="J283" s="21"/>
      <c r="K283" s="1"/>
    </row>
    <row r="284" customFormat="false" ht="15" hidden="false" customHeight="false" outlineLevel="0" collapsed="false">
      <c r="A284" s="1"/>
      <c r="B284" s="1"/>
      <c r="C284" s="1"/>
      <c r="D284" s="25"/>
      <c r="E284" s="25"/>
      <c r="F284" s="25"/>
      <c r="G284" s="1"/>
      <c r="H284" s="31" t="str">
        <f aca="true">IF(E284="","",IF(F284&lt;&gt;"",MAX(0,F284-E284),MAX(0,TODAY()-E284)))</f>
        <v/>
      </c>
      <c r="I284" s="21"/>
      <c r="J284" s="21"/>
      <c r="K284" s="1"/>
    </row>
    <row r="285" customFormat="false" ht="15" hidden="false" customHeight="false" outlineLevel="0" collapsed="false">
      <c r="A285" s="1"/>
      <c r="B285" s="1"/>
      <c r="C285" s="1"/>
      <c r="D285" s="25"/>
      <c r="E285" s="25"/>
      <c r="F285" s="25"/>
      <c r="G285" s="1"/>
      <c r="H285" s="31" t="str">
        <f aca="true">IF(E285="","",IF(F285&lt;&gt;"",MAX(0,F285-E285),MAX(0,TODAY()-E285)))</f>
        <v/>
      </c>
      <c r="I285" s="21"/>
      <c r="J285" s="21"/>
      <c r="K285" s="1"/>
    </row>
    <row r="286" customFormat="false" ht="15" hidden="false" customHeight="false" outlineLevel="0" collapsed="false">
      <c r="A286" s="1"/>
      <c r="B286" s="1"/>
      <c r="C286" s="1"/>
      <c r="D286" s="25"/>
      <c r="E286" s="25"/>
      <c r="F286" s="25"/>
      <c r="G286" s="1"/>
      <c r="H286" s="31" t="str">
        <f aca="true">IF(E286="","",IF(F286&lt;&gt;"",MAX(0,F286-E286),MAX(0,TODAY()-E286)))</f>
        <v/>
      </c>
      <c r="I286" s="21"/>
      <c r="J286" s="21"/>
      <c r="K286" s="1"/>
    </row>
    <row r="287" customFormat="false" ht="15" hidden="false" customHeight="false" outlineLevel="0" collapsed="false">
      <c r="A287" s="1"/>
      <c r="B287" s="1"/>
      <c r="C287" s="1"/>
      <c r="D287" s="25"/>
      <c r="E287" s="25"/>
      <c r="F287" s="25"/>
      <c r="G287" s="1"/>
      <c r="H287" s="31" t="str">
        <f aca="true">IF(E287="","",IF(F287&lt;&gt;"",MAX(0,F287-E287),MAX(0,TODAY()-E287)))</f>
        <v/>
      </c>
      <c r="I287" s="21"/>
      <c r="J287" s="21"/>
      <c r="K287" s="1"/>
    </row>
    <row r="288" customFormat="false" ht="15" hidden="false" customHeight="false" outlineLevel="0" collapsed="false">
      <c r="A288" s="1"/>
      <c r="B288" s="1"/>
      <c r="C288" s="1"/>
      <c r="D288" s="25"/>
      <c r="E288" s="25"/>
      <c r="F288" s="25"/>
      <c r="G288" s="1"/>
      <c r="H288" s="31" t="str">
        <f aca="true">IF(E288="","",IF(F288&lt;&gt;"",MAX(0,F288-E288),MAX(0,TODAY()-E288)))</f>
        <v/>
      </c>
      <c r="I288" s="21"/>
      <c r="J288" s="21"/>
      <c r="K288" s="1"/>
    </row>
    <row r="289" customFormat="false" ht="15" hidden="false" customHeight="false" outlineLevel="0" collapsed="false">
      <c r="A289" s="1"/>
      <c r="B289" s="1"/>
      <c r="C289" s="1"/>
      <c r="D289" s="25"/>
      <c r="E289" s="25"/>
      <c r="F289" s="25"/>
      <c r="G289" s="1"/>
      <c r="H289" s="31" t="str">
        <f aca="true">IF(E289="","",IF(F289&lt;&gt;"",MAX(0,F289-E289),MAX(0,TODAY()-E289)))</f>
        <v/>
      </c>
      <c r="I289" s="21"/>
      <c r="J289" s="21"/>
      <c r="K289" s="1"/>
    </row>
    <row r="290" customFormat="false" ht="15" hidden="false" customHeight="false" outlineLevel="0" collapsed="false">
      <c r="A290" s="1"/>
      <c r="B290" s="1"/>
      <c r="C290" s="1"/>
      <c r="D290" s="25"/>
      <c r="E290" s="25"/>
      <c r="F290" s="25"/>
      <c r="G290" s="1"/>
      <c r="H290" s="31" t="str">
        <f aca="true">IF(E290="","",IF(F290&lt;&gt;"",MAX(0,F290-E290),MAX(0,TODAY()-E290)))</f>
        <v/>
      </c>
      <c r="I290" s="21"/>
      <c r="J290" s="21"/>
      <c r="K290" s="1"/>
    </row>
    <row r="291" customFormat="false" ht="15" hidden="false" customHeight="false" outlineLevel="0" collapsed="false">
      <c r="A291" s="1"/>
      <c r="B291" s="1"/>
      <c r="C291" s="1"/>
      <c r="D291" s="25"/>
      <c r="E291" s="25"/>
      <c r="F291" s="25"/>
      <c r="G291" s="1"/>
      <c r="H291" s="31" t="str">
        <f aca="true">IF(E291="","",IF(F291&lt;&gt;"",MAX(0,F291-E291),MAX(0,TODAY()-E291)))</f>
        <v/>
      </c>
      <c r="I291" s="21"/>
      <c r="J291" s="21"/>
      <c r="K291" s="1"/>
    </row>
    <row r="292" customFormat="false" ht="15" hidden="false" customHeight="false" outlineLevel="0" collapsed="false">
      <c r="A292" s="1"/>
      <c r="B292" s="1"/>
      <c r="C292" s="1"/>
      <c r="D292" s="25"/>
      <c r="E292" s="25"/>
      <c r="F292" s="25"/>
      <c r="G292" s="1"/>
      <c r="H292" s="31" t="str">
        <f aca="true">IF(E292="","",IF(F292&lt;&gt;"",MAX(0,F292-E292),MAX(0,TODAY()-E292)))</f>
        <v/>
      </c>
      <c r="I292" s="21"/>
      <c r="J292" s="21"/>
      <c r="K292" s="1"/>
    </row>
    <row r="293" customFormat="false" ht="15" hidden="false" customHeight="false" outlineLevel="0" collapsed="false">
      <c r="A293" s="1"/>
      <c r="B293" s="1"/>
      <c r="C293" s="1"/>
      <c r="D293" s="25"/>
      <c r="E293" s="25"/>
      <c r="F293" s="25"/>
      <c r="G293" s="1"/>
      <c r="H293" s="31" t="str">
        <f aca="true">IF(E293="","",IF(F293&lt;&gt;"",MAX(0,F293-E293),MAX(0,TODAY()-E293)))</f>
        <v/>
      </c>
      <c r="I293" s="21"/>
      <c r="J293" s="21"/>
      <c r="K293" s="1"/>
    </row>
    <row r="294" customFormat="false" ht="15" hidden="false" customHeight="false" outlineLevel="0" collapsed="false">
      <c r="A294" s="1"/>
      <c r="B294" s="1"/>
      <c r="C294" s="1"/>
      <c r="D294" s="25"/>
      <c r="E294" s="25"/>
      <c r="F294" s="25"/>
      <c r="G294" s="1"/>
      <c r="H294" s="31" t="str">
        <f aca="true">IF(E294="","",IF(F294&lt;&gt;"",MAX(0,F294-E294),MAX(0,TODAY()-E294)))</f>
        <v/>
      </c>
      <c r="I294" s="21"/>
      <c r="J294" s="21"/>
      <c r="K294" s="1"/>
    </row>
    <row r="295" customFormat="false" ht="15" hidden="false" customHeight="false" outlineLevel="0" collapsed="false">
      <c r="A295" s="1"/>
      <c r="B295" s="1"/>
      <c r="C295" s="1"/>
      <c r="D295" s="25"/>
      <c r="E295" s="25"/>
      <c r="F295" s="25"/>
      <c r="G295" s="1"/>
      <c r="H295" s="31" t="str">
        <f aca="true">IF(E295="","",IF(F295&lt;&gt;"",MAX(0,F295-E295),MAX(0,TODAY()-E295)))</f>
        <v/>
      </c>
      <c r="I295" s="21"/>
      <c r="J295" s="21"/>
      <c r="K295" s="1"/>
    </row>
    <row r="296" customFormat="false" ht="15" hidden="false" customHeight="false" outlineLevel="0" collapsed="false">
      <c r="A296" s="1"/>
      <c r="B296" s="1"/>
      <c r="C296" s="1"/>
      <c r="D296" s="25"/>
      <c r="E296" s="25"/>
      <c r="F296" s="25"/>
      <c r="G296" s="1"/>
      <c r="H296" s="31" t="str">
        <f aca="true">IF(E296="","",IF(F296&lt;&gt;"",MAX(0,F296-E296),MAX(0,TODAY()-E296)))</f>
        <v/>
      </c>
      <c r="I296" s="21"/>
      <c r="J296" s="21"/>
      <c r="K296" s="1"/>
    </row>
    <row r="297" customFormat="false" ht="15" hidden="false" customHeight="false" outlineLevel="0" collapsed="false">
      <c r="A297" s="1"/>
      <c r="B297" s="1"/>
      <c r="C297" s="1"/>
      <c r="D297" s="25"/>
      <c r="E297" s="25"/>
      <c r="F297" s="25"/>
      <c r="G297" s="1"/>
      <c r="H297" s="31" t="str">
        <f aca="true">IF(E297="","",IF(F297&lt;&gt;"",MAX(0,F297-E297),MAX(0,TODAY()-E297)))</f>
        <v/>
      </c>
      <c r="I297" s="21"/>
      <c r="J297" s="21"/>
      <c r="K297" s="1"/>
    </row>
    <row r="298" customFormat="false" ht="15" hidden="false" customHeight="false" outlineLevel="0" collapsed="false">
      <c r="A298" s="1"/>
      <c r="B298" s="1"/>
      <c r="C298" s="1"/>
      <c r="D298" s="25"/>
      <c r="E298" s="25"/>
      <c r="F298" s="25"/>
      <c r="G298" s="1"/>
      <c r="H298" s="31" t="str">
        <f aca="true">IF(E298="","",IF(F298&lt;&gt;"",MAX(0,F298-E298),MAX(0,TODAY()-E298)))</f>
        <v/>
      </c>
      <c r="I298" s="21"/>
      <c r="J298" s="21"/>
      <c r="K298" s="1"/>
    </row>
    <row r="299" customFormat="false" ht="15" hidden="false" customHeight="false" outlineLevel="0" collapsed="false">
      <c r="A299" s="1"/>
      <c r="B299" s="1"/>
      <c r="C299" s="1"/>
      <c r="D299" s="25"/>
      <c r="E299" s="25"/>
      <c r="F299" s="25"/>
      <c r="G299" s="1"/>
      <c r="H299" s="31" t="str">
        <f aca="true">IF(E299="","",IF(F299&lt;&gt;"",MAX(0,F299-E299),MAX(0,TODAY()-E299)))</f>
        <v/>
      </c>
      <c r="I299" s="21"/>
      <c r="J299" s="21"/>
      <c r="K299" s="1"/>
    </row>
    <row r="300" customFormat="false" ht="15" hidden="false" customHeight="false" outlineLevel="0" collapsed="false">
      <c r="A300" s="1"/>
      <c r="B300" s="1"/>
      <c r="C300" s="1"/>
      <c r="D300" s="25"/>
      <c r="E300" s="25"/>
      <c r="F300" s="25"/>
      <c r="G300" s="1"/>
      <c r="H300" s="31" t="str">
        <f aca="true">IF(E300="","",IF(F300&lt;&gt;"",MAX(0,F300-E300),MAX(0,TODAY()-E300)))</f>
        <v/>
      </c>
      <c r="I300" s="21"/>
      <c r="J300" s="21"/>
      <c r="K300" s="1"/>
    </row>
    <row r="301" customFormat="false" ht="15" hidden="false" customHeight="false" outlineLevel="0" collapsed="false">
      <c r="A301" s="1"/>
      <c r="B301" s="1"/>
      <c r="C301" s="1"/>
      <c r="D301" s="25"/>
      <c r="E301" s="25"/>
      <c r="F301" s="25"/>
      <c r="G301" s="1"/>
      <c r="H301" s="31" t="str">
        <f aca="true">IF(E301="","",IF(F301&lt;&gt;"",MAX(0,F301-E301),MAX(0,TODAY()-E301)))</f>
        <v/>
      </c>
      <c r="I301" s="21"/>
      <c r="J301" s="21"/>
      <c r="K301" s="1"/>
    </row>
    <row r="302" customFormat="false" ht="15" hidden="false" customHeight="false" outlineLevel="0" collapsed="false">
      <c r="A302" s="1"/>
      <c r="B302" s="1"/>
      <c r="C302" s="1"/>
      <c r="D302" s="25"/>
      <c r="E302" s="25"/>
      <c r="F302" s="25"/>
      <c r="G302" s="1"/>
      <c r="H302" s="31" t="str">
        <f aca="true">IF(E302="","",IF(F302&lt;&gt;"",MAX(0,F302-E302),MAX(0,TODAY()-E302)))</f>
        <v/>
      </c>
      <c r="I302" s="21"/>
      <c r="J302" s="21"/>
      <c r="K302" s="1"/>
    </row>
    <row r="303" customFormat="false" ht="15" hidden="false" customHeight="false" outlineLevel="0" collapsed="false">
      <c r="A303" s="1"/>
      <c r="B303" s="1"/>
      <c r="C303" s="1"/>
      <c r="D303" s="25"/>
      <c r="E303" s="25"/>
      <c r="F303" s="25"/>
      <c r="G303" s="1"/>
      <c r="H303" s="31" t="str">
        <f aca="true">IF(E303="","",IF(F303&lt;&gt;"",MAX(0,F303-E303),MAX(0,TODAY()-E303)))</f>
        <v/>
      </c>
      <c r="I303" s="21"/>
      <c r="J303" s="21"/>
      <c r="K303" s="1"/>
    </row>
    <row r="304" customFormat="false" ht="15" hidden="false" customHeight="false" outlineLevel="0" collapsed="false">
      <c r="A304" s="1"/>
      <c r="B304" s="1"/>
      <c r="C304" s="1"/>
      <c r="D304" s="25"/>
      <c r="E304" s="25"/>
      <c r="F304" s="25"/>
      <c r="G304" s="1"/>
      <c r="H304" s="31" t="str">
        <f aca="true">IF(E304="","",IF(F304&lt;&gt;"",MAX(0,F304-E304),MAX(0,TODAY()-E304)))</f>
        <v/>
      </c>
      <c r="I304" s="21"/>
      <c r="J304" s="21"/>
      <c r="K304" s="1"/>
    </row>
  </sheetData>
  <autoFilter ref="A4:K304"/>
  <conditionalFormatting sqref="H5:H304">
    <cfRule type="cellIs" priority="2" operator="greaterThan" aboveAverage="0" equalAverage="0" bottom="0" percent="0" rank="0" text="" dxfId="6">
      <formula>0</formula>
    </cfRule>
  </conditionalFormatting>
  <conditionalFormatting sqref="G5:G304">
    <cfRule type="cellIs" priority="3" operator="equal" aboveAverage="0" equalAverage="0" bottom="0" percent="0" rank="0" text="" dxfId="9">
      <formula>"Concluído"</formula>
    </cfRule>
  </conditionalFormatting>
  <dataValidations count="3">
    <dataValidation allowBlank="true" errorStyle="stop" operator="between" showDropDown="false" showErrorMessage="false" showInputMessage="false" sqref="B5:B304" type="list">
      <formula1>Listas!$D$4:$D$40</formula1>
      <formula2>0</formula2>
    </dataValidation>
    <dataValidation allowBlank="true" errorStyle="stop" operator="between" showDropDown="false" showErrorMessage="false" showInputMessage="false" sqref="C5:C304" type="list">
      <formula1>Listas!$L$4:$L$40</formula1>
      <formula2>0</formula2>
    </dataValidation>
    <dataValidation allowBlank="true" errorStyle="stop" operator="between" showDropDown="false" showErrorMessage="false" showInputMessage="false" sqref="G5:G304" type="list">
      <formula1>Listas!$E$4:$E$40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6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3" t="s">
        <v>158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30" hidden="false" customHeight="true" outlineLevel="0" collapsed="false">
      <c r="A4" s="18" t="s">
        <v>159</v>
      </c>
      <c r="B4" s="18" t="s">
        <v>160</v>
      </c>
      <c r="C4" s="18" t="s">
        <v>161</v>
      </c>
      <c r="D4" s="18" t="s">
        <v>162</v>
      </c>
      <c r="E4" s="18" t="s">
        <v>163</v>
      </c>
      <c r="F4" s="18" t="s">
        <v>112</v>
      </c>
      <c r="G4" s="18" t="s">
        <v>164</v>
      </c>
      <c r="H4" s="18" t="s">
        <v>114</v>
      </c>
      <c r="I4" s="18" t="s">
        <v>165</v>
      </c>
      <c r="J4" s="18" t="s">
        <v>137</v>
      </c>
      <c r="K4" s="18" t="s">
        <v>166</v>
      </c>
      <c r="L4" s="18" t="s">
        <v>167</v>
      </c>
      <c r="M4" s="18" t="s">
        <v>168</v>
      </c>
      <c r="N4" s="18" t="s">
        <v>169</v>
      </c>
      <c r="O4" s="18" t="s">
        <v>97</v>
      </c>
    </row>
    <row r="5" customFormat="false" ht="15" hidden="false" customHeight="false" outlineLevel="0" collapsed="false">
      <c r="A5" s="19" t="s">
        <v>170</v>
      </c>
      <c r="B5" s="19" t="s">
        <v>171</v>
      </c>
      <c r="C5" s="19" t="s">
        <v>172</v>
      </c>
      <c r="D5" s="19" t="s">
        <v>173</v>
      </c>
      <c r="E5" s="19" t="s">
        <v>174</v>
      </c>
      <c r="F5" s="19" t="s">
        <v>175</v>
      </c>
      <c r="G5" s="19" t="s">
        <v>176</v>
      </c>
      <c r="H5" s="19" t="s">
        <v>127</v>
      </c>
      <c r="I5" s="19" t="s">
        <v>177</v>
      </c>
      <c r="J5" s="19" t="s">
        <v>178</v>
      </c>
      <c r="K5" s="19" t="s">
        <v>179</v>
      </c>
      <c r="L5" s="32" t="n">
        <f aca="false">IF(A5="","",IF(COUNTIF(CRM_Interações!$B$5:$B$304,A5)=0,"—",_xlfn.MAXIFS(CRM_Interações!$A$5:$A$304,CRM_Interações!$B$5:$B$304,A5)))</f>
        <v>46305</v>
      </c>
      <c r="M5" s="30" t="n">
        <f aca="false">IF(A5="","",COUNTIF(CRM_Interações!$B$5:$B$304,A5))</f>
        <v>1</v>
      </c>
      <c r="N5" s="28" t="n">
        <f aca="false">IF(A5="","",SUMIFS(Vendas!$J$5:$J$304,Vendas!$G$5:$G$304,A5))</f>
        <v>0</v>
      </c>
      <c r="O5" s="1"/>
    </row>
    <row r="6" customFormat="false" ht="15" hidden="false" customHeight="false" outlineLevel="0" collapsed="false">
      <c r="A6" s="19" t="s">
        <v>180</v>
      </c>
      <c r="B6" s="19" t="s">
        <v>181</v>
      </c>
      <c r="C6" s="19" t="s">
        <v>25</v>
      </c>
      <c r="D6" s="19" t="s">
        <v>182</v>
      </c>
      <c r="E6" s="19" t="s">
        <v>183</v>
      </c>
      <c r="F6" s="19" t="s">
        <v>184</v>
      </c>
      <c r="G6" s="19" t="s">
        <v>185</v>
      </c>
      <c r="H6" s="19" t="s">
        <v>186</v>
      </c>
      <c r="I6" s="19" t="s">
        <v>187</v>
      </c>
      <c r="J6" s="19" t="s">
        <v>155</v>
      </c>
      <c r="K6" s="19" t="s">
        <v>179</v>
      </c>
      <c r="L6" s="32" t="str">
        <f aca="false">IF(A6="","",IF(COUNTIF(CRM_Interações!$B$5:$B$304,A6)=0,"—",_xlfn.MAXIFS(CRM_Interações!$A$5:$A$304,CRM_Interações!$B$5:$B$304,A6)))</f>
        <v>—</v>
      </c>
      <c r="M6" s="30" t="n">
        <f aca="false">IF(A6="","",COUNTIF(CRM_Interações!$B$5:$B$304,A6))</f>
        <v>0</v>
      </c>
      <c r="N6" s="28" t="n">
        <f aca="false">IF(A6="","",SUMIFS(Vendas!$J$5:$J$304,Vendas!$G$5:$G$304,A6))</f>
        <v>1098</v>
      </c>
      <c r="O6" s="1"/>
    </row>
    <row r="7" customFormat="false" ht="15" hidden="false" customHeight="false" outlineLevel="0" collapsed="false">
      <c r="A7" s="19" t="s">
        <v>188</v>
      </c>
      <c r="B7" s="19" t="s">
        <v>189</v>
      </c>
      <c r="C7" s="19" t="s">
        <v>190</v>
      </c>
      <c r="D7" s="19" t="s">
        <v>191</v>
      </c>
      <c r="E7" s="19" t="s">
        <v>192</v>
      </c>
      <c r="F7" s="19" t="s">
        <v>193</v>
      </c>
      <c r="G7" s="1"/>
      <c r="H7" s="19" t="s">
        <v>194</v>
      </c>
      <c r="I7" s="19" t="s">
        <v>195</v>
      </c>
      <c r="J7" s="19" t="s">
        <v>196</v>
      </c>
      <c r="K7" s="19" t="s">
        <v>179</v>
      </c>
      <c r="L7" s="32" t="n">
        <f aca="false">IF(A7="","",IF(COUNTIF(CRM_Interações!$B$5:$B$304,A7)=0,"—",_xlfn.MAXIFS(CRM_Interações!$A$5:$A$304,CRM_Interações!$B$5:$B$304,A7)))</f>
        <v>46309</v>
      </c>
      <c r="M7" s="30" t="n">
        <f aca="false">IF(A7="","",COUNTIF(CRM_Interações!$B$5:$B$304,A7))</f>
        <v>1</v>
      </c>
      <c r="N7" s="28" t="n">
        <f aca="false">IF(A7="","",SUMIFS(Vendas!$J$5:$J$304,Vendas!$G$5:$G$304,A7))</f>
        <v>0</v>
      </c>
      <c r="O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2" t="str">
        <f aca="false">IF(A8="","",IF(COUNTIF(CRM_Interações!$B$5:$B$304,A8)=0,"—",_xlfn.MAXIFS(CRM_Interações!$A$5:$A$304,CRM_Interações!$B$5:$B$304,A8)))</f>
        <v/>
      </c>
      <c r="M8" s="30" t="str">
        <f aca="false">IF(A8="","",COUNTIF(CRM_Interações!$B$5:$B$304,A8))</f>
        <v/>
      </c>
      <c r="N8" s="28" t="str">
        <f aca="false">IF(A8="","",SUMIFS(Vendas!$J$5:$J$304,Vendas!$G$5:$G$304,A8))</f>
        <v/>
      </c>
      <c r="O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32" t="str">
        <f aca="false">IF(A9="","",IF(COUNTIF(CRM_Interações!$B$5:$B$304,A9)=0,"—",_xlfn.MAXIFS(CRM_Interações!$A$5:$A$304,CRM_Interações!$B$5:$B$304,A9)))</f>
        <v/>
      </c>
      <c r="M9" s="30" t="str">
        <f aca="false">IF(A9="","",COUNTIF(CRM_Interações!$B$5:$B$304,A9))</f>
        <v/>
      </c>
      <c r="N9" s="28" t="str">
        <f aca="false">IF(A9="","",SUMIFS(Vendas!$J$5:$J$304,Vendas!$G$5:$G$304,A9))</f>
        <v/>
      </c>
      <c r="O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2" t="str">
        <f aca="false">IF(A10="","",IF(COUNTIF(CRM_Interações!$B$5:$B$304,A10)=0,"—",_xlfn.MAXIFS(CRM_Interações!$A$5:$A$304,CRM_Interações!$B$5:$B$304,A10)))</f>
        <v/>
      </c>
      <c r="M10" s="30" t="str">
        <f aca="false">IF(A10="","",COUNTIF(CRM_Interações!$B$5:$B$304,A10))</f>
        <v/>
      </c>
      <c r="N10" s="28" t="str">
        <f aca="false">IF(A10="","",SUMIFS(Vendas!$J$5:$J$304,Vendas!$G$5:$G$304,A10))</f>
        <v/>
      </c>
      <c r="O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2" t="str">
        <f aca="false">IF(A11="","",IF(COUNTIF(CRM_Interações!$B$5:$B$304,A11)=0,"—",_xlfn.MAXIFS(CRM_Interações!$A$5:$A$304,CRM_Interações!$B$5:$B$304,A11)))</f>
        <v/>
      </c>
      <c r="M11" s="30" t="str">
        <f aca="false">IF(A11="","",COUNTIF(CRM_Interações!$B$5:$B$304,A11))</f>
        <v/>
      </c>
      <c r="N11" s="28" t="str">
        <f aca="false">IF(A11="","",SUMIFS(Vendas!$J$5:$J$304,Vendas!$G$5:$G$304,A11))</f>
        <v/>
      </c>
      <c r="O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32" t="str">
        <f aca="false">IF(A12="","",IF(COUNTIF(CRM_Interações!$B$5:$B$304,A12)=0,"—",_xlfn.MAXIFS(CRM_Interações!$A$5:$A$304,CRM_Interações!$B$5:$B$304,A12)))</f>
        <v/>
      </c>
      <c r="M12" s="30" t="str">
        <f aca="false">IF(A12="","",COUNTIF(CRM_Interações!$B$5:$B$304,A12))</f>
        <v/>
      </c>
      <c r="N12" s="28" t="str">
        <f aca="false">IF(A12="","",SUMIFS(Vendas!$J$5:$J$304,Vendas!$G$5:$G$304,A12))</f>
        <v/>
      </c>
      <c r="O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32" t="str">
        <f aca="false">IF(A13="","",IF(COUNTIF(CRM_Interações!$B$5:$B$304,A13)=0,"—",_xlfn.MAXIFS(CRM_Interações!$A$5:$A$304,CRM_Interações!$B$5:$B$304,A13)))</f>
        <v/>
      </c>
      <c r="M13" s="30" t="str">
        <f aca="false">IF(A13="","",COUNTIF(CRM_Interações!$B$5:$B$304,A13))</f>
        <v/>
      </c>
      <c r="N13" s="28" t="str">
        <f aca="false">IF(A13="","",SUMIFS(Vendas!$J$5:$J$304,Vendas!$G$5:$G$304,A13))</f>
        <v/>
      </c>
      <c r="O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2" t="str">
        <f aca="false">IF(A14="","",IF(COUNTIF(CRM_Interações!$B$5:$B$304,A14)=0,"—",_xlfn.MAXIFS(CRM_Interações!$A$5:$A$304,CRM_Interações!$B$5:$B$304,A14)))</f>
        <v/>
      </c>
      <c r="M14" s="30" t="str">
        <f aca="false">IF(A14="","",COUNTIF(CRM_Interações!$B$5:$B$304,A14))</f>
        <v/>
      </c>
      <c r="N14" s="28" t="str">
        <f aca="false">IF(A14="","",SUMIFS(Vendas!$J$5:$J$304,Vendas!$G$5:$G$304,A14))</f>
        <v/>
      </c>
      <c r="O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32" t="str">
        <f aca="false">IF(A15="","",IF(COUNTIF(CRM_Interações!$B$5:$B$304,A15)=0,"—",_xlfn.MAXIFS(CRM_Interações!$A$5:$A$304,CRM_Interações!$B$5:$B$304,A15)))</f>
        <v/>
      </c>
      <c r="M15" s="30" t="str">
        <f aca="false">IF(A15="","",COUNTIF(CRM_Interações!$B$5:$B$304,A15))</f>
        <v/>
      </c>
      <c r="N15" s="28" t="str">
        <f aca="false">IF(A15="","",SUMIFS(Vendas!$J$5:$J$304,Vendas!$G$5:$G$304,A15))</f>
        <v/>
      </c>
      <c r="O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32" t="str">
        <f aca="false">IF(A16="","",IF(COUNTIF(CRM_Interações!$B$5:$B$304,A16)=0,"—",_xlfn.MAXIFS(CRM_Interações!$A$5:$A$304,CRM_Interações!$B$5:$B$304,A16)))</f>
        <v/>
      </c>
      <c r="M16" s="30" t="str">
        <f aca="false">IF(A16="","",COUNTIF(CRM_Interações!$B$5:$B$304,A16))</f>
        <v/>
      </c>
      <c r="N16" s="28" t="str">
        <f aca="false">IF(A16="","",SUMIFS(Vendas!$J$5:$J$304,Vendas!$G$5:$G$304,A16))</f>
        <v/>
      </c>
      <c r="O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32" t="str">
        <f aca="false">IF(A17="","",IF(COUNTIF(CRM_Interações!$B$5:$B$304,A17)=0,"—",_xlfn.MAXIFS(CRM_Interações!$A$5:$A$304,CRM_Interações!$B$5:$B$304,A17)))</f>
        <v/>
      </c>
      <c r="M17" s="30" t="str">
        <f aca="false">IF(A17="","",COUNTIF(CRM_Interações!$B$5:$B$304,A17))</f>
        <v/>
      </c>
      <c r="N17" s="28" t="str">
        <f aca="false">IF(A17="","",SUMIFS(Vendas!$J$5:$J$304,Vendas!$G$5:$G$304,A17))</f>
        <v/>
      </c>
      <c r="O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32" t="str">
        <f aca="false">IF(A18="","",IF(COUNTIF(CRM_Interações!$B$5:$B$304,A18)=0,"—",_xlfn.MAXIFS(CRM_Interações!$A$5:$A$304,CRM_Interações!$B$5:$B$304,A18)))</f>
        <v/>
      </c>
      <c r="M18" s="30" t="str">
        <f aca="false">IF(A18="","",COUNTIF(CRM_Interações!$B$5:$B$304,A18))</f>
        <v/>
      </c>
      <c r="N18" s="28" t="str">
        <f aca="false">IF(A18="","",SUMIFS(Vendas!$J$5:$J$304,Vendas!$G$5:$G$304,A18))</f>
        <v/>
      </c>
      <c r="O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32" t="str">
        <f aca="false">IF(A19="","",IF(COUNTIF(CRM_Interações!$B$5:$B$304,A19)=0,"—",_xlfn.MAXIFS(CRM_Interações!$A$5:$A$304,CRM_Interações!$B$5:$B$304,A19)))</f>
        <v/>
      </c>
      <c r="M19" s="30" t="str">
        <f aca="false">IF(A19="","",COUNTIF(CRM_Interações!$B$5:$B$304,A19))</f>
        <v/>
      </c>
      <c r="N19" s="28" t="str">
        <f aca="false">IF(A19="","",SUMIFS(Vendas!$J$5:$J$304,Vendas!$G$5:$G$304,A19))</f>
        <v/>
      </c>
      <c r="O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32" t="str">
        <f aca="false">IF(A20="","",IF(COUNTIF(CRM_Interações!$B$5:$B$304,A20)=0,"—",_xlfn.MAXIFS(CRM_Interações!$A$5:$A$304,CRM_Interações!$B$5:$B$304,A20)))</f>
        <v/>
      </c>
      <c r="M20" s="30" t="str">
        <f aca="false">IF(A20="","",COUNTIF(CRM_Interações!$B$5:$B$304,A20))</f>
        <v/>
      </c>
      <c r="N20" s="28" t="str">
        <f aca="false">IF(A20="","",SUMIFS(Vendas!$J$5:$J$304,Vendas!$G$5:$G$304,A20))</f>
        <v/>
      </c>
      <c r="O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2" t="str">
        <f aca="false">IF(A21="","",IF(COUNTIF(CRM_Interações!$B$5:$B$304,A21)=0,"—",_xlfn.MAXIFS(CRM_Interações!$A$5:$A$304,CRM_Interações!$B$5:$B$304,A21)))</f>
        <v/>
      </c>
      <c r="M21" s="30" t="str">
        <f aca="false">IF(A21="","",COUNTIF(CRM_Interações!$B$5:$B$304,A21))</f>
        <v/>
      </c>
      <c r="N21" s="28" t="str">
        <f aca="false">IF(A21="","",SUMIFS(Vendas!$J$5:$J$304,Vendas!$G$5:$G$304,A21))</f>
        <v/>
      </c>
      <c r="O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32" t="str">
        <f aca="false">IF(A22="","",IF(COUNTIF(CRM_Interações!$B$5:$B$304,A22)=0,"—",_xlfn.MAXIFS(CRM_Interações!$A$5:$A$304,CRM_Interações!$B$5:$B$304,A22)))</f>
        <v/>
      </c>
      <c r="M22" s="30" t="str">
        <f aca="false">IF(A22="","",COUNTIF(CRM_Interações!$B$5:$B$304,A22))</f>
        <v/>
      </c>
      <c r="N22" s="28" t="str">
        <f aca="false">IF(A22="","",SUMIFS(Vendas!$J$5:$J$304,Vendas!$G$5:$G$304,A22))</f>
        <v/>
      </c>
      <c r="O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32" t="str">
        <f aca="false">IF(A23="","",IF(COUNTIF(CRM_Interações!$B$5:$B$304,A23)=0,"—",_xlfn.MAXIFS(CRM_Interações!$A$5:$A$304,CRM_Interações!$B$5:$B$304,A23)))</f>
        <v/>
      </c>
      <c r="M23" s="30" t="str">
        <f aca="false">IF(A23="","",COUNTIF(CRM_Interações!$B$5:$B$304,A23))</f>
        <v/>
      </c>
      <c r="N23" s="28" t="str">
        <f aca="false">IF(A23="","",SUMIFS(Vendas!$J$5:$J$304,Vendas!$G$5:$G$304,A23))</f>
        <v/>
      </c>
      <c r="O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32" t="str">
        <f aca="false">IF(A24="","",IF(COUNTIF(CRM_Interações!$B$5:$B$304,A24)=0,"—",_xlfn.MAXIFS(CRM_Interações!$A$5:$A$304,CRM_Interações!$B$5:$B$304,A24)))</f>
        <v/>
      </c>
      <c r="M24" s="30" t="str">
        <f aca="false">IF(A24="","",COUNTIF(CRM_Interações!$B$5:$B$304,A24))</f>
        <v/>
      </c>
      <c r="N24" s="28" t="str">
        <f aca="false">IF(A24="","",SUMIFS(Vendas!$J$5:$J$304,Vendas!$G$5:$G$304,A24))</f>
        <v/>
      </c>
      <c r="O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2" t="str">
        <f aca="false">IF(A25="","",IF(COUNTIF(CRM_Interações!$B$5:$B$304,A25)=0,"—",_xlfn.MAXIFS(CRM_Interações!$A$5:$A$304,CRM_Interações!$B$5:$B$304,A25)))</f>
        <v/>
      </c>
      <c r="M25" s="30" t="str">
        <f aca="false">IF(A25="","",COUNTIF(CRM_Interações!$B$5:$B$304,A25))</f>
        <v/>
      </c>
      <c r="N25" s="28" t="str">
        <f aca="false">IF(A25="","",SUMIFS(Vendas!$J$5:$J$304,Vendas!$G$5:$G$304,A25))</f>
        <v/>
      </c>
      <c r="O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32" t="str">
        <f aca="false">IF(A26="","",IF(COUNTIF(CRM_Interações!$B$5:$B$304,A26)=0,"—",_xlfn.MAXIFS(CRM_Interações!$A$5:$A$304,CRM_Interações!$B$5:$B$304,A26)))</f>
        <v/>
      </c>
      <c r="M26" s="30" t="str">
        <f aca="false">IF(A26="","",COUNTIF(CRM_Interações!$B$5:$B$304,A26))</f>
        <v/>
      </c>
      <c r="N26" s="28" t="str">
        <f aca="false">IF(A26="","",SUMIFS(Vendas!$J$5:$J$304,Vendas!$G$5:$G$304,A26))</f>
        <v/>
      </c>
      <c r="O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32" t="str">
        <f aca="false">IF(A27="","",IF(COUNTIF(CRM_Interações!$B$5:$B$304,A27)=0,"—",_xlfn.MAXIFS(CRM_Interações!$A$5:$A$304,CRM_Interações!$B$5:$B$304,A27)))</f>
        <v/>
      </c>
      <c r="M27" s="30" t="str">
        <f aca="false">IF(A27="","",COUNTIF(CRM_Interações!$B$5:$B$304,A27))</f>
        <v/>
      </c>
      <c r="N27" s="28" t="str">
        <f aca="false">IF(A27="","",SUMIFS(Vendas!$J$5:$J$304,Vendas!$G$5:$G$304,A27))</f>
        <v/>
      </c>
      <c r="O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32" t="str">
        <f aca="false">IF(A28="","",IF(COUNTIF(CRM_Interações!$B$5:$B$304,A28)=0,"—",_xlfn.MAXIFS(CRM_Interações!$A$5:$A$304,CRM_Interações!$B$5:$B$304,A28)))</f>
        <v/>
      </c>
      <c r="M28" s="30" t="str">
        <f aca="false">IF(A28="","",COUNTIF(CRM_Interações!$B$5:$B$304,A28))</f>
        <v/>
      </c>
      <c r="N28" s="28" t="str">
        <f aca="false">IF(A28="","",SUMIFS(Vendas!$J$5:$J$304,Vendas!$G$5:$G$304,A28))</f>
        <v/>
      </c>
      <c r="O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2" t="str">
        <f aca="false">IF(A29="","",IF(COUNTIF(CRM_Interações!$B$5:$B$304,A29)=0,"—",_xlfn.MAXIFS(CRM_Interações!$A$5:$A$304,CRM_Interações!$B$5:$B$304,A29)))</f>
        <v/>
      </c>
      <c r="M29" s="30" t="str">
        <f aca="false">IF(A29="","",COUNTIF(CRM_Interações!$B$5:$B$304,A29))</f>
        <v/>
      </c>
      <c r="N29" s="28" t="str">
        <f aca="false">IF(A29="","",SUMIFS(Vendas!$J$5:$J$304,Vendas!$G$5:$G$304,A29))</f>
        <v/>
      </c>
      <c r="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32" t="str">
        <f aca="false">IF(A30="","",IF(COUNTIF(CRM_Interações!$B$5:$B$304,A30)=0,"—",_xlfn.MAXIFS(CRM_Interações!$A$5:$A$304,CRM_Interações!$B$5:$B$304,A30)))</f>
        <v/>
      </c>
      <c r="M30" s="30" t="str">
        <f aca="false">IF(A30="","",COUNTIF(CRM_Interações!$B$5:$B$304,A30))</f>
        <v/>
      </c>
      <c r="N30" s="28" t="str">
        <f aca="false">IF(A30="","",SUMIFS(Vendas!$J$5:$J$304,Vendas!$G$5:$G$304,A30))</f>
        <v/>
      </c>
      <c r="O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32" t="str">
        <f aca="false">IF(A31="","",IF(COUNTIF(CRM_Interações!$B$5:$B$304,A31)=0,"—",_xlfn.MAXIFS(CRM_Interações!$A$5:$A$304,CRM_Interações!$B$5:$B$304,A31)))</f>
        <v/>
      </c>
      <c r="M31" s="30" t="str">
        <f aca="false">IF(A31="","",COUNTIF(CRM_Interações!$B$5:$B$304,A31))</f>
        <v/>
      </c>
      <c r="N31" s="28" t="str">
        <f aca="false">IF(A31="","",SUMIFS(Vendas!$J$5:$J$304,Vendas!$G$5:$G$304,A31))</f>
        <v/>
      </c>
      <c r="O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32" t="str">
        <f aca="false">IF(A32="","",IF(COUNTIF(CRM_Interações!$B$5:$B$304,A32)=0,"—",_xlfn.MAXIFS(CRM_Interações!$A$5:$A$304,CRM_Interações!$B$5:$B$304,A32)))</f>
        <v/>
      </c>
      <c r="M32" s="30" t="str">
        <f aca="false">IF(A32="","",COUNTIF(CRM_Interações!$B$5:$B$304,A32))</f>
        <v/>
      </c>
      <c r="N32" s="28" t="str">
        <f aca="false">IF(A32="","",SUMIFS(Vendas!$J$5:$J$304,Vendas!$G$5:$G$304,A32))</f>
        <v/>
      </c>
      <c r="O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32" t="str">
        <f aca="false">IF(A33="","",IF(COUNTIF(CRM_Interações!$B$5:$B$304,A33)=0,"—",_xlfn.MAXIFS(CRM_Interações!$A$5:$A$304,CRM_Interações!$B$5:$B$304,A33)))</f>
        <v/>
      </c>
      <c r="M33" s="30" t="str">
        <f aca="false">IF(A33="","",COUNTIF(CRM_Interações!$B$5:$B$304,A33))</f>
        <v/>
      </c>
      <c r="N33" s="28" t="str">
        <f aca="false">IF(A33="","",SUMIFS(Vendas!$J$5:$J$304,Vendas!$G$5:$G$304,A33))</f>
        <v/>
      </c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32" t="str">
        <f aca="false">IF(A34="","",IF(COUNTIF(CRM_Interações!$B$5:$B$304,A34)=0,"—",_xlfn.MAXIFS(CRM_Interações!$A$5:$A$304,CRM_Interações!$B$5:$B$304,A34)))</f>
        <v/>
      </c>
      <c r="M34" s="30" t="str">
        <f aca="false">IF(A34="","",COUNTIF(CRM_Interações!$B$5:$B$304,A34))</f>
        <v/>
      </c>
      <c r="N34" s="28" t="str">
        <f aca="false">IF(A34="","",SUMIFS(Vendas!$J$5:$J$304,Vendas!$G$5:$G$304,A34))</f>
        <v/>
      </c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32" t="str">
        <f aca="false">IF(A35="","",IF(COUNTIF(CRM_Interações!$B$5:$B$304,A35)=0,"—",_xlfn.MAXIFS(CRM_Interações!$A$5:$A$304,CRM_Interações!$B$5:$B$304,A35)))</f>
        <v/>
      </c>
      <c r="M35" s="30" t="str">
        <f aca="false">IF(A35="","",COUNTIF(CRM_Interações!$B$5:$B$304,A35))</f>
        <v/>
      </c>
      <c r="N35" s="28" t="str">
        <f aca="false">IF(A35="","",SUMIFS(Vendas!$J$5:$J$304,Vendas!$G$5:$G$304,A35))</f>
        <v/>
      </c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32" t="str">
        <f aca="false">IF(A36="","",IF(COUNTIF(CRM_Interações!$B$5:$B$304,A36)=0,"—",_xlfn.MAXIFS(CRM_Interações!$A$5:$A$304,CRM_Interações!$B$5:$B$304,A36)))</f>
        <v/>
      </c>
      <c r="M36" s="30" t="str">
        <f aca="false">IF(A36="","",COUNTIF(CRM_Interações!$B$5:$B$304,A36))</f>
        <v/>
      </c>
      <c r="N36" s="28" t="str">
        <f aca="false">IF(A36="","",SUMIFS(Vendas!$J$5:$J$304,Vendas!$G$5:$G$304,A36))</f>
        <v/>
      </c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32" t="str">
        <f aca="false">IF(A37="","",IF(COUNTIF(CRM_Interações!$B$5:$B$304,A37)=0,"—",_xlfn.MAXIFS(CRM_Interações!$A$5:$A$304,CRM_Interações!$B$5:$B$304,A37)))</f>
        <v/>
      </c>
      <c r="M37" s="30" t="str">
        <f aca="false">IF(A37="","",COUNTIF(CRM_Interações!$B$5:$B$304,A37))</f>
        <v/>
      </c>
      <c r="N37" s="28" t="str">
        <f aca="false">IF(A37="","",SUMIFS(Vendas!$J$5:$J$304,Vendas!$G$5:$G$304,A37))</f>
        <v/>
      </c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2" t="str">
        <f aca="false">IF(A38="","",IF(COUNTIF(CRM_Interações!$B$5:$B$304,A38)=0,"—",_xlfn.MAXIFS(CRM_Interações!$A$5:$A$304,CRM_Interações!$B$5:$B$304,A38)))</f>
        <v/>
      </c>
      <c r="M38" s="30" t="str">
        <f aca="false">IF(A38="","",COUNTIF(CRM_Interações!$B$5:$B$304,A38))</f>
        <v/>
      </c>
      <c r="N38" s="28" t="str">
        <f aca="false">IF(A38="","",SUMIFS(Vendas!$J$5:$J$304,Vendas!$G$5:$G$304,A38))</f>
        <v/>
      </c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2" t="str">
        <f aca="false">IF(A39="","",IF(COUNTIF(CRM_Interações!$B$5:$B$304,A39)=0,"—",_xlfn.MAXIFS(CRM_Interações!$A$5:$A$304,CRM_Interações!$B$5:$B$304,A39)))</f>
        <v/>
      </c>
      <c r="M39" s="30" t="str">
        <f aca="false">IF(A39="","",COUNTIF(CRM_Interações!$B$5:$B$304,A39))</f>
        <v/>
      </c>
      <c r="N39" s="28" t="str">
        <f aca="false">IF(A39="","",SUMIFS(Vendas!$J$5:$J$304,Vendas!$G$5:$G$304,A39))</f>
        <v/>
      </c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32" t="str">
        <f aca="false">IF(A40="","",IF(COUNTIF(CRM_Interações!$B$5:$B$304,A40)=0,"—",_xlfn.MAXIFS(CRM_Interações!$A$5:$A$304,CRM_Interações!$B$5:$B$304,A40)))</f>
        <v/>
      </c>
      <c r="M40" s="30" t="str">
        <f aca="false">IF(A40="","",COUNTIF(CRM_Interações!$B$5:$B$304,A40))</f>
        <v/>
      </c>
      <c r="N40" s="28" t="str">
        <f aca="false">IF(A40="","",SUMIFS(Vendas!$J$5:$J$304,Vendas!$G$5:$G$304,A40))</f>
        <v/>
      </c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32" t="str">
        <f aca="false">IF(A41="","",IF(COUNTIF(CRM_Interações!$B$5:$B$304,A41)=0,"—",_xlfn.MAXIFS(CRM_Interações!$A$5:$A$304,CRM_Interações!$B$5:$B$304,A41)))</f>
        <v/>
      </c>
      <c r="M41" s="30" t="str">
        <f aca="false">IF(A41="","",COUNTIF(CRM_Interações!$B$5:$B$304,A41))</f>
        <v/>
      </c>
      <c r="N41" s="28" t="str">
        <f aca="false">IF(A41="","",SUMIFS(Vendas!$J$5:$J$304,Vendas!$G$5:$G$304,A41))</f>
        <v/>
      </c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32" t="str">
        <f aca="false">IF(A42="","",IF(COUNTIF(CRM_Interações!$B$5:$B$304,A42)=0,"—",_xlfn.MAXIFS(CRM_Interações!$A$5:$A$304,CRM_Interações!$B$5:$B$304,A42)))</f>
        <v/>
      </c>
      <c r="M42" s="30" t="str">
        <f aca="false">IF(A42="","",COUNTIF(CRM_Interações!$B$5:$B$304,A42))</f>
        <v/>
      </c>
      <c r="N42" s="28" t="str">
        <f aca="false">IF(A42="","",SUMIFS(Vendas!$J$5:$J$304,Vendas!$G$5:$G$304,A42))</f>
        <v/>
      </c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32" t="str">
        <f aca="false">IF(A43="","",IF(COUNTIF(CRM_Interações!$B$5:$B$304,A43)=0,"—",_xlfn.MAXIFS(CRM_Interações!$A$5:$A$304,CRM_Interações!$B$5:$B$304,A43)))</f>
        <v/>
      </c>
      <c r="M43" s="30" t="str">
        <f aca="false">IF(A43="","",COUNTIF(CRM_Interações!$B$5:$B$304,A43))</f>
        <v/>
      </c>
      <c r="N43" s="28" t="str">
        <f aca="false">IF(A43="","",SUMIFS(Vendas!$J$5:$J$304,Vendas!$G$5:$G$304,A43))</f>
        <v/>
      </c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32" t="str">
        <f aca="false">IF(A44="","",IF(COUNTIF(CRM_Interações!$B$5:$B$304,A44)=0,"—",_xlfn.MAXIFS(CRM_Interações!$A$5:$A$304,CRM_Interações!$B$5:$B$304,A44)))</f>
        <v/>
      </c>
      <c r="M44" s="30" t="str">
        <f aca="false">IF(A44="","",COUNTIF(CRM_Interações!$B$5:$B$304,A44))</f>
        <v/>
      </c>
      <c r="N44" s="28" t="str">
        <f aca="false">IF(A44="","",SUMIFS(Vendas!$J$5:$J$304,Vendas!$G$5:$G$304,A44))</f>
        <v/>
      </c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32" t="str">
        <f aca="false">IF(A45="","",IF(COUNTIF(CRM_Interações!$B$5:$B$304,A45)=0,"—",_xlfn.MAXIFS(CRM_Interações!$A$5:$A$304,CRM_Interações!$B$5:$B$304,A45)))</f>
        <v/>
      </c>
      <c r="M45" s="30" t="str">
        <f aca="false">IF(A45="","",COUNTIF(CRM_Interações!$B$5:$B$304,A45))</f>
        <v/>
      </c>
      <c r="N45" s="28" t="str">
        <f aca="false">IF(A45="","",SUMIFS(Vendas!$J$5:$J$304,Vendas!$G$5:$G$304,A45))</f>
        <v/>
      </c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32" t="str">
        <f aca="false">IF(A46="","",IF(COUNTIF(CRM_Interações!$B$5:$B$304,A46)=0,"—",_xlfn.MAXIFS(CRM_Interações!$A$5:$A$304,CRM_Interações!$B$5:$B$304,A46)))</f>
        <v/>
      </c>
      <c r="M46" s="30" t="str">
        <f aca="false">IF(A46="","",COUNTIF(CRM_Interações!$B$5:$B$304,A46))</f>
        <v/>
      </c>
      <c r="N46" s="28" t="str">
        <f aca="false">IF(A46="","",SUMIFS(Vendas!$J$5:$J$304,Vendas!$G$5:$G$304,A46))</f>
        <v/>
      </c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32" t="str">
        <f aca="false">IF(A47="","",IF(COUNTIF(CRM_Interações!$B$5:$B$304,A47)=0,"—",_xlfn.MAXIFS(CRM_Interações!$A$5:$A$304,CRM_Interações!$B$5:$B$304,A47)))</f>
        <v/>
      </c>
      <c r="M47" s="30" t="str">
        <f aca="false">IF(A47="","",COUNTIF(CRM_Interações!$B$5:$B$304,A47))</f>
        <v/>
      </c>
      <c r="N47" s="28" t="str">
        <f aca="false">IF(A47="","",SUMIFS(Vendas!$J$5:$J$304,Vendas!$G$5:$G$304,A47))</f>
        <v/>
      </c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32" t="str">
        <f aca="false">IF(A48="","",IF(COUNTIF(CRM_Interações!$B$5:$B$304,A48)=0,"—",_xlfn.MAXIFS(CRM_Interações!$A$5:$A$304,CRM_Interações!$B$5:$B$304,A48)))</f>
        <v/>
      </c>
      <c r="M48" s="30" t="str">
        <f aca="false">IF(A48="","",COUNTIF(CRM_Interações!$B$5:$B$304,A48))</f>
        <v/>
      </c>
      <c r="N48" s="28" t="str">
        <f aca="false">IF(A48="","",SUMIFS(Vendas!$J$5:$J$304,Vendas!$G$5:$G$304,A48))</f>
        <v/>
      </c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2" t="str">
        <f aca="false">IF(A49="","",IF(COUNTIF(CRM_Interações!$B$5:$B$304,A49)=0,"—",_xlfn.MAXIFS(CRM_Interações!$A$5:$A$304,CRM_Interações!$B$5:$B$304,A49)))</f>
        <v/>
      </c>
      <c r="M49" s="30" t="str">
        <f aca="false">IF(A49="","",COUNTIF(CRM_Interações!$B$5:$B$304,A49))</f>
        <v/>
      </c>
      <c r="N49" s="28" t="str">
        <f aca="false">IF(A49="","",SUMIFS(Vendas!$J$5:$J$304,Vendas!$G$5:$G$304,A49))</f>
        <v/>
      </c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32" t="str">
        <f aca="false">IF(A50="","",IF(COUNTIF(CRM_Interações!$B$5:$B$304,A50)=0,"—",_xlfn.MAXIFS(CRM_Interações!$A$5:$A$304,CRM_Interações!$B$5:$B$304,A50)))</f>
        <v/>
      </c>
      <c r="M50" s="30" t="str">
        <f aca="false">IF(A50="","",COUNTIF(CRM_Interações!$B$5:$B$304,A50))</f>
        <v/>
      </c>
      <c r="N50" s="28" t="str">
        <f aca="false">IF(A50="","",SUMIFS(Vendas!$J$5:$J$304,Vendas!$G$5:$G$304,A50))</f>
        <v/>
      </c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32" t="str">
        <f aca="false">IF(A51="","",IF(COUNTIF(CRM_Interações!$B$5:$B$304,A51)=0,"—",_xlfn.MAXIFS(CRM_Interações!$A$5:$A$304,CRM_Interações!$B$5:$B$304,A51)))</f>
        <v/>
      </c>
      <c r="M51" s="30" t="str">
        <f aca="false">IF(A51="","",COUNTIF(CRM_Interações!$B$5:$B$304,A51))</f>
        <v/>
      </c>
      <c r="N51" s="28" t="str">
        <f aca="false">IF(A51="","",SUMIFS(Vendas!$J$5:$J$304,Vendas!$G$5:$G$304,A51))</f>
        <v/>
      </c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32" t="str">
        <f aca="false">IF(A52="","",IF(COUNTIF(CRM_Interações!$B$5:$B$304,A52)=0,"—",_xlfn.MAXIFS(CRM_Interações!$A$5:$A$304,CRM_Interações!$B$5:$B$304,A52)))</f>
        <v/>
      </c>
      <c r="M52" s="30" t="str">
        <f aca="false">IF(A52="","",COUNTIF(CRM_Interações!$B$5:$B$304,A52))</f>
        <v/>
      </c>
      <c r="N52" s="28" t="str">
        <f aca="false">IF(A52="","",SUMIFS(Vendas!$J$5:$J$304,Vendas!$G$5:$G$304,A52))</f>
        <v/>
      </c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32" t="str">
        <f aca="false">IF(A53="","",IF(COUNTIF(CRM_Interações!$B$5:$B$304,A53)=0,"—",_xlfn.MAXIFS(CRM_Interações!$A$5:$A$304,CRM_Interações!$B$5:$B$304,A53)))</f>
        <v/>
      </c>
      <c r="M53" s="30" t="str">
        <f aca="false">IF(A53="","",COUNTIF(CRM_Interações!$B$5:$B$304,A53))</f>
        <v/>
      </c>
      <c r="N53" s="28" t="str">
        <f aca="false">IF(A53="","",SUMIFS(Vendas!$J$5:$J$304,Vendas!$G$5:$G$304,A53))</f>
        <v/>
      </c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32" t="str">
        <f aca="false">IF(A54="","",IF(COUNTIF(CRM_Interações!$B$5:$B$304,A54)=0,"—",_xlfn.MAXIFS(CRM_Interações!$A$5:$A$304,CRM_Interações!$B$5:$B$304,A54)))</f>
        <v/>
      </c>
      <c r="M54" s="30" t="str">
        <f aca="false">IF(A54="","",COUNTIF(CRM_Interações!$B$5:$B$304,A54))</f>
        <v/>
      </c>
      <c r="N54" s="28" t="str">
        <f aca="false">IF(A54="","",SUMIFS(Vendas!$J$5:$J$304,Vendas!$G$5:$G$304,A54))</f>
        <v/>
      </c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32" t="str">
        <f aca="false">IF(A55="","",IF(COUNTIF(CRM_Interações!$B$5:$B$304,A55)=0,"—",_xlfn.MAXIFS(CRM_Interações!$A$5:$A$304,CRM_Interações!$B$5:$B$304,A55)))</f>
        <v/>
      </c>
      <c r="M55" s="30" t="str">
        <f aca="false">IF(A55="","",COUNTIF(CRM_Interações!$B$5:$B$304,A55))</f>
        <v/>
      </c>
      <c r="N55" s="28" t="str">
        <f aca="false">IF(A55="","",SUMIFS(Vendas!$J$5:$J$304,Vendas!$G$5:$G$304,A55))</f>
        <v/>
      </c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32" t="str">
        <f aca="false">IF(A56="","",IF(COUNTIF(CRM_Interações!$B$5:$B$304,A56)=0,"—",_xlfn.MAXIFS(CRM_Interações!$A$5:$A$304,CRM_Interações!$B$5:$B$304,A56)))</f>
        <v/>
      </c>
      <c r="M56" s="30" t="str">
        <f aca="false">IF(A56="","",COUNTIF(CRM_Interações!$B$5:$B$304,A56))</f>
        <v/>
      </c>
      <c r="N56" s="28" t="str">
        <f aca="false">IF(A56="","",SUMIFS(Vendas!$J$5:$J$304,Vendas!$G$5:$G$304,A56))</f>
        <v/>
      </c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32" t="str">
        <f aca="false">IF(A57="","",IF(COUNTIF(CRM_Interações!$B$5:$B$304,A57)=0,"—",_xlfn.MAXIFS(CRM_Interações!$A$5:$A$304,CRM_Interações!$B$5:$B$304,A57)))</f>
        <v/>
      </c>
      <c r="M57" s="30" t="str">
        <f aca="false">IF(A57="","",COUNTIF(CRM_Interações!$B$5:$B$304,A57))</f>
        <v/>
      </c>
      <c r="N57" s="28" t="str">
        <f aca="false">IF(A57="","",SUMIFS(Vendas!$J$5:$J$304,Vendas!$G$5:$G$304,A57))</f>
        <v/>
      </c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2" t="str">
        <f aca="false">IF(A58="","",IF(COUNTIF(CRM_Interações!$B$5:$B$304,A58)=0,"—",_xlfn.MAXIFS(CRM_Interações!$A$5:$A$304,CRM_Interações!$B$5:$B$304,A58)))</f>
        <v/>
      </c>
      <c r="M58" s="30" t="str">
        <f aca="false">IF(A58="","",COUNTIF(CRM_Interações!$B$5:$B$304,A58))</f>
        <v/>
      </c>
      <c r="N58" s="28" t="str">
        <f aca="false">IF(A58="","",SUMIFS(Vendas!$J$5:$J$304,Vendas!$G$5:$G$304,A58))</f>
        <v/>
      </c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2" t="str">
        <f aca="false">IF(A59="","",IF(COUNTIF(CRM_Interações!$B$5:$B$304,A59)=0,"—",_xlfn.MAXIFS(CRM_Interações!$A$5:$A$304,CRM_Interações!$B$5:$B$304,A59)))</f>
        <v/>
      </c>
      <c r="M59" s="30" t="str">
        <f aca="false">IF(A59="","",COUNTIF(CRM_Interações!$B$5:$B$304,A59))</f>
        <v/>
      </c>
      <c r="N59" s="28" t="str">
        <f aca="false">IF(A59="","",SUMIFS(Vendas!$J$5:$J$304,Vendas!$G$5:$G$304,A59))</f>
        <v/>
      </c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32" t="str">
        <f aca="false">IF(A60="","",IF(COUNTIF(CRM_Interações!$B$5:$B$304,A60)=0,"—",_xlfn.MAXIFS(CRM_Interações!$A$5:$A$304,CRM_Interações!$B$5:$B$304,A60)))</f>
        <v/>
      </c>
      <c r="M60" s="30" t="str">
        <f aca="false">IF(A60="","",COUNTIF(CRM_Interações!$B$5:$B$304,A60))</f>
        <v/>
      </c>
      <c r="N60" s="28" t="str">
        <f aca="false">IF(A60="","",SUMIFS(Vendas!$J$5:$J$304,Vendas!$G$5:$G$304,A60))</f>
        <v/>
      </c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2" t="str">
        <f aca="false">IF(A61="","",IF(COUNTIF(CRM_Interações!$B$5:$B$304,A61)=0,"—",_xlfn.MAXIFS(CRM_Interações!$A$5:$A$304,CRM_Interações!$B$5:$B$304,A61)))</f>
        <v/>
      </c>
      <c r="M61" s="30" t="str">
        <f aca="false">IF(A61="","",COUNTIF(CRM_Interações!$B$5:$B$304,A61))</f>
        <v/>
      </c>
      <c r="N61" s="28" t="str">
        <f aca="false">IF(A61="","",SUMIFS(Vendas!$J$5:$J$304,Vendas!$G$5:$G$304,A61))</f>
        <v/>
      </c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2" t="str">
        <f aca="false">IF(A62="","",IF(COUNTIF(CRM_Interações!$B$5:$B$304,A62)=0,"—",_xlfn.MAXIFS(CRM_Interações!$A$5:$A$304,CRM_Interações!$B$5:$B$304,A62)))</f>
        <v/>
      </c>
      <c r="M62" s="30" t="str">
        <f aca="false">IF(A62="","",COUNTIF(CRM_Interações!$B$5:$B$304,A62))</f>
        <v/>
      </c>
      <c r="N62" s="28" t="str">
        <f aca="false">IF(A62="","",SUMIFS(Vendas!$J$5:$J$304,Vendas!$G$5:$G$304,A62))</f>
        <v/>
      </c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2" t="str">
        <f aca="false">IF(A63="","",IF(COUNTIF(CRM_Interações!$B$5:$B$304,A63)=0,"—",_xlfn.MAXIFS(CRM_Interações!$A$5:$A$304,CRM_Interações!$B$5:$B$304,A63)))</f>
        <v/>
      </c>
      <c r="M63" s="30" t="str">
        <f aca="false">IF(A63="","",COUNTIF(CRM_Interações!$B$5:$B$304,A63))</f>
        <v/>
      </c>
      <c r="N63" s="28" t="str">
        <f aca="false">IF(A63="","",SUMIFS(Vendas!$J$5:$J$304,Vendas!$G$5:$G$304,A63))</f>
        <v/>
      </c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2" t="str">
        <f aca="false">IF(A64="","",IF(COUNTIF(CRM_Interações!$B$5:$B$304,A64)=0,"—",_xlfn.MAXIFS(CRM_Interações!$A$5:$A$304,CRM_Interações!$B$5:$B$304,A64)))</f>
        <v/>
      </c>
      <c r="M64" s="30" t="str">
        <f aca="false">IF(A64="","",COUNTIF(CRM_Interações!$B$5:$B$304,A64))</f>
        <v/>
      </c>
      <c r="N64" s="28" t="str">
        <f aca="false">IF(A64="","",SUMIFS(Vendas!$J$5:$J$304,Vendas!$G$5:$G$304,A64))</f>
        <v/>
      </c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2" t="str">
        <f aca="false">IF(A65="","",IF(COUNTIF(CRM_Interações!$B$5:$B$304,A65)=0,"—",_xlfn.MAXIFS(CRM_Interações!$A$5:$A$304,CRM_Interações!$B$5:$B$304,A65)))</f>
        <v/>
      </c>
      <c r="M65" s="30" t="str">
        <f aca="false">IF(A65="","",COUNTIF(CRM_Interações!$B$5:$B$304,A65))</f>
        <v/>
      </c>
      <c r="N65" s="28" t="str">
        <f aca="false">IF(A65="","",SUMIFS(Vendas!$J$5:$J$304,Vendas!$G$5:$G$304,A65))</f>
        <v/>
      </c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2" t="str">
        <f aca="false">IF(A66="","",IF(COUNTIF(CRM_Interações!$B$5:$B$304,A66)=0,"—",_xlfn.MAXIFS(CRM_Interações!$A$5:$A$304,CRM_Interações!$B$5:$B$304,A66)))</f>
        <v/>
      </c>
      <c r="M66" s="30" t="str">
        <f aca="false">IF(A66="","",COUNTIF(CRM_Interações!$B$5:$B$304,A66))</f>
        <v/>
      </c>
      <c r="N66" s="28" t="str">
        <f aca="false">IF(A66="","",SUMIFS(Vendas!$J$5:$J$304,Vendas!$G$5:$G$304,A66))</f>
        <v/>
      </c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2" t="str">
        <f aca="false">IF(A67="","",IF(COUNTIF(CRM_Interações!$B$5:$B$304,A67)=0,"—",_xlfn.MAXIFS(CRM_Interações!$A$5:$A$304,CRM_Interações!$B$5:$B$304,A67)))</f>
        <v/>
      </c>
      <c r="M67" s="30" t="str">
        <f aca="false">IF(A67="","",COUNTIF(CRM_Interações!$B$5:$B$304,A67))</f>
        <v/>
      </c>
      <c r="N67" s="28" t="str">
        <f aca="false">IF(A67="","",SUMIFS(Vendas!$J$5:$J$304,Vendas!$G$5:$G$304,A67))</f>
        <v/>
      </c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2" t="str">
        <f aca="false">IF(A68="","",IF(COUNTIF(CRM_Interações!$B$5:$B$304,A68)=0,"—",_xlfn.MAXIFS(CRM_Interações!$A$5:$A$304,CRM_Interações!$B$5:$B$304,A68)))</f>
        <v/>
      </c>
      <c r="M68" s="30" t="str">
        <f aca="false">IF(A68="","",COUNTIF(CRM_Interações!$B$5:$B$304,A68))</f>
        <v/>
      </c>
      <c r="N68" s="28" t="str">
        <f aca="false">IF(A68="","",SUMIFS(Vendas!$J$5:$J$304,Vendas!$G$5:$G$304,A68))</f>
        <v/>
      </c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2" t="str">
        <f aca="false">IF(A69="","",IF(COUNTIF(CRM_Interações!$B$5:$B$304,A69)=0,"—",_xlfn.MAXIFS(CRM_Interações!$A$5:$A$304,CRM_Interações!$B$5:$B$304,A69)))</f>
        <v/>
      </c>
      <c r="M69" s="30" t="str">
        <f aca="false">IF(A69="","",COUNTIF(CRM_Interações!$B$5:$B$304,A69))</f>
        <v/>
      </c>
      <c r="N69" s="28" t="str">
        <f aca="false">IF(A69="","",SUMIFS(Vendas!$J$5:$J$304,Vendas!$G$5:$G$304,A69))</f>
        <v/>
      </c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2" t="str">
        <f aca="false">IF(A70="","",IF(COUNTIF(CRM_Interações!$B$5:$B$304,A70)=0,"—",_xlfn.MAXIFS(CRM_Interações!$A$5:$A$304,CRM_Interações!$B$5:$B$304,A70)))</f>
        <v/>
      </c>
      <c r="M70" s="30" t="str">
        <f aca="false">IF(A70="","",COUNTIF(CRM_Interações!$B$5:$B$304,A70))</f>
        <v/>
      </c>
      <c r="N70" s="28" t="str">
        <f aca="false">IF(A70="","",SUMIFS(Vendas!$J$5:$J$304,Vendas!$G$5:$G$304,A70))</f>
        <v/>
      </c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2" t="str">
        <f aca="false">IF(A71="","",IF(COUNTIF(CRM_Interações!$B$5:$B$304,A71)=0,"—",_xlfn.MAXIFS(CRM_Interações!$A$5:$A$304,CRM_Interações!$B$5:$B$304,A71)))</f>
        <v/>
      </c>
      <c r="M71" s="30" t="str">
        <f aca="false">IF(A71="","",COUNTIF(CRM_Interações!$B$5:$B$304,A71))</f>
        <v/>
      </c>
      <c r="N71" s="28" t="str">
        <f aca="false">IF(A71="","",SUMIFS(Vendas!$J$5:$J$304,Vendas!$G$5:$G$304,A71))</f>
        <v/>
      </c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32" t="str">
        <f aca="false">IF(A72="","",IF(COUNTIF(CRM_Interações!$B$5:$B$304,A72)=0,"—",_xlfn.MAXIFS(CRM_Interações!$A$5:$A$304,CRM_Interações!$B$5:$B$304,A72)))</f>
        <v/>
      </c>
      <c r="M72" s="30" t="str">
        <f aca="false">IF(A72="","",COUNTIF(CRM_Interações!$B$5:$B$304,A72))</f>
        <v/>
      </c>
      <c r="N72" s="28" t="str">
        <f aca="false">IF(A72="","",SUMIFS(Vendas!$J$5:$J$304,Vendas!$G$5:$G$304,A72))</f>
        <v/>
      </c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2" t="str">
        <f aca="false">IF(A73="","",IF(COUNTIF(CRM_Interações!$B$5:$B$304,A73)=0,"—",_xlfn.MAXIFS(CRM_Interações!$A$5:$A$304,CRM_Interações!$B$5:$B$304,A73)))</f>
        <v/>
      </c>
      <c r="M73" s="30" t="str">
        <f aca="false">IF(A73="","",COUNTIF(CRM_Interações!$B$5:$B$304,A73))</f>
        <v/>
      </c>
      <c r="N73" s="28" t="str">
        <f aca="false">IF(A73="","",SUMIFS(Vendas!$J$5:$J$304,Vendas!$G$5:$G$304,A73))</f>
        <v/>
      </c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2" t="str">
        <f aca="false">IF(A74="","",IF(COUNTIF(CRM_Interações!$B$5:$B$304,A74)=0,"—",_xlfn.MAXIFS(CRM_Interações!$A$5:$A$304,CRM_Interações!$B$5:$B$304,A74)))</f>
        <v/>
      </c>
      <c r="M74" s="30" t="str">
        <f aca="false">IF(A74="","",COUNTIF(CRM_Interações!$B$5:$B$304,A74))</f>
        <v/>
      </c>
      <c r="N74" s="28" t="str">
        <f aca="false">IF(A74="","",SUMIFS(Vendas!$J$5:$J$304,Vendas!$G$5:$G$304,A74))</f>
        <v/>
      </c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2" t="str">
        <f aca="false">IF(A75="","",IF(COUNTIF(CRM_Interações!$B$5:$B$304,A75)=0,"—",_xlfn.MAXIFS(CRM_Interações!$A$5:$A$304,CRM_Interações!$B$5:$B$304,A75)))</f>
        <v/>
      </c>
      <c r="M75" s="30" t="str">
        <f aca="false">IF(A75="","",COUNTIF(CRM_Interações!$B$5:$B$304,A75))</f>
        <v/>
      </c>
      <c r="N75" s="28" t="str">
        <f aca="false">IF(A75="","",SUMIFS(Vendas!$J$5:$J$304,Vendas!$G$5:$G$304,A75))</f>
        <v/>
      </c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2" t="str">
        <f aca="false">IF(A76="","",IF(COUNTIF(CRM_Interações!$B$5:$B$304,A76)=0,"—",_xlfn.MAXIFS(CRM_Interações!$A$5:$A$304,CRM_Interações!$B$5:$B$304,A76)))</f>
        <v/>
      </c>
      <c r="M76" s="30" t="str">
        <f aca="false">IF(A76="","",COUNTIF(CRM_Interações!$B$5:$B$304,A76))</f>
        <v/>
      </c>
      <c r="N76" s="28" t="str">
        <f aca="false">IF(A76="","",SUMIFS(Vendas!$J$5:$J$304,Vendas!$G$5:$G$304,A76))</f>
        <v/>
      </c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2" t="str">
        <f aca="false">IF(A77="","",IF(COUNTIF(CRM_Interações!$B$5:$B$304,A77)=0,"—",_xlfn.MAXIFS(CRM_Interações!$A$5:$A$304,CRM_Interações!$B$5:$B$304,A77)))</f>
        <v/>
      </c>
      <c r="M77" s="30" t="str">
        <f aca="false">IF(A77="","",COUNTIF(CRM_Interações!$B$5:$B$304,A77))</f>
        <v/>
      </c>
      <c r="N77" s="28" t="str">
        <f aca="false">IF(A77="","",SUMIFS(Vendas!$J$5:$J$304,Vendas!$G$5:$G$304,A77))</f>
        <v/>
      </c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32" t="str">
        <f aca="false">IF(A78="","",IF(COUNTIF(CRM_Interações!$B$5:$B$304,A78)=0,"—",_xlfn.MAXIFS(CRM_Interações!$A$5:$A$304,CRM_Interações!$B$5:$B$304,A78)))</f>
        <v/>
      </c>
      <c r="M78" s="30" t="str">
        <f aca="false">IF(A78="","",COUNTIF(CRM_Interações!$B$5:$B$304,A78))</f>
        <v/>
      </c>
      <c r="N78" s="28" t="str">
        <f aca="false">IF(A78="","",SUMIFS(Vendas!$J$5:$J$304,Vendas!$G$5:$G$304,A78))</f>
        <v/>
      </c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2" t="str">
        <f aca="false">IF(A79="","",IF(COUNTIF(CRM_Interações!$B$5:$B$304,A79)=0,"—",_xlfn.MAXIFS(CRM_Interações!$A$5:$A$304,CRM_Interações!$B$5:$B$304,A79)))</f>
        <v/>
      </c>
      <c r="M79" s="30" t="str">
        <f aca="false">IF(A79="","",COUNTIF(CRM_Interações!$B$5:$B$304,A79))</f>
        <v/>
      </c>
      <c r="N79" s="28" t="str">
        <f aca="false">IF(A79="","",SUMIFS(Vendas!$J$5:$J$304,Vendas!$G$5:$G$304,A79))</f>
        <v/>
      </c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2" t="str">
        <f aca="false">IF(A80="","",IF(COUNTIF(CRM_Interações!$B$5:$B$304,A80)=0,"—",_xlfn.MAXIFS(CRM_Interações!$A$5:$A$304,CRM_Interações!$B$5:$B$304,A80)))</f>
        <v/>
      </c>
      <c r="M80" s="30" t="str">
        <f aca="false">IF(A80="","",COUNTIF(CRM_Interações!$B$5:$B$304,A80))</f>
        <v/>
      </c>
      <c r="N80" s="28" t="str">
        <f aca="false">IF(A80="","",SUMIFS(Vendas!$J$5:$J$304,Vendas!$G$5:$G$304,A80))</f>
        <v/>
      </c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32" t="str">
        <f aca="false">IF(A81="","",IF(COUNTIF(CRM_Interações!$B$5:$B$304,A81)=0,"—",_xlfn.MAXIFS(CRM_Interações!$A$5:$A$304,CRM_Interações!$B$5:$B$304,A81)))</f>
        <v/>
      </c>
      <c r="M81" s="30" t="str">
        <f aca="false">IF(A81="","",COUNTIF(CRM_Interações!$B$5:$B$304,A81))</f>
        <v/>
      </c>
      <c r="N81" s="28" t="str">
        <f aca="false">IF(A81="","",SUMIFS(Vendas!$J$5:$J$304,Vendas!$G$5:$G$304,A81))</f>
        <v/>
      </c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32" t="str">
        <f aca="false">IF(A82="","",IF(COUNTIF(CRM_Interações!$B$5:$B$304,A82)=0,"—",_xlfn.MAXIFS(CRM_Interações!$A$5:$A$304,CRM_Interações!$B$5:$B$304,A82)))</f>
        <v/>
      </c>
      <c r="M82" s="30" t="str">
        <f aca="false">IF(A82="","",COUNTIF(CRM_Interações!$B$5:$B$304,A82))</f>
        <v/>
      </c>
      <c r="N82" s="28" t="str">
        <f aca="false">IF(A82="","",SUMIFS(Vendas!$J$5:$J$304,Vendas!$G$5:$G$304,A82))</f>
        <v/>
      </c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32" t="str">
        <f aca="false">IF(A83="","",IF(COUNTIF(CRM_Interações!$B$5:$B$304,A83)=0,"—",_xlfn.MAXIFS(CRM_Interações!$A$5:$A$304,CRM_Interações!$B$5:$B$304,A83)))</f>
        <v/>
      </c>
      <c r="M83" s="30" t="str">
        <f aca="false">IF(A83="","",COUNTIF(CRM_Interações!$B$5:$B$304,A83))</f>
        <v/>
      </c>
      <c r="N83" s="28" t="str">
        <f aca="false">IF(A83="","",SUMIFS(Vendas!$J$5:$J$304,Vendas!$G$5:$G$304,A83))</f>
        <v/>
      </c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32" t="str">
        <f aca="false">IF(A84="","",IF(COUNTIF(CRM_Interações!$B$5:$B$304,A84)=0,"—",_xlfn.MAXIFS(CRM_Interações!$A$5:$A$304,CRM_Interações!$B$5:$B$304,A84)))</f>
        <v/>
      </c>
      <c r="M84" s="30" t="str">
        <f aca="false">IF(A84="","",COUNTIF(CRM_Interações!$B$5:$B$304,A84))</f>
        <v/>
      </c>
      <c r="N84" s="28" t="str">
        <f aca="false">IF(A84="","",SUMIFS(Vendas!$J$5:$J$304,Vendas!$G$5:$G$304,A84))</f>
        <v/>
      </c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32" t="str">
        <f aca="false">IF(A85="","",IF(COUNTIF(CRM_Interações!$B$5:$B$304,A85)=0,"—",_xlfn.MAXIFS(CRM_Interações!$A$5:$A$304,CRM_Interações!$B$5:$B$304,A85)))</f>
        <v/>
      </c>
      <c r="M85" s="30" t="str">
        <f aca="false">IF(A85="","",COUNTIF(CRM_Interações!$B$5:$B$304,A85))</f>
        <v/>
      </c>
      <c r="N85" s="28" t="str">
        <f aca="false">IF(A85="","",SUMIFS(Vendas!$J$5:$J$304,Vendas!$G$5:$G$304,A85))</f>
        <v/>
      </c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32" t="str">
        <f aca="false">IF(A86="","",IF(COUNTIF(CRM_Interações!$B$5:$B$304,A86)=0,"—",_xlfn.MAXIFS(CRM_Interações!$A$5:$A$304,CRM_Interações!$B$5:$B$304,A86)))</f>
        <v/>
      </c>
      <c r="M86" s="30" t="str">
        <f aca="false">IF(A86="","",COUNTIF(CRM_Interações!$B$5:$B$304,A86))</f>
        <v/>
      </c>
      <c r="N86" s="28" t="str">
        <f aca="false">IF(A86="","",SUMIFS(Vendas!$J$5:$J$304,Vendas!$G$5:$G$304,A86))</f>
        <v/>
      </c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32" t="str">
        <f aca="false">IF(A87="","",IF(COUNTIF(CRM_Interações!$B$5:$B$304,A87)=0,"—",_xlfn.MAXIFS(CRM_Interações!$A$5:$A$304,CRM_Interações!$B$5:$B$304,A87)))</f>
        <v/>
      </c>
      <c r="M87" s="30" t="str">
        <f aca="false">IF(A87="","",COUNTIF(CRM_Interações!$B$5:$B$304,A87))</f>
        <v/>
      </c>
      <c r="N87" s="28" t="str">
        <f aca="false">IF(A87="","",SUMIFS(Vendas!$J$5:$J$304,Vendas!$G$5:$G$304,A87))</f>
        <v/>
      </c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32" t="str">
        <f aca="false">IF(A88="","",IF(COUNTIF(CRM_Interações!$B$5:$B$304,A88)=0,"—",_xlfn.MAXIFS(CRM_Interações!$A$5:$A$304,CRM_Interações!$B$5:$B$304,A88)))</f>
        <v/>
      </c>
      <c r="M88" s="30" t="str">
        <f aca="false">IF(A88="","",COUNTIF(CRM_Interações!$B$5:$B$304,A88))</f>
        <v/>
      </c>
      <c r="N88" s="28" t="str">
        <f aca="false">IF(A88="","",SUMIFS(Vendas!$J$5:$J$304,Vendas!$G$5:$G$304,A88))</f>
        <v/>
      </c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32" t="str">
        <f aca="false">IF(A89="","",IF(COUNTIF(CRM_Interações!$B$5:$B$304,A89)=0,"—",_xlfn.MAXIFS(CRM_Interações!$A$5:$A$304,CRM_Interações!$B$5:$B$304,A89)))</f>
        <v/>
      </c>
      <c r="M89" s="30" t="str">
        <f aca="false">IF(A89="","",COUNTIF(CRM_Interações!$B$5:$B$304,A89))</f>
        <v/>
      </c>
      <c r="N89" s="28" t="str">
        <f aca="false">IF(A89="","",SUMIFS(Vendas!$J$5:$J$304,Vendas!$G$5:$G$304,A89))</f>
        <v/>
      </c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32" t="str">
        <f aca="false">IF(A90="","",IF(COUNTIF(CRM_Interações!$B$5:$B$304,A90)=0,"—",_xlfn.MAXIFS(CRM_Interações!$A$5:$A$304,CRM_Interações!$B$5:$B$304,A90)))</f>
        <v/>
      </c>
      <c r="M90" s="30" t="str">
        <f aca="false">IF(A90="","",COUNTIF(CRM_Interações!$B$5:$B$304,A90))</f>
        <v/>
      </c>
      <c r="N90" s="28" t="str">
        <f aca="false">IF(A90="","",SUMIFS(Vendas!$J$5:$J$304,Vendas!$G$5:$G$304,A90))</f>
        <v/>
      </c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2" t="str">
        <f aca="false">IF(A91="","",IF(COUNTIF(CRM_Interações!$B$5:$B$304,A91)=0,"—",_xlfn.MAXIFS(CRM_Interações!$A$5:$A$304,CRM_Interações!$B$5:$B$304,A91)))</f>
        <v/>
      </c>
      <c r="M91" s="30" t="str">
        <f aca="false">IF(A91="","",COUNTIF(CRM_Interações!$B$5:$B$304,A91))</f>
        <v/>
      </c>
      <c r="N91" s="28" t="str">
        <f aca="false">IF(A91="","",SUMIFS(Vendas!$J$5:$J$304,Vendas!$G$5:$G$304,A91))</f>
        <v/>
      </c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2" t="str">
        <f aca="false">IF(A92="","",IF(COUNTIF(CRM_Interações!$B$5:$B$304,A92)=0,"—",_xlfn.MAXIFS(CRM_Interações!$A$5:$A$304,CRM_Interações!$B$5:$B$304,A92)))</f>
        <v/>
      </c>
      <c r="M92" s="30" t="str">
        <f aca="false">IF(A92="","",COUNTIF(CRM_Interações!$B$5:$B$304,A92))</f>
        <v/>
      </c>
      <c r="N92" s="28" t="str">
        <f aca="false">IF(A92="","",SUMIFS(Vendas!$J$5:$J$304,Vendas!$G$5:$G$304,A92))</f>
        <v/>
      </c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2" t="str">
        <f aca="false">IF(A93="","",IF(COUNTIF(CRM_Interações!$B$5:$B$304,A93)=0,"—",_xlfn.MAXIFS(CRM_Interações!$A$5:$A$304,CRM_Interações!$B$5:$B$304,A93)))</f>
        <v/>
      </c>
      <c r="M93" s="30" t="str">
        <f aca="false">IF(A93="","",COUNTIF(CRM_Interações!$B$5:$B$304,A93))</f>
        <v/>
      </c>
      <c r="N93" s="28" t="str">
        <f aca="false">IF(A93="","",SUMIFS(Vendas!$J$5:$J$304,Vendas!$G$5:$G$304,A93))</f>
        <v/>
      </c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2" t="str">
        <f aca="false">IF(A94="","",IF(COUNTIF(CRM_Interações!$B$5:$B$304,A94)=0,"—",_xlfn.MAXIFS(CRM_Interações!$A$5:$A$304,CRM_Interações!$B$5:$B$304,A94)))</f>
        <v/>
      </c>
      <c r="M94" s="30" t="str">
        <f aca="false">IF(A94="","",COUNTIF(CRM_Interações!$B$5:$B$304,A94))</f>
        <v/>
      </c>
      <c r="N94" s="28" t="str">
        <f aca="false">IF(A94="","",SUMIFS(Vendas!$J$5:$J$304,Vendas!$G$5:$G$304,A94))</f>
        <v/>
      </c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2" t="str">
        <f aca="false">IF(A95="","",IF(COUNTIF(CRM_Interações!$B$5:$B$304,A95)=0,"—",_xlfn.MAXIFS(CRM_Interações!$A$5:$A$304,CRM_Interações!$B$5:$B$304,A95)))</f>
        <v/>
      </c>
      <c r="M95" s="30" t="str">
        <f aca="false">IF(A95="","",COUNTIF(CRM_Interações!$B$5:$B$304,A95))</f>
        <v/>
      </c>
      <c r="N95" s="28" t="str">
        <f aca="false">IF(A95="","",SUMIFS(Vendas!$J$5:$J$304,Vendas!$G$5:$G$304,A95))</f>
        <v/>
      </c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2" t="str">
        <f aca="false">IF(A96="","",IF(COUNTIF(CRM_Interações!$B$5:$B$304,A96)=0,"—",_xlfn.MAXIFS(CRM_Interações!$A$5:$A$304,CRM_Interações!$B$5:$B$304,A96)))</f>
        <v/>
      </c>
      <c r="M96" s="30" t="str">
        <f aca="false">IF(A96="","",COUNTIF(CRM_Interações!$B$5:$B$304,A96))</f>
        <v/>
      </c>
      <c r="N96" s="28" t="str">
        <f aca="false">IF(A96="","",SUMIFS(Vendas!$J$5:$J$304,Vendas!$G$5:$G$304,A96))</f>
        <v/>
      </c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2" t="str">
        <f aca="false">IF(A97="","",IF(COUNTIF(CRM_Interações!$B$5:$B$304,A97)=0,"—",_xlfn.MAXIFS(CRM_Interações!$A$5:$A$304,CRM_Interações!$B$5:$B$304,A97)))</f>
        <v/>
      </c>
      <c r="M97" s="30" t="str">
        <f aca="false">IF(A97="","",COUNTIF(CRM_Interações!$B$5:$B$304,A97))</f>
        <v/>
      </c>
      <c r="N97" s="28" t="str">
        <f aca="false">IF(A97="","",SUMIFS(Vendas!$J$5:$J$304,Vendas!$G$5:$G$304,A97))</f>
        <v/>
      </c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32" t="str">
        <f aca="false">IF(A98="","",IF(COUNTIF(CRM_Interações!$B$5:$B$304,A98)=0,"—",_xlfn.MAXIFS(CRM_Interações!$A$5:$A$304,CRM_Interações!$B$5:$B$304,A98)))</f>
        <v/>
      </c>
      <c r="M98" s="30" t="str">
        <f aca="false">IF(A98="","",COUNTIF(CRM_Interações!$B$5:$B$304,A98))</f>
        <v/>
      </c>
      <c r="N98" s="28" t="str">
        <f aca="false">IF(A98="","",SUMIFS(Vendas!$J$5:$J$304,Vendas!$G$5:$G$304,A98))</f>
        <v/>
      </c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2" t="str">
        <f aca="false">IF(A99="","",IF(COUNTIF(CRM_Interações!$B$5:$B$304,A99)=0,"—",_xlfn.MAXIFS(CRM_Interações!$A$5:$A$304,CRM_Interações!$B$5:$B$304,A99)))</f>
        <v/>
      </c>
      <c r="M99" s="30" t="str">
        <f aca="false">IF(A99="","",COUNTIF(CRM_Interações!$B$5:$B$304,A99))</f>
        <v/>
      </c>
      <c r="N99" s="28" t="str">
        <f aca="false">IF(A99="","",SUMIFS(Vendas!$J$5:$J$304,Vendas!$G$5:$G$304,A99))</f>
        <v/>
      </c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2" t="str">
        <f aca="false">IF(A100="","",IF(COUNTIF(CRM_Interações!$B$5:$B$304,A100)=0,"—",_xlfn.MAXIFS(CRM_Interações!$A$5:$A$304,CRM_Interações!$B$5:$B$304,A100)))</f>
        <v/>
      </c>
      <c r="M100" s="30" t="str">
        <f aca="false">IF(A100="","",COUNTIF(CRM_Interações!$B$5:$B$304,A100))</f>
        <v/>
      </c>
      <c r="N100" s="28" t="str">
        <f aca="false">IF(A100="","",SUMIFS(Vendas!$J$5:$J$304,Vendas!$G$5:$G$304,A100))</f>
        <v/>
      </c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2" t="str">
        <f aca="false">IF(A101="","",IF(COUNTIF(CRM_Interações!$B$5:$B$304,A101)=0,"—",_xlfn.MAXIFS(CRM_Interações!$A$5:$A$304,CRM_Interações!$B$5:$B$304,A101)))</f>
        <v/>
      </c>
      <c r="M101" s="30" t="str">
        <f aca="false">IF(A101="","",COUNTIF(CRM_Interações!$B$5:$B$304,A101))</f>
        <v/>
      </c>
      <c r="N101" s="28" t="str">
        <f aca="false">IF(A101="","",SUMIFS(Vendas!$J$5:$J$304,Vendas!$G$5:$G$304,A101))</f>
        <v/>
      </c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2" t="str">
        <f aca="false">IF(A102="","",IF(COUNTIF(CRM_Interações!$B$5:$B$304,A102)=0,"—",_xlfn.MAXIFS(CRM_Interações!$A$5:$A$304,CRM_Interações!$B$5:$B$304,A102)))</f>
        <v/>
      </c>
      <c r="M102" s="30" t="str">
        <f aca="false">IF(A102="","",COUNTIF(CRM_Interações!$B$5:$B$304,A102))</f>
        <v/>
      </c>
      <c r="N102" s="28" t="str">
        <f aca="false">IF(A102="","",SUMIFS(Vendas!$J$5:$J$304,Vendas!$G$5:$G$304,A102))</f>
        <v/>
      </c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2" t="str">
        <f aca="false">IF(A103="","",IF(COUNTIF(CRM_Interações!$B$5:$B$304,A103)=0,"—",_xlfn.MAXIFS(CRM_Interações!$A$5:$A$304,CRM_Interações!$B$5:$B$304,A103)))</f>
        <v/>
      </c>
      <c r="M103" s="30" t="str">
        <f aca="false">IF(A103="","",COUNTIF(CRM_Interações!$B$5:$B$304,A103))</f>
        <v/>
      </c>
      <c r="N103" s="28" t="str">
        <f aca="false">IF(A103="","",SUMIFS(Vendas!$J$5:$J$304,Vendas!$G$5:$G$304,A103))</f>
        <v/>
      </c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32" t="str">
        <f aca="false">IF(A104="","",IF(COUNTIF(CRM_Interações!$B$5:$B$304,A104)=0,"—",_xlfn.MAXIFS(CRM_Interações!$A$5:$A$304,CRM_Interações!$B$5:$B$304,A104)))</f>
        <v/>
      </c>
      <c r="M104" s="30" t="str">
        <f aca="false">IF(A104="","",COUNTIF(CRM_Interações!$B$5:$B$304,A104))</f>
        <v/>
      </c>
      <c r="N104" s="28" t="str">
        <f aca="false">IF(A104="","",SUMIFS(Vendas!$J$5:$J$304,Vendas!$G$5:$G$304,A104))</f>
        <v/>
      </c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2" t="str">
        <f aca="false">IF(A105="","",IF(COUNTIF(CRM_Interações!$B$5:$B$304,A105)=0,"—",_xlfn.MAXIFS(CRM_Interações!$A$5:$A$304,CRM_Interações!$B$5:$B$304,A105)))</f>
        <v/>
      </c>
      <c r="M105" s="30" t="str">
        <f aca="false">IF(A105="","",COUNTIF(CRM_Interações!$B$5:$B$304,A105))</f>
        <v/>
      </c>
      <c r="N105" s="28" t="str">
        <f aca="false">IF(A105="","",SUMIFS(Vendas!$J$5:$J$304,Vendas!$G$5:$G$304,A105))</f>
        <v/>
      </c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32" t="str">
        <f aca="false">IF(A106="","",IF(COUNTIF(CRM_Interações!$B$5:$B$304,A106)=0,"—",_xlfn.MAXIFS(CRM_Interações!$A$5:$A$304,CRM_Interações!$B$5:$B$304,A106)))</f>
        <v/>
      </c>
      <c r="M106" s="30" t="str">
        <f aca="false">IF(A106="","",COUNTIF(CRM_Interações!$B$5:$B$304,A106))</f>
        <v/>
      </c>
      <c r="N106" s="28" t="str">
        <f aca="false">IF(A106="","",SUMIFS(Vendas!$J$5:$J$304,Vendas!$G$5:$G$304,A106))</f>
        <v/>
      </c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32" t="str">
        <f aca="false">IF(A107="","",IF(COUNTIF(CRM_Interações!$B$5:$B$304,A107)=0,"—",_xlfn.MAXIFS(CRM_Interações!$A$5:$A$304,CRM_Interações!$B$5:$B$304,A107)))</f>
        <v/>
      </c>
      <c r="M107" s="30" t="str">
        <f aca="false">IF(A107="","",COUNTIF(CRM_Interações!$B$5:$B$304,A107))</f>
        <v/>
      </c>
      <c r="N107" s="28" t="str">
        <f aca="false">IF(A107="","",SUMIFS(Vendas!$J$5:$J$304,Vendas!$G$5:$G$304,A107))</f>
        <v/>
      </c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32" t="str">
        <f aca="false">IF(A108="","",IF(COUNTIF(CRM_Interações!$B$5:$B$304,A108)=0,"—",_xlfn.MAXIFS(CRM_Interações!$A$5:$A$304,CRM_Interações!$B$5:$B$304,A108)))</f>
        <v/>
      </c>
      <c r="M108" s="30" t="str">
        <f aca="false">IF(A108="","",COUNTIF(CRM_Interações!$B$5:$B$304,A108))</f>
        <v/>
      </c>
      <c r="N108" s="28" t="str">
        <f aca="false">IF(A108="","",SUMIFS(Vendas!$J$5:$J$304,Vendas!$G$5:$G$304,A108))</f>
        <v/>
      </c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32" t="str">
        <f aca="false">IF(A109="","",IF(COUNTIF(CRM_Interações!$B$5:$B$304,A109)=0,"—",_xlfn.MAXIFS(CRM_Interações!$A$5:$A$304,CRM_Interações!$B$5:$B$304,A109)))</f>
        <v/>
      </c>
      <c r="M109" s="30" t="str">
        <f aca="false">IF(A109="","",COUNTIF(CRM_Interações!$B$5:$B$304,A109))</f>
        <v/>
      </c>
      <c r="N109" s="28" t="str">
        <f aca="false">IF(A109="","",SUMIFS(Vendas!$J$5:$J$304,Vendas!$G$5:$G$304,A109))</f>
        <v/>
      </c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32" t="str">
        <f aca="false">IF(A110="","",IF(COUNTIF(CRM_Interações!$B$5:$B$304,A110)=0,"—",_xlfn.MAXIFS(CRM_Interações!$A$5:$A$304,CRM_Interações!$B$5:$B$304,A110)))</f>
        <v/>
      </c>
      <c r="M110" s="30" t="str">
        <f aca="false">IF(A110="","",COUNTIF(CRM_Interações!$B$5:$B$304,A110))</f>
        <v/>
      </c>
      <c r="N110" s="28" t="str">
        <f aca="false">IF(A110="","",SUMIFS(Vendas!$J$5:$J$304,Vendas!$G$5:$G$304,A110))</f>
        <v/>
      </c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32" t="str">
        <f aca="false">IF(A111="","",IF(COUNTIF(CRM_Interações!$B$5:$B$304,A111)=0,"—",_xlfn.MAXIFS(CRM_Interações!$A$5:$A$304,CRM_Interações!$B$5:$B$304,A111)))</f>
        <v/>
      </c>
      <c r="M111" s="30" t="str">
        <f aca="false">IF(A111="","",COUNTIF(CRM_Interações!$B$5:$B$304,A111))</f>
        <v/>
      </c>
      <c r="N111" s="28" t="str">
        <f aca="false">IF(A111="","",SUMIFS(Vendas!$J$5:$J$304,Vendas!$G$5:$G$304,A111))</f>
        <v/>
      </c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32" t="str">
        <f aca="false">IF(A112="","",IF(COUNTIF(CRM_Interações!$B$5:$B$304,A112)=0,"—",_xlfn.MAXIFS(CRM_Interações!$A$5:$A$304,CRM_Interações!$B$5:$B$304,A112)))</f>
        <v/>
      </c>
      <c r="M112" s="30" t="str">
        <f aca="false">IF(A112="","",COUNTIF(CRM_Interações!$B$5:$B$304,A112))</f>
        <v/>
      </c>
      <c r="N112" s="28" t="str">
        <f aca="false">IF(A112="","",SUMIFS(Vendas!$J$5:$J$304,Vendas!$G$5:$G$304,A112))</f>
        <v/>
      </c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32" t="str">
        <f aca="false">IF(A113="","",IF(COUNTIF(CRM_Interações!$B$5:$B$304,A113)=0,"—",_xlfn.MAXIFS(CRM_Interações!$A$5:$A$304,CRM_Interações!$B$5:$B$304,A113)))</f>
        <v/>
      </c>
      <c r="M113" s="30" t="str">
        <f aca="false">IF(A113="","",COUNTIF(CRM_Interações!$B$5:$B$304,A113))</f>
        <v/>
      </c>
      <c r="N113" s="28" t="str">
        <f aca="false">IF(A113="","",SUMIFS(Vendas!$J$5:$J$304,Vendas!$G$5:$G$304,A113))</f>
        <v/>
      </c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32" t="str">
        <f aca="false">IF(A114="","",IF(COUNTIF(CRM_Interações!$B$5:$B$304,A114)=0,"—",_xlfn.MAXIFS(CRM_Interações!$A$5:$A$304,CRM_Interações!$B$5:$B$304,A114)))</f>
        <v/>
      </c>
      <c r="M114" s="30" t="str">
        <f aca="false">IF(A114="","",COUNTIF(CRM_Interações!$B$5:$B$304,A114))</f>
        <v/>
      </c>
      <c r="N114" s="28" t="str">
        <f aca="false">IF(A114="","",SUMIFS(Vendas!$J$5:$J$304,Vendas!$G$5:$G$304,A114))</f>
        <v/>
      </c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32" t="str">
        <f aca="false">IF(A115="","",IF(COUNTIF(CRM_Interações!$B$5:$B$304,A115)=0,"—",_xlfn.MAXIFS(CRM_Interações!$A$5:$A$304,CRM_Interações!$B$5:$B$304,A115)))</f>
        <v/>
      </c>
      <c r="M115" s="30" t="str">
        <f aca="false">IF(A115="","",COUNTIF(CRM_Interações!$B$5:$B$304,A115))</f>
        <v/>
      </c>
      <c r="N115" s="28" t="str">
        <f aca="false">IF(A115="","",SUMIFS(Vendas!$J$5:$J$304,Vendas!$G$5:$G$304,A115))</f>
        <v/>
      </c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32" t="str">
        <f aca="false">IF(A116="","",IF(COUNTIF(CRM_Interações!$B$5:$B$304,A116)=0,"—",_xlfn.MAXIFS(CRM_Interações!$A$5:$A$304,CRM_Interações!$B$5:$B$304,A116)))</f>
        <v/>
      </c>
      <c r="M116" s="30" t="str">
        <f aca="false">IF(A116="","",COUNTIF(CRM_Interações!$B$5:$B$304,A116))</f>
        <v/>
      </c>
      <c r="N116" s="28" t="str">
        <f aca="false">IF(A116="","",SUMIFS(Vendas!$J$5:$J$304,Vendas!$G$5:$G$304,A116))</f>
        <v/>
      </c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2" t="str">
        <f aca="false">IF(A117="","",IF(COUNTIF(CRM_Interações!$B$5:$B$304,A117)=0,"—",_xlfn.MAXIFS(CRM_Interações!$A$5:$A$304,CRM_Interações!$B$5:$B$304,A117)))</f>
        <v/>
      </c>
      <c r="M117" s="30" t="str">
        <f aca="false">IF(A117="","",COUNTIF(CRM_Interações!$B$5:$B$304,A117))</f>
        <v/>
      </c>
      <c r="N117" s="28" t="str">
        <f aca="false">IF(A117="","",SUMIFS(Vendas!$J$5:$J$304,Vendas!$G$5:$G$304,A117))</f>
        <v/>
      </c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2" t="str">
        <f aca="false">IF(A118="","",IF(COUNTIF(CRM_Interações!$B$5:$B$304,A118)=0,"—",_xlfn.MAXIFS(CRM_Interações!$A$5:$A$304,CRM_Interações!$B$5:$B$304,A118)))</f>
        <v/>
      </c>
      <c r="M118" s="30" t="str">
        <f aca="false">IF(A118="","",COUNTIF(CRM_Interações!$B$5:$B$304,A118))</f>
        <v/>
      </c>
      <c r="N118" s="28" t="str">
        <f aca="false">IF(A118="","",SUMIFS(Vendas!$J$5:$J$304,Vendas!$G$5:$G$304,A118))</f>
        <v/>
      </c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2" t="str">
        <f aca="false">IF(A119="","",IF(COUNTIF(CRM_Interações!$B$5:$B$304,A119)=0,"—",_xlfn.MAXIFS(CRM_Interações!$A$5:$A$304,CRM_Interações!$B$5:$B$304,A119)))</f>
        <v/>
      </c>
      <c r="M119" s="30" t="str">
        <f aca="false">IF(A119="","",COUNTIF(CRM_Interações!$B$5:$B$304,A119))</f>
        <v/>
      </c>
      <c r="N119" s="28" t="str">
        <f aca="false">IF(A119="","",SUMIFS(Vendas!$J$5:$J$304,Vendas!$G$5:$G$304,A119))</f>
        <v/>
      </c>
      <c r="O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32" t="str">
        <f aca="false">IF(A120="","",IF(COUNTIF(CRM_Interações!$B$5:$B$304,A120)=0,"—",_xlfn.MAXIFS(CRM_Interações!$A$5:$A$304,CRM_Interações!$B$5:$B$304,A120)))</f>
        <v/>
      </c>
      <c r="M120" s="30" t="str">
        <f aca="false">IF(A120="","",COUNTIF(CRM_Interações!$B$5:$B$304,A120))</f>
        <v/>
      </c>
      <c r="N120" s="28" t="str">
        <f aca="false">IF(A120="","",SUMIFS(Vendas!$J$5:$J$304,Vendas!$G$5:$G$304,A120))</f>
        <v/>
      </c>
      <c r="O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2" t="str">
        <f aca="false">IF(A121="","",IF(COUNTIF(CRM_Interações!$B$5:$B$304,A121)=0,"—",_xlfn.MAXIFS(CRM_Interações!$A$5:$A$304,CRM_Interações!$B$5:$B$304,A121)))</f>
        <v/>
      </c>
      <c r="M121" s="30" t="str">
        <f aca="false">IF(A121="","",COUNTIF(CRM_Interações!$B$5:$B$304,A121))</f>
        <v/>
      </c>
      <c r="N121" s="28" t="str">
        <f aca="false">IF(A121="","",SUMIFS(Vendas!$J$5:$J$304,Vendas!$G$5:$G$304,A121))</f>
        <v/>
      </c>
      <c r="O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32" t="str">
        <f aca="false">IF(A122="","",IF(COUNTIF(CRM_Interações!$B$5:$B$304,A122)=0,"—",_xlfn.MAXIFS(CRM_Interações!$A$5:$A$304,CRM_Interações!$B$5:$B$304,A122)))</f>
        <v/>
      </c>
      <c r="M122" s="30" t="str">
        <f aca="false">IF(A122="","",COUNTIF(CRM_Interações!$B$5:$B$304,A122))</f>
        <v/>
      </c>
      <c r="N122" s="28" t="str">
        <f aca="false">IF(A122="","",SUMIFS(Vendas!$J$5:$J$304,Vendas!$G$5:$G$304,A122))</f>
        <v/>
      </c>
      <c r="O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32" t="str">
        <f aca="false">IF(A123="","",IF(COUNTIF(CRM_Interações!$B$5:$B$304,A123)=0,"—",_xlfn.MAXIFS(CRM_Interações!$A$5:$A$304,CRM_Interações!$B$5:$B$304,A123)))</f>
        <v/>
      </c>
      <c r="M123" s="30" t="str">
        <f aca="false">IF(A123="","",COUNTIF(CRM_Interações!$B$5:$B$304,A123))</f>
        <v/>
      </c>
      <c r="N123" s="28" t="str">
        <f aca="false">IF(A123="","",SUMIFS(Vendas!$J$5:$J$304,Vendas!$G$5:$G$304,A123))</f>
        <v/>
      </c>
      <c r="O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2" t="str">
        <f aca="false">IF(A124="","",IF(COUNTIF(CRM_Interações!$B$5:$B$304,A124)=0,"—",_xlfn.MAXIFS(CRM_Interações!$A$5:$A$304,CRM_Interações!$B$5:$B$304,A124)))</f>
        <v/>
      </c>
      <c r="M124" s="30" t="str">
        <f aca="false">IF(A124="","",COUNTIF(CRM_Interações!$B$5:$B$304,A124))</f>
        <v/>
      </c>
      <c r="N124" s="28" t="str">
        <f aca="false">IF(A124="","",SUMIFS(Vendas!$J$5:$J$304,Vendas!$G$5:$G$304,A124))</f>
        <v/>
      </c>
      <c r="O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2" t="str">
        <f aca="false">IF(A125="","",IF(COUNTIF(CRM_Interações!$B$5:$B$304,A125)=0,"—",_xlfn.MAXIFS(CRM_Interações!$A$5:$A$304,CRM_Interações!$B$5:$B$304,A125)))</f>
        <v/>
      </c>
      <c r="M125" s="30" t="str">
        <f aca="false">IF(A125="","",COUNTIF(CRM_Interações!$B$5:$B$304,A125))</f>
        <v/>
      </c>
      <c r="N125" s="28" t="str">
        <f aca="false">IF(A125="","",SUMIFS(Vendas!$J$5:$J$304,Vendas!$G$5:$G$304,A125))</f>
        <v/>
      </c>
      <c r="O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2" t="str">
        <f aca="false">IF(A126="","",IF(COUNTIF(CRM_Interações!$B$5:$B$304,A126)=0,"—",_xlfn.MAXIFS(CRM_Interações!$A$5:$A$304,CRM_Interações!$B$5:$B$304,A126)))</f>
        <v/>
      </c>
      <c r="M126" s="30" t="str">
        <f aca="false">IF(A126="","",COUNTIF(CRM_Interações!$B$5:$B$304,A126))</f>
        <v/>
      </c>
      <c r="N126" s="28" t="str">
        <f aca="false">IF(A126="","",SUMIFS(Vendas!$J$5:$J$304,Vendas!$G$5:$G$304,A126))</f>
        <v/>
      </c>
      <c r="O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32" t="str">
        <f aca="false">IF(A127="","",IF(COUNTIF(CRM_Interações!$B$5:$B$304,A127)=0,"—",_xlfn.MAXIFS(CRM_Interações!$A$5:$A$304,CRM_Interações!$B$5:$B$304,A127)))</f>
        <v/>
      </c>
      <c r="M127" s="30" t="str">
        <f aca="false">IF(A127="","",COUNTIF(CRM_Interações!$B$5:$B$304,A127))</f>
        <v/>
      </c>
      <c r="N127" s="28" t="str">
        <f aca="false">IF(A127="","",SUMIFS(Vendas!$J$5:$J$304,Vendas!$G$5:$G$304,A127))</f>
        <v/>
      </c>
      <c r="O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32" t="str">
        <f aca="false">IF(A128="","",IF(COUNTIF(CRM_Interações!$B$5:$B$304,A128)=0,"—",_xlfn.MAXIFS(CRM_Interações!$A$5:$A$304,CRM_Interações!$B$5:$B$304,A128)))</f>
        <v/>
      </c>
      <c r="M128" s="30" t="str">
        <f aca="false">IF(A128="","",COUNTIF(CRM_Interações!$B$5:$B$304,A128))</f>
        <v/>
      </c>
      <c r="N128" s="28" t="str">
        <f aca="false">IF(A128="","",SUMIFS(Vendas!$J$5:$J$304,Vendas!$G$5:$G$304,A128))</f>
        <v/>
      </c>
      <c r="O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2" t="str">
        <f aca="false">IF(A129="","",IF(COUNTIF(CRM_Interações!$B$5:$B$304,A129)=0,"—",_xlfn.MAXIFS(CRM_Interações!$A$5:$A$304,CRM_Interações!$B$5:$B$304,A129)))</f>
        <v/>
      </c>
      <c r="M129" s="30" t="str">
        <f aca="false">IF(A129="","",COUNTIF(CRM_Interações!$B$5:$B$304,A129))</f>
        <v/>
      </c>
      <c r="N129" s="28" t="str">
        <f aca="false">IF(A129="","",SUMIFS(Vendas!$J$5:$J$304,Vendas!$G$5:$G$304,A129))</f>
        <v/>
      </c>
      <c r="O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2" t="str">
        <f aca="false">IF(A130="","",IF(COUNTIF(CRM_Interações!$B$5:$B$304,A130)=0,"—",_xlfn.MAXIFS(CRM_Interações!$A$5:$A$304,CRM_Interações!$B$5:$B$304,A130)))</f>
        <v/>
      </c>
      <c r="M130" s="30" t="str">
        <f aca="false">IF(A130="","",COUNTIF(CRM_Interações!$B$5:$B$304,A130))</f>
        <v/>
      </c>
      <c r="N130" s="28" t="str">
        <f aca="false">IF(A130="","",SUMIFS(Vendas!$J$5:$J$304,Vendas!$G$5:$G$304,A130))</f>
        <v/>
      </c>
      <c r="O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2" t="str">
        <f aca="false">IF(A131="","",IF(COUNTIF(CRM_Interações!$B$5:$B$304,A131)=0,"—",_xlfn.MAXIFS(CRM_Interações!$A$5:$A$304,CRM_Interações!$B$5:$B$304,A131)))</f>
        <v/>
      </c>
      <c r="M131" s="30" t="str">
        <f aca="false">IF(A131="","",COUNTIF(CRM_Interações!$B$5:$B$304,A131))</f>
        <v/>
      </c>
      <c r="N131" s="28" t="str">
        <f aca="false">IF(A131="","",SUMIFS(Vendas!$J$5:$J$304,Vendas!$G$5:$G$304,A131))</f>
        <v/>
      </c>
      <c r="O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2" t="str">
        <f aca="false">IF(A132="","",IF(COUNTIF(CRM_Interações!$B$5:$B$304,A132)=0,"—",_xlfn.MAXIFS(CRM_Interações!$A$5:$A$304,CRM_Interações!$B$5:$B$304,A132)))</f>
        <v/>
      </c>
      <c r="M132" s="30" t="str">
        <f aca="false">IF(A132="","",COUNTIF(CRM_Interações!$B$5:$B$304,A132))</f>
        <v/>
      </c>
      <c r="N132" s="28" t="str">
        <f aca="false">IF(A132="","",SUMIFS(Vendas!$J$5:$J$304,Vendas!$G$5:$G$304,A132))</f>
        <v/>
      </c>
      <c r="O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32" t="str">
        <f aca="false">IF(A133="","",IF(COUNTIF(CRM_Interações!$B$5:$B$304,A133)=0,"—",_xlfn.MAXIFS(CRM_Interações!$A$5:$A$304,CRM_Interações!$B$5:$B$304,A133)))</f>
        <v/>
      </c>
      <c r="M133" s="30" t="str">
        <f aca="false">IF(A133="","",COUNTIF(CRM_Interações!$B$5:$B$304,A133))</f>
        <v/>
      </c>
      <c r="N133" s="28" t="str">
        <f aca="false">IF(A133="","",SUMIFS(Vendas!$J$5:$J$304,Vendas!$G$5:$G$304,A133))</f>
        <v/>
      </c>
      <c r="O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32" t="str">
        <f aca="false">IF(A134="","",IF(COUNTIF(CRM_Interações!$B$5:$B$304,A134)=0,"—",_xlfn.MAXIFS(CRM_Interações!$A$5:$A$304,CRM_Interações!$B$5:$B$304,A134)))</f>
        <v/>
      </c>
      <c r="M134" s="30" t="str">
        <f aca="false">IF(A134="","",COUNTIF(CRM_Interações!$B$5:$B$304,A134))</f>
        <v/>
      </c>
      <c r="N134" s="28" t="str">
        <f aca="false">IF(A134="","",SUMIFS(Vendas!$J$5:$J$304,Vendas!$G$5:$G$304,A134))</f>
        <v/>
      </c>
      <c r="O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32" t="str">
        <f aca="false">IF(A135="","",IF(COUNTIF(CRM_Interações!$B$5:$B$304,A135)=0,"—",_xlfn.MAXIFS(CRM_Interações!$A$5:$A$304,CRM_Interações!$B$5:$B$304,A135)))</f>
        <v/>
      </c>
      <c r="M135" s="30" t="str">
        <f aca="false">IF(A135="","",COUNTIF(CRM_Interações!$B$5:$B$304,A135))</f>
        <v/>
      </c>
      <c r="N135" s="28" t="str">
        <f aca="false">IF(A135="","",SUMIFS(Vendas!$J$5:$J$304,Vendas!$G$5:$G$304,A135))</f>
        <v/>
      </c>
      <c r="O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2" t="str">
        <f aca="false">IF(A136="","",IF(COUNTIF(CRM_Interações!$B$5:$B$304,A136)=0,"—",_xlfn.MAXIFS(CRM_Interações!$A$5:$A$304,CRM_Interações!$B$5:$B$304,A136)))</f>
        <v/>
      </c>
      <c r="M136" s="30" t="str">
        <f aca="false">IF(A136="","",COUNTIF(CRM_Interações!$B$5:$B$304,A136))</f>
        <v/>
      </c>
      <c r="N136" s="28" t="str">
        <f aca="false">IF(A136="","",SUMIFS(Vendas!$J$5:$J$304,Vendas!$G$5:$G$304,A136))</f>
        <v/>
      </c>
      <c r="O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2" t="str">
        <f aca="false">IF(A137="","",IF(COUNTIF(CRM_Interações!$B$5:$B$304,A137)=0,"—",_xlfn.MAXIFS(CRM_Interações!$A$5:$A$304,CRM_Interações!$B$5:$B$304,A137)))</f>
        <v/>
      </c>
      <c r="M137" s="30" t="str">
        <f aca="false">IF(A137="","",COUNTIF(CRM_Interações!$B$5:$B$304,A137))</f>
        <v/>
      </c>
      <c r="N137" s="28" t="str">
        <f aca="false">IF(A137="","",SUMIFS(Vendas!$J$5:$J$304,Vendas!$G$5:$G$304,A137))</f>
        <v/>
      </c>
      <c r="O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32" t="str">
        <f aca="false">IF(A138="","",IF(COUNTIF(CRM_Interações!$B$5:$B$304,A138)=0,"—",_xlfn.MAXIFS(CRM_Interações!$A$5:$A$304,CRM_Interações!$B$5:$B$304,A138)))</f>
        <v/>
      </c>
      <c r="M138" s="30" t="str">
        <f aca="false">IF(A138="","",COUNTIF(CRM_Interações!$B$5:$B$304,A138))</f>
        <v/>
      </c>
      <c r="N138" s="28" t="str">
        <f aca="false">IF(A138="","",SUMIFS(Vendas!$J$5:$J$304,Vendas!$G$5:$G$304,A138))</f>
        <v/>
      </c>
      <c r="O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32" t="str">
        <f aca="false">IF(A139="","",IF(COUNTIF(CRM_Interações!$B$5:$B$304,A139)=0,"—",_xlfn.MAXIFS(CRM_Interações!$A$5:$A$304,CRM_Interações!$B$5:$B$304,A139)))</f>
        <v/>
      </c>
      <c r="M139" s="30" t="str">
        <f aca="false">IF(A139="","",COUNTIF(CRM_Interações!$B$5:$B$304,A139))</f>
        <v/>
      </c>
      <c r="N139" s="28" t="str">
        <f aca="false">IF(A139="","",SUMIFS(Vendas!$J$5:$J$304,Vendas!$G$5:$G$304,A139))</f>
        <v/>
      </c>
      <c r="O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32" t="str">
        <f aca="false">IF(A140="","",IF(COUNTIF(CRM_Interações!$B$5:$B$304,A140)=0,"—",_xlfn.MAXIFS(CRM_Interações!$A$5:$A$304,CRM_Interações!$B$5:$B$304,A140)))</f>
        <v/>
      </c>
      <c r="M140" s="30" t="str">
        <f aca="false">IF(A140="","",COUNTIF(CRM_Interações!$B$5:$B$304,A140))</f>
        <v/>
      </c>
      <c r="N140" s="28" t="str">
        <f aca="false">IF(A140="","",SUMIFS(Vendas!$J$5:$J$304,Vendas!$G$5:$G$304,A140))</f>
        <v/>
      </c>
      <c r="O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32" t="str">
        <f aca="false">IF(A141="","",IF(COUNTIF(CRM_Interações!$B$5:$B$304,A141)=0,"—",_xlfn.MAXIFS(CRM_Interações!$A$5:$A$304,CRM_Interações!$B$5:$B$304,A141)))</f>
        <v/>
      </c>
      <c r="M141" s="30" t="str">
        <f aca="false">IF(A141="","",COUNTIF(CRM_Interações!$B$5:$B$304,A141))</f>
        <v/>
      </c>
      <c r="N141" s="28" t="str">
        <f aca="false">IF(A141="","",SUMIFS(Vendas!$J$5:$J$304,Vendas!$G$5:$G$304,A141))</f>
        <v/>
      </c>
      <c r="O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32" t="str">
        <f aca="false">IF(A142="","",IF(COUNTIF(CRM_Interações!$B$5:$B$304,A142)=0,"—",_xlfn.MAXIFS(CRM_Interações!$A$5:$A$304,CRM_Interações!$B$5:$B$304,A142)))</f>
        <v/>
      </c>
      <c r="M142" s="30" t="str">
        <f aca="false">IF(A142="","",COUNTIF(CRM_Interações!$B$5:$B$304,A142))</f>
        <v/>
      </c>
      <c r="N142" s="28" t="str">
        <f aca="false">IF(A142="","",SUMIFS(Vendas!$J$5:$J$304,Vendas!$G$5:$G$304,A142))</f>
        <v/>
      </c>
      <c r="O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32" t="str">
        <f aca="false">IF(A143="","",IF(COUNTIF(CRM_Interações!$B$5:$B$304,A143)=0,"—",_xlfn.MAXIFS(CRM_Interações!$A$5:$A$304,CRM_Interações!$B$5:$B$304,A143)))</f>
        <v/>
      </c>
      <c r="M143" s="30" t="str">
        <f aca="false">IF(A143="","",COUNTIF(CRM_Interações!$B$5:$B$304,A143))</f>
        <v/>
      </c>
      <c r="N143" s="28" t="str">
        <f aca="false">IF(A143="","",SUMIFS(Vendas!$J$5:$J$304,Vendas!$G$5:$G$304,A143))</f>
        <v/>
      </c>
      <c r="O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32" t="str">
        <f aca="false">IF(A144="","",IF(COUNTIF(CRM_Interações!$B$5:$B$304,A144)=0,"—",_xlfn.MAXIFS(CRM_Interações!$A$5:$A$304,CRM_Interações!$B$5:$B$304,A144)))</f>
        <v/>
      </c>
      <c r="M144" s="30" t="str">
        <f aca="false">IF(A144="","",COUNTIF(CRM_Interações!$B$5:$B$304,A144))</f>
        <v/>
      </c>
      <c r="N144" s="28" t="str">
        <f aca="false">IF(A144="","",SUMIFS(Vendas!$J$5:$J$304,Vendas!$G$5:$G$304,A144))</f>
        <v/>
      </c>
      <c r="O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2" t="str">
        <f aca="false">IF(A145="","",IF(COUNTIF(CRM_Interações!$B$5:$B$304,A145)=0,"—",_xlfn.MAXIFS(CRM_Interações!$A$5:$A$304,CRM_Interações!$B$5:$B$304,A145)))</f>
        <v/>
      </c>
      <c r="M145" s="30" t="str">
        <f aca="false">IF(A145="","",COUNTIF(CRM_Interações!$B$5:$B$304,A145))</f>
        <v/>
      </c>
      <c r="N145" s="28" t="str">
        <f aca="false">IF(A145="","",SUMIFS(Vendas!$J$5:$J$304,Vendas!$G$5:$G$304,A145))</f>
        <v/>
      </c>
      <c r="O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2" t="str">
        <f aca="false">IF(A146="","",IF(COUNTIF(CRM_Interações!$B$5:$B$304,A146)=0,"—",_xlfn.MAXIFS(CRM_Interações!$A$5:$A$304,CRM_Interações!$B$5:$B$304,A146)))</f>
        <v/>
      </c>
      <c r="M146" s="30" t="str">
        <f aca="false">IF(A146="","",COUNTIF(CRM_Interações!$B$5:$B$304,A146))</f>
        <v/>
      </c>
      <c r="N146" s="28" t="str">
        <f aca="false">IF(A146="","",SUMIFS(Vendas!$J$5:$J$304,Vendas!$G$5:$G$304,A146))</f>
        <v/>
      </c>
      <c r="O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32" t="str">
        <f aca="false">IF(A147="","",IF(COUNTIF(CRM_Interações!$B$5:$B$304,A147)=0,"—",_xlfn.MAXIFS(CRM_Interações!$A$5:$A$304,CRM_Interações!$B$5:$B$304,A147)))</f>
        <v/>
      </c>
      <c r="M147" s="30" t="str">
        <f aca="false">IF(A147="","",COUNTIF(CRM_Interações!$B$5:$B$304,A147))</f>
        <v/>
      </c>
      <c r="N147" s="28" t="str">
        <f aca="false">IF(A147="","",SUMIFS(Vendas!$J$5:$J$304,Vendas!$G$5:$G$304,A147))</f>
        <v/>
      </c>
      <c r="O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32" t="str">
        <f aca="false">IF(A148="","",IF(COUNTIF(CRM_Interações!$B$5:$B$304,A148)=0,"—",_xlfn.MAXIFS(CRM_Interações!$A$5:$A$304,CRM_Interações!$B$5:$B$304,A148)))</f>
        <v/>
      </c>
      <c r="M148" s="30" t="str">
        <f aca="false">IF(A148="","",COUNTIF(CRM_Interações!$B$5:$B$304,A148))</f>
        <v/>
      </c>
      <c r="N148" s="28" t="str">
        <f aca="false">IF(A148="","",SUMIFS(Vendas!$J$5:$J$304,Vendas!$G$5:$G$304,A148))</f>
        <v/>
      </c>
      <c r="O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32" t="str">
        <f aca="false">IF(A149="","",IF(COUNTIF(CRM_Interações!$B$5:$B$304,A149)=0,"—",_xlfn.MAXIFS(CRM_Interações!$A$5:$A$304,CRM_Interações!$B$5:$B$304,A149)))</f>
        <v/>
      </c>
      <c r="M149" s="30" t="str">
        <f aca="false">IF(A149="","",COUNTIF(CRM_Interações!$B$5:$B$304,A149))</f>
        <v/>
      </c>
      <c r="N149" s="28" t="str">
        <f aca="false">IF(A149="","",SUMIFS(Vendas!$J$5:$J$304,Vendas!$G$5:$G$304,A149))</f>
        <v/>
      </c>
      <c r="O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32" t="str">
        <f aca="false">IF(A150="","",IF(COUNTIF(CRM_Interações!$B$5:$B$304,A150)=0,"—",_xlfn.MAXIFS(CRM_Interações!$A$5:$A$304,CRM_Interações!$B$5:$B$304,A150)))</f>
        <v/>
      </c>
      <c r="M150" s="30" t="str">
        <f aca="false">IF(A150="","",COUNTIF(CRM_Interações!$B$5:$B$304,A150))</f>
        <v/>
      </c>
      <c r="N150" s="28" t="str">
        <f aca="false">IF(A150="","",SUMIFS(Vendas!$J$5:$J$304,Vendas!$G$5:$G$304,A150))</f>
        <v/>
      </c>
      <c r="O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32" t="str">
        <f aca="false">IF(A151="","",IF(COUNTIF(CRM_Interações!$B$5:$B$304,A151)=0,"—",_xlfn.MAXIFS(CRM_Interações!$A$5:$A$304,CRM_Interações!$B$5:$B$304,A151)))</f>
        <v/>
      </c>
      <c r="M151" s="30" t="str">
        <f aca="false">IF(A151="","",COUNTIF(CRM_Interações!$B$5:$B$304,A151))</f>
        <v/>
      </c>
      <c r="N151" s="28" t="str">
        <f aca="false">IF(A151="","",SUMIFS(Vendas!$J$5:$J$304,Vendas!$G$5:$G$304,A151))</f>
        <v/>
      </c>
      <c r="O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32" t="str">
        <f aca="false">IF(A152="","",IF(COUNTIF(CRM_Interações!$B$5:$B$304,A152)=0,"—",_xlfn.MAXIFS(CRM_Interações!$A$5:$A$304,CRM_Interações!$B$5:$B$304,A152)))</f>
        <v/>
      </c>
      <c r="M152" s="30" t="str">
        <f aca="false">IF(A152="","",COUNTIF(CRM_Interações!$B$5:$B$304,A152))</f>
        <v/>
      </c>
      <c r="N152" s="28" t="str">
        <f aca="false">IF(A152="","",SUMIFS(Vendas!$J$5:$J$304,Vendas!$G$5:$G$304,A152))</f>
        <v/>
      </c>
      <c r="O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32" t="str">
        <f aca="false">IF(A153="","",IF(COUNTIF(CRM_Interações!$B$5:$B$304,A153)=0,"—",_xlfn.MAXIFS(CRM_Interações!$A$5:$A$304,CRM_Interações!$B$5:$B$304,A153)))</f>
        <v/>
      </c>
      <c r="M153" s="30" t="str">
        <f aca="false">IF(A153="","",COUNTIF(CRM_Interações!$B$5:$B$304,A153))</f>
        <v/>
      </c>
      <c r="N153" s="28" t="str">
        <f aca="false">IF(A153="","",SUMIFS(Vendas!$J$5:$J$304,Vendas!$G$5:$G$304,A153))</f>
        <v/>
      </c>
      <c r="O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32" t="str">
        <f aca="false">IF(A154="","",IF(COUNTIF(CRM_Interações!$B$5:$B$304,A154)=0,"—",_xlfn.MAXIFS(CRM_Interações!$A$5:$A$304,CRM_Interações!$B$5:$B$304,A154)))</f>
        <v/>
      </c>
      <c r="M154" s="30" t="str">
        <f aca="false">IF(A154="","",COUNTIF(CRM_Interações!$B$5:$B$304,A154))</f>
        <v/>
      </c>
      <c r="N154" s="28" t="str">
        <f aca="false">IF(A154="","",SUMIFS(Vendas!$J$5:$J$304,Vendas!$G$5:$G$304,A154))</f>
        <v/>
      </c>
      <c r="O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32" t="str">
        <f aca="false">IF(A155="","",IF(COUNTIF(CRM_Interações!$B$5:$B$304,A155)=0,"—",_xlfn.MAXIFS(CRM_Interações!$A$5:$A$304,CRM_Interações!$B$5:$B$304,A155)))</f>
        <v/>
      </c>
      <c r="M155" s="30" t="str">
        <f aca="false">IF(A155="","",COUNTIF(CRM_Interações!$B$5:$B$304,A155))</f>
        <v/>
      </c>
      <c r="N155" s="28" t="str">
        <f aca="false">IF(A155="","",SUMIFS(Vendas!$J$5:$J$304,Vendas!$G$5:$G$304,A155))</f>
        <v/>
      </c>
      <c r="O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32" t="str">
        <f aca="false">IF(A156="","",IF(COUNTIF(CRM_Interações!$B$5:$B$304,A156)=0,"—",_xlfn.MAXIFS(CRM_Interações!$A$5:$A$304,CRM_Interações!$B$5:$B$304,A156)))</f>
        <v/>
      </c>
      <c r="M156" s="30" t="str">
        <f aca="false">IF(A156="","",COUNTIF(CRM_Interações!$B$5:$B$304,A156))</f>
        <v/>
      </c>
      <c r="N156" s="28" t="str">
        <f aca="false">IF(A156="","",SUMIFS(Vendas!$J$5:$J$304,Vendas!$G$5:$G$304,A156))</f>
        <v/>
      </c>
      <c r="O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32" t="str">
        <f aca="false">IF(A157="","",IF(COUNTIF(CRM_Interações!$B$5:$B$304,A157)=0,"—",_xlfn.MAXIFS(CRM_Interações!$A$5:$A$304,CRM_Interações!$B$5:$B$304,A157)))</f>
        <v/>
      </c>
      <c r="M157" s="30" t="str">
        <f aca="false">IF(A157="","",COUNTIF(CRM_Interações!$B$5:$B$304,A157))</f>
        <v/>
      </c>
      <c r="N157" s="28" t="str">
        <f aca="false">IF(A157="","",SUMIFS(Vendas!$J$5:$J$304,Vendas!$G$5:$G$304,A157))</f>
        <v/>
      </c>
      <c r="O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32" t="str">
        <f aca="false">IF(A158="","",IF(COUNTIF(CRM_Interações!$B$5:$B$304,A158)=0,"—",_xlfn.MAXIFS(CRM_Interações!$A$5:$A$304,CRM_Interações!$B$5:$B$304,A158)))</f>
        <v/>
      </c>
      <c r="M158" s="30" t="str">
        <f aca="false">IF(A158="","",COUNTIF(CRM_Interações!$B$5:$B$304,A158))</f>
        <v/>
      </c>
      <c r="N158" s="28" t="str">
        <f aca="false">IF(A158="","",SUMIFS(Vendas!$J$5:$J$304,Vendas!$G$5:$G$304,A158))</f>
        <v/>
      </c>
      <c r="O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32" t="str">
        <f aca="false">IF(A159="","",IF(COUNTIF(CRM_Interações!$B$5:$B$304,A159)=0,"—",_xlfn.MAXIFS(CRM_Interações!$A$5:$A$304,CRM_Interações!$B$5:$B$304,A159)))</f>
        <v/>
      </c>
      <c r="M159" s="30" t="str">
        <f aca="false">IF(A159="","",COUNTIF(CRM_Interações!$B$5:$B$304,A159))</f>
        <v/>
      </c>
      <c r="N159" s="28" t="str">
        <f aca="false">IF(A159="","",SUMIFS(Vendas!$J$5:$J$304,Vendas!$G$5:$G$304,A159))</f>
        <v/>
      </c>
      <c r="O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32" t="str">
        <f aca="false">IF(A160="","",IF(COUNTIF(CRM_Interações!$B$5:$B$304,A160)=0,"—",_xlfn.MAXIFS(CRM_Interações!$A$5:$A$304,CRM_Interações!$B$5:$B$304,A160)))</f>
        <v/>
      </c>
      <c r="M160" s="30" t="str">
        <f aca="false">IF(A160="","",COUNTIF(CRM_Interações!$B$5:$B$304,A160))</f>
        <v/>
      </c>
      <c r="N160" s="28" t="str">
        <f aca="false">IF(A160="","",SUMIFS(Vendas!$J$5:$J$304,Vendas!$G$5:$G$304,A160))</f>
        <v/>
      </c>
      <c r="O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32" t="str">
        <f aca="false">IF(A161="","",IF(COUNTIF(CRM_Interações!$B$5:$B$304,A161)=0,"—",_xlfn.MAXIFS(CRM_Interações!$A$5:$A$304,CRM_Interações!$B$5:$B$304,A161)))</f>
        <v/>
      </c>
      <c r="M161" s="30" t="str">
        <f aca="false">IF(A161="","",COUNTIF(CRM_Interações!$B$5:$B$304,A161))</f>
        <v/>
      </c>
      <c r="N161" s="28" t="str">
        <f aca="false">IF(A161="","",SUMIFS(Vendas!$J$5:$J$304,Vendas!$G$5:$G$304,A161))</f>
        <v/>
      </c>
      <c r="O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32" t="str">
        <f aca="false">IF(A162="","",IF(COUNTIF(CRM_Interações!$B$5:$B$304,A162)=0,"—",_xlfn.MAXIFS(CRM_Interações!$A$5:$A$304,CRM_Interações!$B$5:$B$304,A162)))</f>
        <v/>
      </c>
      <c r="M162" s="30" t="str">
        <f aca="false">IF(A162="","",COUNTIF(CRM_Interações!$B$5:$B$304,A162))</f>
        <v/>
      </c>
      <c r="N162" s="28" t="str">
        <f aca="false">IF(A162="","",SUMIFS(Vendas!$J$5:$J$304,Vendas!$G$5:$G$304,A162))</f>
        <v/>
      </c>
      <c r="O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32" t="str">
        <f aca="false">IF(A163="","",IF(COUNTIF(CRM_Interações!$B$5:$B$304,A163)=0,"—",_xlfn.MAXIFS(CRM_Interações!$A$5:$A$304,CRM_Interações!$B$5:$B$304,A163)))</f>
        <v/>
      </c>
      <c r="M163" s="30" t="str">
        <f aca="false">IF(A163="","",COUNTIF(CRM_Interações!$B$5:$B$304,A163))</f>
        <v/>
      </c>
      <c r="N163" s="28" t="str">
        <f aca="false">IF(A163="","",SUMIFS(Vendas!$J$5:$J$304,Vendas!$G$5:$G$304,A163))</f>
        <v/>
      </c>
      <c r="O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2" t="str">
        <f aca="false">IF(A164="","",IF(COUNTIF(CRM_Interações!$B$5:$B$304,A164)=0,"—",_xlfn.MAXIFS(CRM_Interações!$A$5:$A$304,CRM_Interações!$B$5:$B$304,A164)))</f>
        <v/>
      </c>
      <c r="M164" s="30" t="str">
        <f aca="false">IF(A164="","",COUNTIF(CRM_Interações!$B$5:$B$304,A164))</f>
        <v/>
      </c>
      <c r="N164" s="28" t="str">
        <f aca="false">IF(A164="","",SUMIFS(Vendas!$J$5:$J$304,Vendas!$G$5:$G$304,A164))</f>
        <v/>
      </c>
      <c r="O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32" t="str">
        <f aca="false">IF(A165="","",IF(COUNTIF(CRM_Interações!$B$5:$B$304,A165)=0,"—",_xlfn.MAXIFS(CRM_Interações!$A$5:$A$304,CRM_Interações!$B$5:$B$304,A165)))</f>
        <v/>
      </c>
      <c r="M165" s="30" t="str">
        <f aca="false">IF(A165="","",COUNTIF(CRM_Interações!$B$5:$B$304,A165))</f>
        <v/>
      </c>
      <c r="N165" s="28" t="str">
        <f aca="false">IF(A165="","",SUMIFS(Vendas!$J$5:$J$304,Vendas!$G$5:$G$304,A165))</f>
        <v/>
      </c>
      <c r="O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2" t="str">
        <f aca="false">IF(A166="","",IF(COUNTIF(CRM_Interações!$B$5:$B$304,A166)=0,"—",_xlfn.MAXIFS(CRM_Interações!$A$5:$A$304,CRM_Interações!$B$5:$B$304,A166)))</f>
        <v/>
      </c>
      <c r="M166" s="30" t="str">
        <f aca="false">IF(A166="","",COUNTIF(CRM_Interações!$B$5:$B$304,A166))</f>
        <v/>
      </c>
      <c r="N166" s="28" t="str">
        <f aca="false">IF(A166="","",SUMIFS(Vendas!$J$5:$J$304,Vendas!$G$5:$G$304,A166))</f>
        <v/>
      </c>
      <c r="O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2" t="str">
        <f aca="false">IF(A167="","",IF(COUNTIF(CRM_Interações!$B$5:$B$304,A167)=0,"—",_xlfn.MAXIFS(CRM_Interações!$A$5:$A$304,CRM_Interações!$B$5:$B$304,A167)))</f>
        <v/>
      </c>
      <c r="M167" s="30" t="str">
        <f aca="false">IF(A167="","",COUNTIF(CRM_Interações!$B$5:$B$304,A167))</f>
        <v/>
      </c>
      <c r="N167" s="28" t="str">
        <f aca="false">IF(A167="","",SUMIFS(Vendas!$J$5:$J$304,Vendas!$G$5:$G$304,A167))</f>
        <v/>
      </c>
      <c r="O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2" t="str">
        <f aca="false">IF(A168="","",IF(COUNTIF(CRM_Interações!$B$5:$B$304,A168)=0,"—",_xlfn.MAXIFS(CRM_Interações!$A$5:$A$304,CRM_Interações!$B$5:$B$304,A168)))</f>
        <v/>
      </c>
      <c r="M168" s="30" t="str">
        <f aca="false">IF(A168="","",COUNTIF(CRM_Interações!$B$5:$B$304,A168))</f>
        <v/>
      </c>
      <c r="N168" s="28" t="str">
        <f aca="false">IF(A168="","",SUMIFS(Vendas!$J$5:$J$304,Vendas!$G$5:$G$304,A168))</f>
        <v/>
      </c>
      <c r="O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2" t="str">
        <f aca="false">IF(A169="","",IF(COUNTIF(CRM_Interações!$B$5:$B$304,A169)=0,"—",_xlfn.MAXIFS(CRM_Interações!$A$5:$A$304,CRM_Interações!$B$5:$B$304,A169)))</f>
        <v/>
      </c>
      <c r="M169" s="30" t="str">
        <f aca="false">IF(A169="","",COUNTIF(CRM_Interações!$B$5:$B$304,A169))</f>
        <v/>
      </c>
      <c r="N169" s="28" t="str">
        <f aca="false">IF(A169="","",SUMIFS(Vendas!$J$5:$J$304,Vendas!$G$5:$G$304,A169))</f>
        <v/>
      </c>
      <c r="O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2" t="str">
        <f aca="false">IF(A170="","",IF(COUNTIF(CRM_Interações!$B$5:$B$304,A170)=0,"—",_xlfn.MAXIFS(CRM_Interações!$A$5:$A$304,CRM_Interações!$B$5:$B$304,A170)))</f>
        <v/>
      </c>
      <c r="M170" s="30" t="str">
        <f aca="false">IF(A170="","",COUNTIF(CRM_Interações!$B$5:$B$304,A170))</f>
        <v/>
      </c>
      <c r="N170" s="28" t="str">
        <f aca="false">IF(A170="","",SUMIFS(Vendas!$J$5:$J$304,Vendas!$G$5:$G$304,A170))</f>
        <v/>
      </c>
      <c r="O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2" t="str">
        <f aca="false">IF(A171="","",IF(COUNTIF(CRM_Interações!$B$5:$B$304,A171)=0,"—",_xlfn.MAXIFS(CRM_Interações!$A$5:$A$304,CRM_Interações!$B$5:$B$304,A171)))</f>
        <v/>
      </c>
      <c r="M171" s="30" t="str">
        <f aca="false">IF(A171="","",COUNTIF(CRM_Interações!$B$5:$B$304,A171))</f>
        <v/>
      </c>
      <c r="N171" s="28" t="str">
        <f aca="false">IF(A171="","",SUMIFS(Vendas!$J$5:$J$304,Vendas!$G$5:$G$304,A171))</f>
        <v/>
      </c>
      <c r="O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2" t="str">
        <f aca="false">IF(A172="","",IF(COUNTIF(CRM_Interações!$B$5:$B$304,A172)=0,"—",_xlfn.MAXIFS(CRM_Interações!$A$5:$A$304,CRM_Interações!$B$5:$B$304,A172)))</f>
        <v/>
      </c>
      <c r="M172" s="30" t="str">
        <f aca="false">IF(A172="","",COUNTIF(CRM_Interações!$B$5:$B$304,A172))</f>
        <v/>
      </c>
      <c r="N172" s="28" t="str">
        <f aca="false">IF(A172="","",SUMIFS(Vendas!$J$5:$J$304,Vendas!$G$5:$G$304,A172))</f>
        <v/>
      </c>
      <c r="O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2" t="str">
        <f aca="false">IF(A173="","",IF(COUNTIF(CRM_Interações!$B$5:$B$304,A173)=0,"—",_xlfn.MAXIFS(CRM_Interações!$A$5:$A$304,CRM_Interações!$B$5:$B$304,A173)))</f>
        <v/>
      </c>
      <c r="M173" s="30" t="str">
        <f aca="false">IF(A173="","",COUNTIF(CRM_Interações!$B$5:$B$304,A173))</f>
        <v/>
      </c>
      <c r="N173" s="28" t="str">
        <f aca="false">IF(A173="","",SUMIFS(Vendas!$J$5:$J$304,Vendas!$G$5:$G$304,A173))</f>
        <v/>
      </c>
      <c r="O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2" t="str">
        <f aca="false">IF(A174="","",IF(COUNTIF(CRM_Interações!$B$5:$B$304,A174)=0,"—",_xlfn.MAXIFS(CRM_Interações!$A$5:$A$304,CRM_Interações!$B$5:$B$304,A174)))</f>
        <v/>
      </c>
      <c r="M174" s="30" t="str">
        <f aca="false">IF(A174="","",COUNTIF(CRM_Interações!$B$5:$B$304,A174))</f>
        <v/>
      </c>
      <c r="N174" s="28" t="str">
        <f aca="false">IF(A174="","",SUMIFS(Vendas!$J$5:$J$304,Vendas!$G$5:$G$304,A174))</f>
        <v/>
      </c>
      <c r="O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2" t="str">
        <f aca="false">IF(A175="","",IF(COUNTIF(CRM_Interações!$B$5:$B$304,A175)=0,"—",_xlfn.MAXIFS(CRM_Interações!$A$5:$A$304,CRM_Interações!$B$5:$B$304,A175)))</f>
        <v/>
      </c>
      <c r="M175" s="30" t="str">
        <f aca="false">IF(A175="","",COUNTIF(CRM_Interações!$B$5:$B$304,A175))</f>
        <v/>
      </c>
      <c r="N175" s="28" t="str">
        <f aca="false">IF(A175="","",SUMIFS(Vendas!$J$5:$J$304,Vendas!$G$5:$G$304,A175))</f>
        <v/>
      </c>
      <c r="O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2" t="str">
        <f aca="false">IF(A176="","",IF(COUNTIF(CRM_Interações!$B$5:$B$304,A176)=0,"—",_xlfn.MAXIFS(CRM_Interações!$A$5:$A$304,CRM_Interações!$B$5:$B$304,A176)))</f>
        <v/>
      </c>
      <c r="M176" s="30" t="str">
        <f aca="false">IF(A176="","",COUNTIF(CRM_Interações!$B$5:$B$304,A176))</f>
        <v/>
      </c>
      <c r="N176" s="28" t="str">
        <f aca="false">IF(A176="","",SUMIFS(Vendas!$J$5:$J$304,Vendas!$G$5:$G$304,A176))</f>
        <v/>
      </c>
      <c r="O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2" t="str">
        <f aca="false">IF(A177="","",IF(COUNTIF(CRM_Interações!$B$5:$B$304,A177)=0,"—",_xlfn.MAXIFS(CRM_Interações!$A$5:$A$304,CRM_Interações!$B$5:$B$304,A177)))</f>
        <v/>
      </c>
      <c r="M177" s="30" t="str">
        <f aca="false">IF(A177="","",COUNTIF(CRM_Interações!$B$5:$B$304,A177))</f>
        <v/>
      </c>
      <c r="N177" s="28" t="str">
        <f aca="false">IF(A177="","",SUMIFS(Vendas!$J$5:$J$304,Vendas!$G$5:$G$304,A177))</f>
        <v/>
      </c>
      <c r="O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2" t="str">
        <f aca="false">IF(A178="","",IF(COUNTIF(CRM_Interações!$B$5:$B$304,A178)=0,"—",_xlfn.MAXIFS(CRM_Interações!$A$5:$A$304,CRM_Interações!$B$5:$B$304,A178)))</f>
        <v/>
      </c>
      <c r="M178" s="30" t="str">
        <f aca="false">IF(A178="","",COUNTIF(CRM_Interações!$B$5:$B$304,A178))</f>
        <v/>
      </c>
      <c r="N178" s="28" t="str">
        <f aca="false">IF(A178="","",SUMIFS(Vendas!$J$5:$J$304,Vendas!$G$5:$G$304,A178))</f>
        <v/>
      </c>
      <c r="O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32" t="str">
        <f aca="false">IF(A179="","",IF(COUNTIF(CRM_Interações!$B$5:$B$304,A179)=0,"—",_xlfn.MAXIFS(CRM_Interações!$A$5:$A$304,CRM_Interações!$B$5:$B$304,A179)))</f>
        <v/>
      </c>
      <c r="M179" s="30" t="str">
        <f aca="false">IF(A179="","",COUNTIF(CRM_Interações!$B$5:$B$304,A179))</f>
        <v/>
      </c>
      <c r="N179" s="28" t="str">
        <f aca="false">IF(A179="","",SUMIFS(Vendas!$J$5:$J$304,Vendas!$G$5:$G$304,A179))</f>
        <v/>
      </c>
      <c r="O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32" t="str">
        <f aca="false">IF(A180="","",IF(COUNTIF(CRM_Interações!$B$5:$B$304,A180)=0,"—",_xlfn.MAXIFS(CRM_Interações!$A$5:$A$304,CRM_Interações!$B$5:$B$304,A180)))</f>
        <v/>
      </c>
      <c r="M180" s="30" t="str">
        <f aca="false">IF(A180="","",COUNTIF(CRM_Interações!$B$5:$B$304,A180))</f>
        <v/>
      </c>
      <c r="N180" s="28" t="str">
        <f aca="false">IF(A180="","",SUMIFS(Vendas!$J$5:$J$304,Vendas!$G$5:$G$304,A180))</f>
        <v/>
      </c>
      <c r="O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2" t="str">
        <f aca="false">IF(A181="","",IF(COUNTIF(CRM_Interações!$B$5:$B$304,A181)=0,"—",_xlfn.MAXIFS(CRM_Interações!$A$5:$A$304,CRM_Interações!$B$5:$B$304,A181)))</f>
        <v/>
      </c>
      <c r="M181" s="30" t="str">
        <f aca="false">IF(A181="","",COUNTIF(CRM_Interações!$B$5:$B$304,A181))</f>
        <v/>
      </c>
      <c r="N181" s="28" t="str">
        <f aca="false">IF(A181="","",SUMIFS(Vendas!$J$5:$J$304,Vendas!$G$5:$G$304,A181))</f>
        <v/>
      </c>
      <c r="O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32" t="str">
        <f aca="false">IF(A182="","",IF(COUNTIF(CRM_Interações!$B$5:$B$304,A182)=0,"—",_xlfn.MAXIFS(CRM_Interações!$A$5:$A$304,CRM_Interações!$B$5:$B$304,A182)))</f>
        <v/>
      </c>
      <c r="M182" s="30" t="str">
        <f aca="false">IF(A182="","",COUNTIF(CRM_Interações!$B$5:$B$304,A182))</f>
        <v/>
      </c>
      <c r="N182" s="28" t="str">
        <f aca="false">IF(A182="","",SUMIFS(Vendas!$J$5:$J$304,Vendas!$G$5:$G$304,A182))</f>
        <v/>
      </c>
      <c r="O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32" t="str">
        <f aca="false">IF(A183="","",IF(COUNTIF(CRM_Interações!$B$5:$B$304,A183)=0,"—",_xlfn.MAXIFS(CRM_Interações!$A$5:$A$304,CRM_Interações!$B$5:$B$304,A183)))</f>
        <v/>
      </c>
      <c r="M183" s="30" t="str">
        <f aca="false">IF(A183="","",COUNTIF(CRM_Interações!$B$5:$B$304,A183))</f>
        <v/>
      </c>
      <c r="N183" s="28" t="str">
        <f aca="false">IF(A183="","",SUMIFS(Vendas!$J$5:$J$304,Vendas!$G$5:$G$304,A183))</f>
        <v/>
      </c>
      <c r="O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32" t="str">
        <f aca="false">IF(A184="","",IF(COUNTIF(CRM_Interações!$B$5:$B$304,A184)=0,"—",_xlfn.MAXIFS(CRM_Interações!$A$5:$A$304,CRM_Interações!$B$5:$B$304,A184)))</f>
        <v/>
      </c>
      <c r="M184" s="30" t="str">
        <f aca="false">IF(A184="","",COUNTIF(CRM_Interações!$B$5:$B$304,A184))</f>
        <v/>
      </c>
      <c r="N184" s="28" t="str">
        <f aca="false">IF(A184="","",SUMIFS(Vendas!$J$5:$J$304,Vendas!$G$5:$G$304,A184))</f>
        <v/>
      </c>
      <c r="O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32" t="str">
        <f aca="false">IF(A185="","",IF(COUNTIF(CRM_Interações!$B$5:$B$304,A185)=0,"—",_xlfn.MAXIFS(CRM_Interações!$A$5:$A$304,CRM_Interações!$B$5:$B$304,A185)))</f>
        <v/>
      </c>
      <c r="M185" s="30" t="str">
        <f aca="false">IF(A185="","",COUNTIF(CRM_Interações!$B$5:$B$304,A185))</f>
        <v/>
      </c>
      <c r="N185" s="28" t="str">
        <f aca="false">IF(A185="","",SUMIFS(Vendas!$J$5:$J$304,Vendas!$G$5:$G$304,A185))</f>
        <v/>
      </c>
      <c r="O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32" t="str">
        <f aca="false">IF(A186="","",IF(COUNTIF(CRM_Interações!$B$5:$B$304,A186)=0,"—",_xlfn.MAXIFS(CRM_Interações!$A$5:$A$304,CRM_Interações!$B$5:$B$304,A186)))</f>
        <v/>
      </c>
      <c r="M186" s="30" t="str">
        <f aca="false">IF(A186="","",COUNTIF(CRM_Interações!$B$5:$B$304,A186))</f>
        <v/>
      </c>
      <c r="N186" s="28" t="str">
        <f aca="false">IF(A186="","",SUMIFS(Vendas!$J$5:$J$304,Vendas!$G$5:$G$304,A186))</f>
        <v/>
      </c>
      <c r="O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32" t="str">
        <f aca="false">IF(A187="","",IF(COUNTIF(CRM_Interações!$B$5:$B$304,A187)=0,"—",_xlfn.MAXIFS(CRM_Interações!$A$5:$A$304,CRM_Interações!$B$5:$B$304,A187)))</f>
        <v/>
      </c>
      <c r="M187" s="30" t="str">
        <f aca="false">IF(A187="","",COUNTIF(CRM_Interações!$B$5:$B$304,A187))</f>
        <v/>
      </c>
      <c r="N187" s="28" t="str">
        <f aca="false">IF(A187="","",SUMIFS(Vendas!$J$5:$J$304,Vendas!$G$5:$G$304,A187))</f>
        <v/>
      </c>
      <c r="O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32" t="str">
        <f aca="false">IF(A188="","",IF(COUNTIF(CRM_Interações!$B$5:$B$304,A188)=0,"—",_xlfn.MAXIFS(CRM_Interações!$A$5:$A$304,CRM_Interações!$B$5:$B$304,A188)))</f>
        <v/>
      </c>
      <c r="M188" s="30" t="str">
        <f aca="false">IF(A188="","",COUNTIF(CRM_Interações!$B$5:$B$304,A188))</f>
        <v/>
      </c>
      <c r="N188" s="28" t="str">
        <f aca="false">IF(A188="","",SUMIFS(Vendas!$J$5:$J$304,Vendas!$G$5:$G$304,A188))</f>
        <v/>
      </c>
      <c r="O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32" t="str">
        <f aca="false">IF(A189="","",IF(COUNTIF(CRM_Interações!$B$5:$B$304,A189)=0,"—",_xlfn.MAXIFS(CRM_Interações!$A$5:$A$304,CRM_Interações!$B$5:$B$304,A189)))</f>
        <v/>
      </c>
      <c r="M189" s="30" t="str">
        <f aca="false">IF(A189="","",COUNTIF(CRM_Interações!$B$5:$B$304,A189))</f>
        <v/>
      </c>
      <c r="N189" s="28" t="str">
        <f aca="false">IF(A189="","",SUMIFS(Vendas!$J$5:$J$304,Vendas!$G$5:$G$304,A189))</f>
        <v/>
      </c>
      <c r="O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32" t="str">
        <f aca="false">IF(A190="","",IF(COUNTIF(CRM_Interações!$B$5:$B$304,A190)=0,"—",_xlfn.MAXIFS(CRM_Interações!$A$5:$A$304,CRM_Interações!$B$5:$B$304,A190)))</f>
        <v/>
      </c>
      <c r="M190" s="30" t="str">
        <f aca="false">IF(A190="","",COUNTIF(CRM_Interações!$B$5:$B$304,A190))</f>
        <v/>
      </c>
      <c r="N190" s="28" t="str">
        <f aca="false">IF(A190="","",SUMIFS(Vendas!$J$5:$J$304,Vendas!$G$5:$G$304,A190))</f>
        <v/>
      </c>
      <c r="O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2" t="str">
        <f aca="false">IF(A191="","",IF(COUNTIF(CRM_Interações!$B$5:$B$304,A191)=0,"—",_xlfn.MAXIFS(CRM_Interações!$A$5:$A$304,CRM_Interações!$B$5:$B$304,A191)))</f>
        <v/>
      </c>
      <c r="M191" s="30" t="str">
        <f aca="false">IF(A191="","",COUNTIF(CRM_Interações!$B$5:$B$304,A191))</f>
        <v/>
      </c>
      <c r="N191" s="28" t="str">
        <f aca="false">IF(A191="","",SUMIFS(Vendas!$J$5:$J$304,Vendas!$G$5:$G$304,A191))</f>
        <v/>
      </c>
      <c r="O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32" t="str">
        <f aca="false">IF(A192="","",IF(COUNTIF(CRM_Interações!$B$5:$B$304,A192)=0,"—",_xlfn.MAXIFS(CRM_Interações!$A$5:$A$304,CRM_Interações!$B$5:$B$304,A192)))</f>
        <v/>
      </c>
      <c r="M192" s="30" t="str">
        <f aca="false">IF(A192="","",COUNTIF(CRM_Interações!$B$5:$B$304,A192))</f>
        <v/>
      </c>
      <c r="N192" s="28" t="str">
        <f aca="false">IF(A192="","",SUMIFS(Vendas!$J$5:$J$304,Vendas!$G$5:$G$304,A192))</f>
        <v/>
      </c>
      <c r="O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2" t="str">
        <f aca="false">IF(A193="","",IF(COUNTIF(CRM_Interações!$B$5:$B$304,A193)=0,"—",_xlfn.MAXIFS(CRM_Interações!$A$5:$A$304,CRM_Interações!$B$5:$B$304,A193)))</f>
        <v/>
      </c>
      <c r="M193" s="30" t="str">
        <f aca="false">IF(A193="","",COUNTIF(CRM_Interações!$B$5:$B$304,A193))</f>
        <v/>
      </c>
      <c r="N193" s="28" t="str">
        <f aca="false">IF(A193="","",SUMIFS(Vendas!$J$5:$J$304,Vendas!$G$5:$G$304,A193))</f>
        <v/>
      </c>
      <c r="O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2" t="str">
        <f aca="false">IF(A194="","",IF(COUNTIF(CRM_Interações!$B$5:$B$304,A194)=0,"—",_xlfn.MAXIFS(CRM_Interações!$A$5:$A$304,CRM_Interações!$B$5:$B$304,A194)))</f>
        <v/>
      </c>
      <c r="M194" s="30" t="str">
        <f aca="false">IF(A194="","",COUNTIF(CRM_Interações!$B$5:$B$304,A194))</f>
        <v/>
      </c>
      <c r="N194" s="28" t="str">
        <f aca="false">IF(A194="","",SUMIFS(Vendas!$J$5:$J$304,Vendas!$G$5:$G$304,A194))</f>
        <v/>
      </c>
      <c r="O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32" t="str">
        <f aca="false">IF(A195="","",IF(COUNTIF(CRM_Interações!$B$5:$B$304,A195)=0,"—",_xlfn.MAXIFS(CRM_Interações!$A$5:$A$304,CRM_Interações!$B$5:$B$304,A195)))</f>
        <v/>
      </c>
      <c r="M195" s="30" t="str">
        <f aca="false">IF(A195="","",COUNTIF(CRM_Interações!$B$5:$B$304,A195))</f>
        <v/>
      </c>
      <c r="N195" s="28" t="str">
        <f aca="false">IF(A195="","",SUMIFS(Vendas!$J$5:$J$304,Vendas!$G$5:$G$304,A195))</f>
        <v/>
      </c>
      <c r="O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32" t="str">
        <f aca="false">IF(A196="","",IF(COUNTIF(CRM_Interações!$B$5:$B$304,A196)=0,"—",_xlfn.MAXIFS(CRM_Interações!$A$5:$A$304,CRM_Interações!$B$5:$B$304,A196)))</f>
        <v/>
      </c>
      <c r="M196" s="30" t="str">
        <f aca="false">IF(A196="","",COUNTIF(CRM_Interações!$B$5:$B$304,A196))</f>
        <v/>
      </c>
      <c r="N196" s="28" t="str">
        <f aca="false">IF(A196="","",SUMIFS(Vendas!$J$5:$J$304,Vendas!$G$5:$G$304,A196))</f>
        <v/>
      </c>
      <c r="O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2" t="str">
        <f aca="false">IF(A197="","",IF(COUNTIF(CRM_Interações!$B$5:$B$304,A197)=0,"—",_xlfn.MAXIFS(CRM_Interações!$A$5:$A$304,CRM_Interações!$B$5:$B$304,A197)))</f>
        <v/>
      </c>
      <c r="M197" s="30" t="str">
        <f aca="false">IF(A197="","",COUNTIF(CRM_Interações!$B$5:$B$304,A197))</f>
        <v/>
      </c>
      <c r="N197" s="28" t="str">
        <f aca="false">IF(A197="","",SUMIFS(Vendas!$J$5:$J$304,Vendas!$G$5:$G$304,A197))</f>
        <v/>
      </c>
      <c r="O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32" t="str">
        <f aca="false">IF(A198="","",IF(COUNTIF(CRM_Interações!$B$5:$B$304,A198)=0,"—",_xlfn.MAXIFS(CRM_Interações!$A$5:$A$304,CRM_Interações!$B$5:$B$304,A198)))</f>
        <v/>
      </c>
      <c r="M198" s="30" t="str">
        <f aca="false">IF(A198="","",COUNTIF(CRM_Interações!$B$5:$B$304,A198))</f>
        <v/>
      </c>
      <c r="N198" s="28" t="str">
        <f aca="false">IF(A198="","",SUMIFS(Vendas!$J$5:$J$304,Vendas!$G$5:$G$304,A198))</f>
        <v/>
      </c>
      <c r="O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2" t="str">
        <f aca="false">IF(A199="","",IF(COUNTIF(CRM_Interações!$B$5:$B$304,A199)=0,"—",_xlfn.MAXIFS(CRM_Interações!$A$5:$A$304,CRM_Interações!$B$5:$B$304,A199)))</f>
        <v/>
      </c>
      <c r="M199" s="30" t="str">
        <f aca="false">IF(A199="","",COUNTIF(CRM_Interações!$B$5:$B$304,A199))</f>
        <v/>
      </c>
      <c r="N199" s="28" t="str">
        <f aca="false">IF(A199="","",SUMIFS(Vendas!$J$5:$J$304,Vendas!$G$5:$G$304,A199))</f>
        <v/>
      </c>
      <c r="O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32" t="str">
        <f aca="false">IF(A200="","",IF(COUNTIF(CRM_Interações!$B$5:$B$304,A200)=0,"—",_xlfn.MAXIFS(CRM_Interações!$A$5:$A$304,CRM_Interações!$B$5:$B$304,A200)))</f>
        <v/>
      </c>
      <c r="M200" s="30" t="str">
        <f aca="false">IF(A200="","",COUNTIF(CRM_Interações!$B$5:$B$304,A200))</f>
        <v/>
      </c>
      <c r="N200" s="28" t="str">
        <f aca="false">IF(A200="","",SUMIFS(Vendas!$J$5:$J$304,Vendas!$G$5:$G$304,A200))</f>
        <v/>
      </c>
      <c r="O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32" t="str">
        <f aca="false">IF(A201="","",IF(COUNTIF(CRM_Interações!$B$5:$B$304,A201)=0,"—",_xlfn.MAXIFS(CRM_Interações!$A$5:$A$304,CRM_Interações!$B$5:$B$304,A201)))</f>
        <v/>
      </c>
      <c r="M201" s="30" t="str">
        <f aca="false">IF(A201="","",COUNTIF(CRM_Interações!$B$5:$B$304,A201))</f>
        <v/>
      </c>
      <c r="N201" s="28" t="str">
        <f aca="false">IF(A201="","",SUMIFS(Vendas!$J$5:$J$304,Vendas!$G$5:$G$304,A201))</f>
        <v/>
      </c>
      <c r="O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32" t="str">
        <f aca="false">IF(A202="","",IF(COUNTIF(CRM_Interações!$B$5:$B$304,A202)=0,"—",_xlfn.MAXIFS(CRM_Interações!$A$5:$A$304,CRM_Interações!$B$5:$B$304,A202)))</f>
        <v/>
      </c>
      <c r="M202" s="30" t="str">
        <f aca="false">IF(A202="","",COUNTIF(CRM_Interações!$B$5:$B$304,A202))</f>
        <v/>
      </c>
      <c r="N202" s="28" t="str">
        <f aca="false">IF(A202="","",SUMIFS(Vendas!$J$5:$J$304,Vendas!$G$5:$G$304,A202))</f>
        <v/>
      </c>
      <c r="O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32" t="str">
        <f aca="false">IF(A203="","",IF(COUNTIF(CRM_Interações!$B$5:$B$304,A203)=0,"—",_xlfn.MAXIFS(CRM_Interações!$A$5:$A$304,CRM_Interações!$B$5:$B$304,A203)))</f>
        <v/>
      </c>
      <c r="M203" s="30" t="str">
        <f aca="false">IF(A203="","",COUNTIF(CRM_Interações!$B$5:$B$304,A203))</f>
        <v/>
      </c>
      <c r="N203" s="28" t="str">
        <f aca="false">IF(A203="","",SUMIFS(Vendas!$J$5:$J$304,Vendas!$G$5:$G$304,A203))</f>
        <v/>
      </c>
      <c r="O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32" t="str">
        <f aca="false">IF(A204="","",IF(COUNTIF(CRM_Interações!$B$5:$B$304,A204)=0,"—",_xlfn.MAXIFS(CRM_Interações!$A$5:$A$304,CRM_Interações!$B$5:$B$304,A204)))</f>
        <v/>
      </c>
      <c r="M204" s="30" t="str">
        <f aca="false">IF(A204="","",COUNTIF(CRM_Interações!$B$5:$B$304,A204))</f>
        <v/>
      </c>
      <c r="N204" s="28" t="str">
        <f aca="false">IF(A204="","",SUMIFS(Vendas!$J$5:$J$304,Vendas!$G$5:$G$304,A204))</f>
        <v/>
      </c>
      <c r="O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32" t="str">
        <f aca="false">IF(A205="","",IF(COUNTIF(CRM_Interações!$B$5:$B$304,A205)=0,"—",_xlfn.MAXIFS(CRM_Interações!$A$5:$A$304,CRM_Interações!$B$5:$B$304,A205)))</f>
        <v/>
      </c>
      <c r="M205" s="30" t="str">
        <f aca="false">IF(A205="","",COUNTIF(CRM_Interações!$B$5:$B$304,A205))</f>
        <v/>
      </c>
      <c r="N205" s="28" t="str">
        <f aca="false">IF(A205="","",SUMIFS(Vendas!$J$5:$J$304,Vendas!$G$5:$G$304,A205))</f>
        <v/>
      </c>
      <c r="O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32" t="str">
        <f aca="false">IF(A206="","",IF(COUNTIF(CRM_Interações!$B$5:$B$304,A206)=0,"—",_xlfn.MAXIFS(CRM_Interações!$A$5:$A$304,CRM_Interações!$B$5:$B$304,A206)))</f>
        <v/>
      </c>
      <c r="M206" s="30" t="str">
        <f aca="false">IF(A206="","",COUNTIF(CRM_Interações!$B$5:$B$304,A206))</f>
        <v/>
      </c>
      <c r="N206" s="28" t="str">
        <f aca="false">IF(A206="","",SUMIFS(Vendas!$J$5:$J$304,Vendas!$G$5:$G$304,A206))</f>
        <v/>
      </c>
      <c r="O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32" t="str">
        <f aca="false">IF(A207="","",IF(COUNTIF(CRM_Interações!$B$5:$B$304,A207)=0,"—",_xlfn.MAXIFS(CRM_Interações!$A$5:$A$304,CRM_Interações!$B$5:$B$304,A207)))</f>
        <v/>
      </c>
      <c r="M207" s="30" t="str">
        <f aca="false">IF(A207="","",COUNTIF(CRM_Interações!$B$5:$B$304,A207))</f>
        <v/>
      </c>
      <c r="N207" s="28" t="str">
        <f aca="false">IF(A207="","",SUMIFS(Vendas!$J$5:$J$304,Vendas!$G$5:$G$304,A207))</f>
        <v/>
      </c>
      <c r="O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32" t="str">
        <f aca="false">IF(A208="","",IF(COUNTIF(CRM_Interações!$B$5:$B$304,A208)=0,"—",_xlfn.MAXIFS(CRM_Interações!$A$5:$A$304,CRM_Interações!$B$5:$B$304,A208)))</f>
        <v/>
      </c>
      <c r="M208" s="30" t="str">
        <f aca="false">IF(A208="","",COUNTIF(CRM_Interações!$B$5:$B$304,A208))</f>
        <v/>
      </c>
      <c r="N208" s="28" t="str">
        <f aca="false">IF(A208="","",SUMIFS(Vendas!$J$5:$J$304,Vendas!$G$5:$G$304,A208))</f>
        <v/>
      </c>
      <c r="O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32" t="str">
        <f aca="false">IF(A209="","",IF(COUNTIF(CRM_Interações!$B$5:$B$304,A209)=0,"—",_xlfn.MAXIFS(CRM_Interações!$A$5:$A$304,CRM_Interações!$B$5:$B$304,A209)))</f>
        <v/>
      </c>
      <c r="M209" s="30" t="str">
        <f aca="false">IF(A209="","",COUNTIF(CRM_Interações!$B$5:$B$304,A209))</f>
        <v/>
      </c>
      <c r="N209" s="28" t="str">
        <f aca="false">IF(A209="","",SUMIFS(Vendas!$J$5:$J$304,Vendas!$G$5:$G$304,A209))</f>
        <v/>
      </c>
      <c r="O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32" t="str">
        <f aca="false">IF(A210="","",IF(COUNTIF(CRM_Interações!$B$5:$B$304,A210)=0,"—",_xlfn.MAXIFS(CRM_Interações!$A$5:$A$304,CRM_Interações!$B$5:$B$304,A210)))</f>
        <v/>
      </c>
      <c r="M210" s="30" t="str">
        <f aca="false">IF(A210="","",COUNTIF(CRM_Interações!$B$5:$B$304,A210))</f>
        <v/>
      </c>
      <c r="N210" s="28" t="str">
        <f aca="false">IF(A210="","",SUMIFS(Vendas!$J$5:$J$304,Vendas!$G$5:$G$304,A210))</f>
        <v/>
      </c>
      <c r="O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32" t="str">
        <f aca="false">IF(A211="","",IF(COUNTIF(CRM_Interações!$B$5:$B$304,A211)=0,"—",_xlfn.MAXIFS(CRM_Interações!$A$5:$A$304,CRM_Interações!$B$5:$B$304,A211)))</f>
        <v/>
      </c>
      <c r="M211" s="30" t="str">
        <f aca="false">IF(A211="","",COUNTIF(CRM_Interações!$B$5:$B$304,A211))</f>
        <v/>
      </c>
      <c r="N211" s="28" t="str">
        <f aca="false">IF(A211="","",SUMIFS(Vendas!$J$5:$J$304,Vendas!$G$5:$G$304,A211))</f>
        <v/>
      </c>
      <c r="O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32" t="str">
        <f aca="false">IF(A212="","",IF(COUNTIF(CRM_Interações!$B$5:$B$304,A212)=0,"—",_xlfn.MAXIFS(CRM_Interações!$A$5:$A$304,CRM_Interações!$B$5:$B$304,A212)))</f>
        <v/>
      </c>
      <c r="M212" s="30" t="str">
        <f aca="false">IF(A212="","",COUNTIF(CRM_Interações!$B$5:$B$304,A212))</f>
        <v/>
      </c>
      <c r="N212" s="28" t="str">
        <f aca="false">IF(A212="","",SUMIFS(Vendas!$J$5:$J$304,Vendas!$G$5:$G$304,A212))</f>
        <v/>
      </c>
      <c r="O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32" t="str">
        <f aca="false">IF(A213="","",IF(COUNTIF(CRM_Interações!$B$5:$B$304,A213)=0,"—",_xlfn.MAXIFS(CRM_Interações!$A$5:$A$304,CRM_Interações!$B$5:$B$304,A213)))</f>
        <v/>
      </c>
      <c r="M213" s="30" t="str">
        <f aca="false">IF(A213="","",COUNTIF(CRM_Interações!$B$5:$B$304,A213))</f>
        <v/>
      </c>
      <c r="N213" s="28" t="str">
        <f aca="false">IF(A213="","",SUMIFS(Vendas!$J$5:$J$304,Vendas!$G$5:$G$304,A213))</f>
        <v/>
      </c>
      <c r="O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32" t="str">
        <f aca="false">IF(A214="","",IF(COUNTIF(CRM_Interações!$B$5:$B$304,A214)=0,"—",_xlfn.MAXIFS(CRM_Interações!$A$5:$A$304,CRM_Interações!$B$5:$B$304,A214)))</f>
        <v/>
      </c>
      <c r="M214" s="30" t="str">
        <f aca="false">IF(A214="","",COUNTIF(CRM_Interações!$B$5:$B$304,A214))</f>
        <v/>
      </c>
      <c r="N214" s="28" t="str">
        <f aca="false">IF(A214="","",SUMIFS(Vendas!$J$5:$J$304,Vendas!$G$5:$G$304,A214))</f>
        <v/>
      </c>
      <c r="O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32" t="str">
        <f aca="false">IF(A215="","",IF(COUNTIF(CRM_Interações!$B$5:$B$304,A215)=0,"—",_xlfn.MAXIFS(CRM_Interações!$A$5:$A$304,CRM_Interações!$B$5:$B$304,A215)))</f>
        <v/>
      </c>
      <c r="M215" s="30" t="str">
        <f aca="false">IF(A215="","",COUNTIF(CRM_Interações!$B$5:$B$304,A215))</f>
        <v/>
      </c>
      <c r="N215" s="28" t="str">
        <f aca="false">IF(A215="","",SUMIFS(Vendas!$J$5:$J$304,Vendas!$G$5:$G$304,A215))</f>
        <v/>
      </c>
      <c r="O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32" t="str">
        <f aca="false">IF(A216="","",IF(COUNTIF(CRM_Interações!$B$5:$B$304,A216)=0,"—",_xlfn.MAXIFS(CRM_Interações!$A$5:$A$304,CRM_Interações!$B$5:$B$304,A216)))</f>
        <v/>
      </c>
      <c r="M216" s="30" t="str">
        <f aca="false">IF(A216="","",COUNTIF(CRM_Interações!$B$5:$B$304,A216))</f>
        <v/>
      </c>
      <c r="N216" s="28" t="str">
        <f aca="false">IF(A216="","",SUMIFS(Vendas!$J$5:$J$304,Vendas!$G$5:$G$304,A216))</f>
        <v/>
      </c>
      <c r="O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32" t="str">
        <f aca="false">IF(A217="","",IF(COUNTIF(CRM_Interações!$B$5:$B$304,A217)=0,"—",_xlfn.MAXIFS(CRM_Interações!$A$5:$A$304,CRM_Interações!$B$5:$B$304,A217)))</f>
        <v/>
      </c>
      <c r="M217" s="30" t="str">
        <f aca="false">IF(A217="","",COUNTIF(CRM_Interações!$B$5:$B$304,A217))</f>
        <v/>
      </c>
      <c r="N217" s="28" t="str">
        <f aca="false">IF(A217="","",SUMIFS(Vendas!$J$5:$J$304,Vendas!$G$5:$G$304,A217))</f>
        <v/>
      </c>
      <c r="O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32" t="str">
        <f aca="false">IF(A218="","",IF(COUNTIF(CRM_Interações!$B$5:$B$304,A218)=0,"—",_xlfn.MAXIFS(CRM_Interações!$A$5:$A$304,CRM_Interações!$B$5:$B$304,A218)))</f>
        <v/>
      </c>
      <c r="M218" s="30" t="str">
        <f aca="false">IF(A218="","",COUNTIF(CRM_Interações!$B$5:$B$304,A218))</f>
        <v/>
      </c>
      <c r="N218" s="28" t="str">
        <f aca="false">IF(A218="","",SUMIFS(Vendas!$J$5:$J$304,Vendas!$G$5:$G$304,A218))</f>
        <v/>
      </c>
      <c r="O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32" t="str">
        <f aca="false">IF(A219="","",IF(COUNTIF(CRM_Interações!$B$5:$B$304,A219)=0,"—",_xlfn.MAXIFS(CRM_Interações!$A$5:$A$304,CRM_Interações!$B$5:$B$304,A219)))</f>
        <v/>
      </c>
      <c r="M219" s="30" t="str">
        <f aca="false">IF(A219="","",COUNTIF(CRM_Interações!$B$5:$B$304,A219))</f>
        <v/>
      </c>
      <c r="N219" s="28" t="str">
        <f aca="false">IF(A219="","",SUMIFS(Vendas!$J$5:$J$304,Vendas!$G$5:$G$304,A219))</f>
        <v/>
      </c>
      <c r="O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32" t="str">
        <f aca="false">IF(A220="","",IF(COUNTIF(CRM_Interações!$B$5:$B$304,A220)=0,"—",_xlfn.MAXIFS(CRM_Interações!$A$5:$A$304,CRM_Interações!$B$5:$B$304,A220)))</f>
        <v/>
      </c>
      <c r="M220" s="30" t="str">
        <f aca="false">IF(A220="","",COUNTIF(CRM_Interações!$B$5:$B$304,A220))</f>
        <v/>
      </c>
      <c r="N220" s="28" t="str">
        <f aca="false">IF(A220="","",SUMIFS(Vendas!$J$5:$J$304,Vendas!$G$5:$G$304,A220))</f>
        <v/>
      </c>
      <c r="O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32" t="str">
        <f aca="false">IF(A221="","",IF(COUNTIF(CRM_Interações!$B$5:$B$304,A221)=0,"—",_xlfn.MAXIFS(CRM_Interações!$A$5:$A$304,CRM_Interações!$B$5:$B$304,A221)))</f>
        <v/>
      </c>
      <c r="M221" s="30" t="str">
        <f aca="false">IF(A221="","",COUNTIF(CRM_Interações!$B$5:$B$304,A221))</f>
        <v/>
      </c>
      <c r="N221" s="28" t="str">
        <f aca="false">IF(A221="","",SUMIFS(Vendas!$J$5:$J$304,Vendas!$G$5:$G$304,A221))</f>
        <v/>
      </c>
      <c r="O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32" t="str">
        <f aca="false">IF(A222="","",IF(COUNTIF(CRM_Interações!$B$5:$B$304,A222)=0,"—",_xlfn.MAXIFS(CRM_Interações!$A$5:$A$304,CRM_Interações!$B$5:$B$304,A222)))</f>
        <v/>
      </c>
      <c r="M222" s="30" t="str">
        <f aca="false">IF(A222="","",COUNTIF(CRM_Interações!$B$5:$B$304,A222))</f>
        <v/>
      </c>
      <c r="N222" s="28" t="str">
        <f aca="false">IF(A222="","",SUMIFS(Vendas!$J$5:$J$304,Vendas!$G$5:$G$304,A222))</f>
        <v/>
      </c>
      <c r="O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32" t="str">
        <f aca="false">IF(A223="","",IF(COUNTIF(CRM_Interações!$B$5:$B$304,A223)=0,"—",_xlfn.MAXIFS(CRM_Interações!$A$5:$A$304,CRM_Interações!$B$5:$B$304,A223)))</f>
        <v/>
      </c>
      <c r="M223" s="30" t="str">
        <f aca="false">IF(A223="","",COUNTIF(CRM_Interações!$B$5:$B$304,A223))</f>
        <v/>
      </c>
      <c r="N223" s="28" t="str">
        <f aca="false">IF(A223="","",SUMIFS(Vendas!$J$5:$J$304,Vendas!$G$5:$G$304,A223))</f>
        <v/>
      </c>
      <c r="O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32" t="str">
        <f aca="false">IF(A224="","",IF(COUNTIF(CRM_Interações!$B$5:$B$304,A224)=0,"—",_xlfn.MAXIFS(CRM_Interações!$A$5:$A$304,CRM_Interações!$B$5:$B$304,A224)))</f>
        <v/>
      </c>
      <c r="M224" s="30" t="str">
        <f aca="false">IF(A224="","",COUNTIF(CRM_Interações!$B$5:$B$304,A224))</f>
        <v/>
      </c>
      <c r="N224" s="28" t="str">
        <f aca="false">IF(A224="","",SUMIFS(Vendas!$J$5:$J$304,Vendas!$G$5:$G$304,A224))</f>
        <v/>
      </c>
      <c r="O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32" t="str">
        <f aca="false">IF(A225="","",IF(COUNTIF(CRM_Interações!$B$5:$B$304,A225)=0,"—",_xlfn.MAXIFS(CRM_Interações!$A$5:$A$304,CRM_Interações!$B$5:$B$304,A225)))</f>
        <v/>
      </c>
      <c r="M225" s="30" t="str">
        <f aca="false">IF(A225="","",COUNTIF(CRM_Interações!$B$5:$B$304,A225))</f>
        <v/>
      </c>
      <c r="N225" s="28" t="str">
        <f aca="false">IF(A225="","",SUMIFS(Vendas!$J$5:$J$304,Vendas!$G$5:$G$304,A225))</f>
        <v/>
      </c>
      <c r="O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32" t="str">
        <f aca="false">IF(A226="","",IF(COUNTIF(CRM_Interações!$B$5:$B$304,A226)=0,"—",_xlfn.MAXIFS(CRM_Interações!$A$5:$A$304,CRM_Interações!$B$5:$B$304,A226)))</f>
        <v/>
      </c>
      <c r="M226" s="30" t="str">
        <f aca="false">IF(A226="","",COUNTIF(CRM_Interações!$B$5:$B$304,A226))</f>
        <v/>
      </c>
      <c r="N226" s="28" t="str">
        <f aca="false">IF(A226="","",SUMIFS(Vendas!$J$5:$J$304,Vendas!$G$5:$G$304,A226))</f>
        <v/>
      </c>
      <c r="O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32" t="str">
        <f aca="false">IF(A227="","",IF(COUNTIF(CRM_Interações!$B$5:$B$304,A227)=0,"—",_xlfn.MAXIFS(CRM_Interações!$A$5:$A$304,CRM_Interações!$B$5:$B$304,A227)))</f>
        <v/>
      </c>
      <c r="M227" s="30" t="str">
        <f aca="false">IF(A227="","",COUNTIF(CRM_Interações!$B$5:$B$304,A227))</f>
        <v/>
      </c>
      <c r="N227" s="28" t="str">
        <f aca="false">IF(A227="","",SUMIFS(Vendas!$J$5:$J$304,Vendas!$G$5:$G$304,A227))</f>
        <v/>
      </c>
      <c r="O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32" t="str">
        <f aca="false">IF(A228="","",IF(COUNTIF(CRM_Interações!$B$5:$B$304,A228)=0,"—",_xlfn.MAXIFS(CRM_Interações!$A$5:$A$304,CRM_Interações!$B$5:$B$304,A228)))</f>
        <v/>
      </c>
      <c r="M228" s="30" t="str">
        <f aca="false">IF(A228="","",COUNTIF(CRM_Interações!$B$5:$B$304,A228))</f>
        <v/>
      </c>
      <c r="N228" s="28" t="str">
        <f aca="false">IF(A228="","",SUMIFS(Vendas!$J$5:$J$304,Vendas!$G$5:$G$304,A228))</f>
        <v/>
      </c>
      <c r="O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32" t="str">
        <f aca="false">IF(A229="","",IF(COUNTIF(CRM_Interações!$B$5:$B$304,A229)=0,"—",_xlfn.MAXIFS(CRM_Interações!$A$5:$A$304,CRM_Interações!$B$5:$B$304,A229)))</f>
        <v/>
      </c>
      <c r="M229" s="30" t="str">
        <f aca="false">IF(A229="","",COUNTIF(CRM_Interações!$B$5:$B$304,A229))</f>
        <v/>
      </c>
      <c r="N229" s="28" t="str">
        <f aca="false">IF(A229="","",SUMIFS(Vendas!$J$5:$J$304,Vendas!$G$5:$G$304,A229))</f>
        <v/>
      </c>
      <c r="O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32" t="str">
        <f aca="false">IF(A230="","",IF(COUNTIF(CRM_Interações!$B$5:$B$304,A230)=0,"—",_xlfn.MAXIFS(CRM_Interações!$A$5:$A$304,CRM_Interações!$B$5:$B$304,A230)))</f>
        <v/>
      </c>
      <c r="M230" s="30" t="str">
        <f aca="false">IF(A230="","",COUNTIF(CRM_Interações!$B$5:$B$304,A230))</f>
        <v/>
      </c>
      <c r="N230" s="28" t="str">
        <f aca="false">IF(A230="","",SUMIFS(Vendas!$J$5:$J$304,Vendas!$G$5:$G$304,A230))</f>
        <v/>
      </c>
      <c r="O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32" t="str">
        <f aca="false">IF(A231="","",IF(COUNTIF(CRM_Interações!$B$5:$B$304,A231)=0,"—",_xlfn.MAXIFS(CRM_Interações!$A$5:$A$304,CRM_Interações!$B$5:$B$304,A231)))</f>
        <v/>
      </c>
      <c r="M231" s="30" t="str">
        <f aca="false">IF(A231="","",COUNTIF(CRM_Interações!$B$5:$B$304,A231))</f>
        <v/>
      </c>
      <c r="N231" s="28" t="str">
        <f aca="false">IF(A231="","",SUMIFS(Vendas!$J$5:$J$304,Vendas!$G$5:$G$304,A231))</f>
        <v/>
      </c>
      <c r="O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32" t="str">
        <f aca="false">IF(A232="","",IF(COUNTIF(CRM_Interações!$B$5:$B$304,A232)=0,"—",_xlfn.MAXIFS(CRM_Interações!$A$5:$A$304,CRM_Interações!$B$5:$B$304,A232)))</f>
        <v/>
      </c>
      <c r="M232" s="30" t="str">
        <f aca="false">IF(A232="","",COUNTIF(CRM_Interações!$B$5:$B$304,A232))</f>
        <v/>
      </c>
      <c r="N232" s="28" t="str">
        <f aca="false">IF(A232="","",SUMIFS(Vendas!$J$5:$J$304,Vendas!$G$5:$G$304,A232))</f>
        <v/>
      </c>
      <c r="O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32" t="str">
        <f aca="false">IF(A233="","",IF(COUNTIF(CRM_Interações!$B$5:$B$304,A233)=0,"—",_xlfn.MAXIFS(CRM_Interações!$A$5:$A$304,CRM_Interações!$B$5:$B$304,A233)))</f>
        <v/>
      </c>
      <c r="M233" s="30" t="str">
        <f aca="false">IF(A233="","",COUNTIF(CRM_Interações!$B$5:$B$304,A233))</f>
        <v/>
      </c>
      <c r="N233" s="28" t="str">
        <f aca="false">IF(A233="","",SUMIFS(Vendas!$J$5:$J$304,Vendas!$G$5:$G$304,A233))</f>
        <v/>
      </c>
      <c r="O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2" t="str">
        <f aca="false">IF(A234="","",IF(COUNTIF(CRM_Interações!$B$5:$B$304,A234)=0,"—",_xlfn.MAXIFS(CRM_Interações!$A$5:$A$304,CRM_Interações!$B$5:$B$304,A234)))</f>
        <v/>
      </c>
      <c r="M234" s="30" t="str">
        <f aca="false">IF(A234="","",COUNTIF(CRM_Interações!$B$5:$B$304,A234))</f>
        <v/>
      </c>
      <c r="N234" s="28" t="str">
        <f aca="false">IF(A234="","",SUMIFS(Vendas!$J$5:$J$304,Vendas!$G$5:$G$304,A234))</f>
        <v/>
      </c>
      <c r="O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32" t="str">
        <f aca="false">IF(A235="","",IF(COUNTIF(CRM_Interações!$B$5:$B$304,A235)=0,"—",_xlfn.MAXIFS(CRM_Interações!$A$5:$A$304,CRM_Interações!$B$5:$B$304,A235)))</f>
        <v/>
      </c>
      <c r="M235" s="30" t="str">
        <f aca="false">IF(A235="","",COUNTIF(CRM_Interações!$B$5:$B$304,A235))</f>
        <v/>
      </c>
      <c r="N235" s="28" t="str">
        <f aca="false">IF(A235="","",SUMIFS(Vendas!$J$5:$J$304,Vendas!$G$5:$G$304,A235))</f>
        <v/>
      </c>
      <c r="O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2" t="str">
        <f aca="false">IF(A236="","",IF(COUNTIF(CRM_Interações!$B$5:$B$304,A236)=0,"—",_xlfn.MAXIFS(CRM_Interações!$A$5:$A$304,CRM_Interações!$B$5:$B$304,A236)))</f>
        <v/>
      </c>
      <c r="M236" s="30" t="str">
        <f aca="false">IF(A236="","",COUNTIF(CRM_Interações!$B$5:$B$304,A236))</f>
        <v/>
      </c>
      <c r="N236" s="28" t="str">
        <f aca="false">IF(A236="","",SUMIFS(Vendas!$J$5:$J$304,Vendas!$G$5:$G$304,A236))</f>
        <v/>
      </c>
      <c r="O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32" t="str">
        <f aca="false">IF(A237="","",IF(COUNTIF(CRM_Interações!$B$5:$B$304,A237)=0,"—",_xlfn.MAXIFS(CRM_Interações!$A$5:$A$304,CRM_Interações!$B$5:$B$304,A237)))</f>
        <v/>
      </c>
      <c r="M237" s="30" t="str">
        <f aca="false">IF(A237="","",COUNTIF(CRM_Interações!$B$5:$B$304,A237))</f>
        <v/>
      </c>
      <c r="N237" s="28" t="str">
        <f aca="false">IF(A237="","",SUMIFS(Vendas!$J$5:$J$304,Vendas!$G$5:$G$304,A237))</f>
        <v/>
      </c>
      <c r="O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32" t="str">
        <f aca="false">IF(A238="","",IF(COUNTIF(CRM_Interações!$B$5:$B$304,A238)=0,"—",_xlfn.MAXIFS(CRM_Interações!$A$5:$A$304,CRM_Interações!$B$5:$B$304,A238)))</f>
        <v/>
      </c>
      <c r="M238" s="30" t="str">
        <f aca="false">IF(A238="","",COUNTIF(CRM_Interações!$B$5:$B$304,A238))</f>
        <v/>
      </c>
      <c r="N238" s="28" t="str">
        <f aca="false">IF(A238="","",SUMIFS(Vendas!$J$5:$J$304,Vendas!$G$5:$G$304,A238))</f>
        <v/>
      </c>
      <c r="O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32" t="str">
        <f aca="false">IF(A239="","",IF(COUNTIF(CRM_Interações!$B$5:$B$304,A239)=0,"—",_xlfn.MAXIFS(CRM_Interações!$A$5:$A$304,CRM_Interações!$B$5:$B$304,A239)))</f>
        <v/>
      </c>
      <c r="M239" s="30" t="str">
        <f aca="false">IF(A239="","",COUNTIF(CRM_Interações!$B$5:$B$304,A239))</f>
        <v/>
      </c>
      <c r="N239" s="28" t="str">
        <f aca="false">IF(A239="","",SUMIFS(Vendas!$J$5:$J$304,Vendas!$G$5:$G$304,A239))</f>
        <v/>
      </c>
      <c r="O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32" t="str">
        <f aca="false">IF(A240="","",IF(COUNTIF(CRM_Interações!$B$5:$B$304,A240)=0,"—",_xlfn.MAXIFS(CRM_Interações!$A$5:$A$304,CRM_Interações!$B$5:$B$304,A240)))</f>
        <v/>
      </c>
      <c r="M240" s="30" t="str">
        <f aca="false">IF(A240="","",COUNTIF(CRM_Interações!$B$5:$B$304,A240))</f>
        <v/>
      </c>
      <c r="N240" s="28" t="str">
        <f aca="false">IF(A240="","",SUMIFS(Vendas!$J$5:$J$304,Vendas!$G$5:$G$304,A240))</f>
        <v/>
      </c>
      <c r="O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2" t="str">
        <f aca="false">IF(A241="","",IF(COUNTIF(CRM_Interações!$B$5:$B$304,A241)=0,"—",_xlfn.MAXIFS(CRM_Interações!$A$5:$A$304,CRM_Interações!$B$5:$B$304,A241)))</f>
        <v/>
      </c>
      <c r="M241" s="30" t="str">
        <f aca="false">IF(A241="","",COUNTIF(CRM_Interações!$B$5:$B$304,A241))</f>
        <v/>
      </c>
      <c r="N241" s="28" t="str">
        <f aca="false">IF(A241="","",SUMIFS(Vendas!$J$5:$J$304,Vendas!$G$5:$G$304,A241))</f>
        <v/>
      </c>
      <c r="O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32" t="str">
        <f aca="false">IF(A242="","",IF(COUNTIF(CRM_Interações!$B$5:$B$304,A242)=0,"—",_xlfn.MAXIFS(CRM_Interações!$A$5:$A$304,CRM_Interações!$B$5:$B$304,A242)))</f>
        <v/>
      </c>
      <c r="M242" s="30" t="str">
        <f aca="false">IF(A242="","",COUNTIF(CRM_Interações!$B$5:$B$304,A242))</f>
        <v/>
      </c>
      <c r="N242" s="28" t="str">
        <f aca="false">IF(A242="","",SUMIFS(Vendas!$J$5:$J$304,Vendas!$G$5:$G$304,A242))</f>
        <v/>
      </c>
      <c r="O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32" t="str">
        <f aca="false">IF(A243="","",IF(COUNTIF(CRM_Interações!$B$5:$B$304,A243)=0,"—",_xlfn.MAXIFS(CRM_Interações!$A$5:$A$304,CRM_Interações!$B$5:$B$304,A243)))</f>
        <v/>
      </c>
      <c r="M243" s="30" t="str">
        <f aca="false">IF(A243="","",COUNTIF(CRM_Interações!$B$5:$B$304,A243))</f>
        <v/>
      </c>
      <c r="N243" s="28" t="str">
        <f aca="false">IF(A243="","",SUMIFS(Vendas!$J$5:$J$304,Vendas!$G$5:$G$304,A243))</f>
        <v/>
      </c>
      <c r="O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32" t="str">
        <f aca="false">IF(A244="","",IF(COUNTIF(CRM_Interações!$B$5:$B$304,A244)=0,"—",_xlfn.MAXIFS(CRM_Interações!$A$5:$A$304,CRM_Interações!$B$5:$B$304,A244)))</f>
        <v/>
      </c>
      <c r="M244" s="30" t="str">
        <f aca="false">IF(A244="","",COUNTIF(CRM_Interações!$B$5:$B$304,A244))</f>
        <v/>
      </c>
      <c r="N244" s="28" t="str">
        <f aca="false">IF(A244="","",SUMIFS(Vendas!$J$5:$J$304,Vendas!$G$5:$G$304,A244))</f>
        <v/>
      </c>
      <c r="O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32" t="str">
        <f aca="false">IF(A245="","",IF(COUNTIF(CRM_Interações!$B$5:$B$304,A245)=0,"—",_xlfn.MAXIFS(CRM_Interações!$A$5:$A$304,CRM_Interações!$B$5:$B$304,A245)))</f>
        <v/>
      </c>
      <c r="M245" s="30" t="str">
        <f aca="false">IF(A245="","",COUNTIF(CRM_Interações!$B$5:$B$304,A245))</f>
        <v/>
      </c>
      <c r="N245" s="28" t="str">
        <f aca="false">IF(A245="","",SUMIFS(Vendas!$J$5:$J$304,Vendas!$G$5:$G$304,A245))</f>
        <v/>
      </c>
      <c r="O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32" t="str">
        <f aca="false">IF(A246="","",IF(COUNTIF(CRM_Interações!$B$5:$B$304,A246)=0,"—",_xlfn.MAXIFS(CRM_Interações!$A$5:$A$304,CRM_Interações!$B$5:$B$304,A246)))</f>
        <v/>
      </c>
      <c r="M246" s="30" t="str">
        <f aca="false">IF(A246="","",COUNTIF(CRM_Interações!$B$5:$B$304,A246))</f>
        <v/>
      </c>
      <c r="N246" s="28" t="str">
        <f aca="false">IF(A246="","",SUMIFS(Vendas!$J$5:$J$304,Vendas!$G$5:$G$304,A246))</f>
        <v/>
      </c>
      <c r="O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32" t="str">
        <f aca="false">IF(A247="","",IF(COUNTIF(CRM_Interações!$B$5:$B$304,A247)=0,"—",_xlfn.MAXIFS(CRM_Interações!$A$5:$A$304,CRM_Interações!$B$5:$B$304,A247)))</f>
        <v/>
      </c>
      <c r="M247" s="30" t="str">
        <f aca="false">IF(A247="","",COUNTIF(CRM_Interações!$B$5:$B$304,A247))</f>
        <v/>
      </c>
      <c r="N247" s="28" t="str">
        <f aca="false">IF(A247="","",SUMIFS(Vendas!$J$5:$J$304,Vendas!$G$5:$G$304,A247))</f>
        <v/>
      </c>
      <c r="O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32" t="str">
        <f aca="false">IF(A248="","",IF(COUNTIF(CRM_Interações!$B$5:$B$304,A248)=0,"—",_xlfn.MAXIFS(CRM_Interações!$A$5:$A$304,CRM_Interações!$B$5:$B$304,A248)))</f>
        <v/>
      </c>
      <c r="M248" s="30" t="str">
        <f aca="false">IF(A248="","",COUNTIF(CRM_Interações!$B$5:$B$304,A248))</f>
        <v/>
      </c>
      <c r="N248" s="28" t="str">
        <f aca="false">IF(A248="","",SUMIFS(Vendas!$J$5:$J$304,Vendas!$G$5:$G$304,A248))</f>
        <v/>
      </c>
      <c r="O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32" t="str">
        <f aca="false">IF(A249="","",IF(COUNTIF(CRM_Interações!$B$5:$B$304,A249)=0,"—",_xlfn.MAXIFS(CRM_Interações!$A$5:$A$304,CRM_Interações!$B$5:$B$304,A249)))</f>
        <v/>
      </c>
      <c r="M249" s="30" t="str">
        <f aca="false">IF(A249="","",COUNTIF(CRM_Interações!$B$5:$B$304,A249))</f>
        <v/>
      </c>
      <c r="N249" s="28" t="str">
        <f aca="false">IF(A249="","",SUMIFS(Vendas!$J$5:$J$304,Vendas!$G$5:$G$304,A249))</f>
        <v/>
      </c>
      <c r="O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2" t="str">
        <f aca="false">IF(A250="","",IF(COUNTIF(CRM_Interações!$B$5:$B$304,A250)=0,"—",_xlfn.MAXIFS(CRM_Interações!$A$5:$A$304,CRM_Interações!$B$5:$B$304,A250)))</f>
        <v/>
      </c>
      <c r="M250" s="30" t="str">
        <f aca="false">IF(A250="","",COUNTIF(CRM_Interações!$B$5:$B$304,A250))</f>
        <v/>
      </c>
      <c r="N250" s="28" t="str">
        <f aca="false">IF(A250="","",SUMIFS(Vendas!$J$5:$J$304,Vendas!$G$5:$G$304,A250))</f>
        <v/>
      </c>
      <c r="O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32" t="str">
        <f aca="false">IF(A251="","",IF(COUNTIF(CRM_Interações!$B$5:$B$304,A251)=0,"—",_xlfn.MAXIFS(CRM_Interações!$A$5:$A$304,CRM_Interações!$B$5:$B$304,A251)))</f>
        <v/>
      </c>
      <c r="M251" s="30" t="str">
        <f aca="false">IF(A251="","",COUNTIF(CRM_Interações!$B$5:$B$304,A251))</f>
        <v/>
      </c>
      <c r="N251" s="28" t="str">
        <f aca="false">IF(A251="","",SUMIFS(Vendas!$J$5:$J$304,Vendas!$G$5:$G$304,A251))</f>
        <v/>
      </c>
      <c r="O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32" t="str">
        <f aca="false">IF(A252="","",IF(COUNTIF(CRM_Interações!$B$5:$B$304,A252)=0,"—",_xlfn.MAXIFS(CRM_Interações!$A$5:$A$304,CRM_Interações!$B$5:$B$304,A252)))</f>
        <v/>
      </c>
      <c r="M252" s="30" t="str">
        <f aca="false">IF(A252="","",COUNTIF(CRM_Interações!$B$5:$B$304,A252))</f>
        <v/>
      </c>
      <c r="N252" s="28" t="str">
        <f aca="false">IF(A252="","",SUMIFS(Vendas!$J$5:$J$304,Vendas!$G$5:$G$304,A252))</f>
        <v/>
      </c>
      <c r="O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32" t="str">
        <f aca="false">IF(A253="","",IF(COUNTIF(CRM_Interações!$B$5:$B$304,A253)=0,"—",_xlfn.MAXIFS(CRM_Interações!$A$5:$A$304,CRM_Interações!$B$5:$B$304,A253)))</f>
        <v/>
      </c>
      <c r="M253" s="30" t="str">
        <f aca="false">IF(A253="","",COUNTIF(CRM_Interações!$B$5:$B$304,A253))</f>
        <v/>
      </c>
      <c r="N253" s="28" t="str">
        <f aca="false">IF(A253="","",SUMIFS(Vendas!$J$5:$J$304,Vendas!$G$5:$G$304,A253))</f>
        <v/>
      </c>
      <c r="O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32" t="str">
        <f aca="false">IF(A254="","",IF(COUNTIF(CRM_Interações!$B$5:$B$304,A254)=0,"—",_xlfn.MAXIFS(CRM_Interações!$A$5:$A$304,CRM_Interações!$B$5:$B$304,A254)))</f>
        <v/>
      </c>
      <c r="M254" s="30" t="str">
        <f aca="false">IF(A254="","",COUNTIF(CRM_Interações!$B$5:$B$304,A254))</f>
        <v/>
      </c>
      <c r="N254" s="28" t="str">
        <f aca="false">IF(A254="","",SUMIFS(Vendas!$J$5:$J$304,Vendas!$G$5:$G$304,A254))</f>
        <v/>
      </c>
      <c r="O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32" t="str">
        <f aca="false">IF(A255="","",IF(COUNTIF(CRM_Interações!$B$5:$B$304,A255)=0,"—",_xlfn.MAXIFS(CRM_Interações!$A$5:$A$304,CRM_Interações!$B$5:$B$304,A255)))</f>
        <v/>
      </c>
      <c r="M255" s="30" t="str">
        <f aca="false">IF(A255="","",COUNTIF(CRM_Interações!$B$5:$B$304,A255))</f>
        <v/>
      </c>
      <c r="N255" s="28" t="str">
        <f aca="false">IF(A255="","",SUMIFS(Vendas!$J$5:$J$304,Vendas!$G$5:$G$304,A255))</f>
        <v/>
      </c>
      <c r="O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32" t="str">
        <f aca="false">IF(A256="","",IF(COUNTIF(CRM_Interações!$B$5:$B$304,A256)=0,"—",_xlfn.MAXIFS(CRM_Interações!$A$5:$A$304,CRM_Interações!$B$5:$B$304,A256)))</f>
        <v/>
      </c>
      <c r="M256" s="30" t="str">
        <f aca="false">IF(A256="","",COUNTIF(CRM_Interações!$B$5:$B$304,A256))</f>
        <v/>
      </c>
      <c r="N256" s="28" t="str">
        <f aca="false">IF(A256="","",SUMIFS(Vendas!$J$5:$J$304,Vendas!$G$5:$G$304,A256))</f>
        <v/>
      </c>
      <c r="O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32" t="str">
        <f aca="false">IF(A257="","",IF(COUNTIF(CRM_Interações!$B$5:$B$304,A257)=0,"—",_xlfn.MAXIFS(CRM_Interações!$A$5:$A$304,CRM_Interações!$B$5:$B$304,A257)))</f>
        <v/>
      </c>
      <c r="M257" s="30" t="str">
        <f aca="false">IF(A257="","",COUNTIF(CRM_Interações!$B$5:$B$304,A257))</f>
        <v/>
      </c>
      <c r="N257" s="28" t="str">
        <f aca="false">IF(A257="","",SUMIFS(Vendas!$J$5:$J$304,Vendas!$G$5:$G$304,A257))</f>
        <v/>
      </c>
      <c r="O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32" t="str">
        <f aca="false">IF(A258="","",IF(COUNTIF(CRM_Interações!$B$5:$B$304,A258)=0,"—",_xlfn.MAXIFS(CRM_Interações!$A$5:$A$304,CRM_Interações!$B$5:$B$304,A258)))</f>
        <v/>
      </c>
      <c r="M258" s="30" t="str">
        <f aca="false">IF(A258="","",COUNTIF(CRM_Interações!$B$5:$B$304,A258))</f>
        <v/>
      </c>
      <c r="N258" s="28" t="str">
        <f aca="false">IF(A258="","",SUMIFS(Vendas!$J$5:$J$304,Vendas!$G$5:$G$304,A258))</f>
        <v/>
      </c>
      <c r="O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32" t="str">
        <f aca="false">IF(A259="","",IF(COUNTIF(CRM_Interações!$B$5:$B$304,A259)=0,"—",_xlfn.MAXIFS(CRM_Interações!$A$5:$A$304,CRM_Interações!$B$5:$B$304,A259)))</f>
        <v/>
      </c>
      <c r="M259" s="30" t="str">
        <f aca="false">IF(A259="","",COUNTIF(CRM_Interações!$B$5:$B$304,A259))</f>
        <v/>
      </c>
      <c r="N259" s="28" t="str">
        <f aca="false">IF(A259="","",SUMIFS(Vendas!$J$5:$J$304,Vendas!$G$5:$G$304,A259))</f>
        <v/>
      </c>
      <c r="O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32" t="str">
        <f aca="false">IF(A260="","",IF(COUNTIF(CRM_Interações!$B$5:$B$304,A260)=0,"—",_xlfn.MAXIFS(CRM_Interações!$A$5:$A$304,CRM_Interações!$B$5:$B$304,A260)))</f>
        <v/>
      </c>
      <c r="M260" s="30" t="str">
        <f aca="false">IF(A260="","",COUNTIF(CRM_Interações!$B$5:$B$304,A260))</f>
        <v/>
      </c>
      <c r="N260" s="28" t="str">
        <f aca="false">IF(A260="","",SUMIFS(Vendas!$J$5:$J$304,Vendas!$G$5:$G$304,A260))</f>
        <v/>
      </c>
      <c r="O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32" t="str">
        <f aca="false">IF(A261="","",IF(COUNTIF(CRM_Interações!$B$5:$B$304,A261)=0,"—",_xlfn.MAXIFS(CRM_Interações!$A$5:$A$304,CRM_Interações!$B$5:$B$304,A261)))</f>
        <v/>
      </c>
      <c r="M261" s="30" t="str">
        <f aca="false">IF(A261="","",COUNTIF(CRM_Interações!$B$5:$B$304,A261))</f>
        <v/>
      </c>
      <c r="N261" s="28" t="str">
        <f aca="false">IF(A261="","",SUMIFS(Vendas!$J$5:$J$304,Vendas!$G$5:$G$304,A261))</f>
        <v/>
      </c>
      <c r="O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32" t="str">
        <f aca="false">IF(A262="","",IF(COUNTIF(CRM_Interações!$B$5:$B$304,A262)=0,"—",_xlfn.MAXIFS(CRM_Interações!$A$5:$A$304,CRM_Interações!$B$5:$B$304,A262)))</f>
        <v/>
      </c>
      <c r="M262" s="30" t="str">
        <f aca="false">IF(A262="","",COUNTIF(CRM_Interações!$B$5:$B$304,A262))</f>
        <v/>
      </c>
      <c r="N262" s="28" t="str">
        <f aca="false">IF(A262="","",SUMIFS(Vendas!$J$5:$J$304,Vendas!$G$5:$G$304,A262))</f>
        <v/>
      </c>
      <c r="O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32" t="str">
        <f aca="false">IF(A263="","",IF(COUNTIF(CRM_Interações!$B$5:$B$304,A263)=0,"—",_xlfn.MAXIFS(CRM_Interações!$A$5:$A$304,CRM_Interações!$B$5:$B$304,A263)))</f>
        <v/>
      </c>
      <c r="M263" s="30" t="str">
        <f aca="false">IF(A263="","",COUNTIF(CRM_Interações!$B$5:$B$304,A263))</f>
        <v/>
      </c>
      <c r="N263" s="28" t="str">
        <f aca="false">IF(A263="","",SUMIFS(Vendas!$J$5:$J$304,Vendas!$G$5:$G$304,A263))</f>
        <v/>
      </c>
      <c r="O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32" t="str">
        <f aca="false">IF(A264="","",IF(COUNTIF(CRM_Interações!$B$5:$B$304,A264)=0,"—",_xlfn.MAXIFS(CRM_Interações!$A$5:$A$304,CRM_Interações!$B$5:$B$304,A264)))</f>
        <v/>
      </c>
      <c r="M264" s="30" t="str">
        <f aca="false">IF(A264="","",COUNTIF(CRM_Interações!$B$5:$B$304,A264))</f>
        <v/>
      </c>
      <c r="N264" s="28" t="str">
        <f aca="false">IF(A264="","",SUMIFS(Vendas!$J$5:$J$304,Vendas!$G$5:$G$304,A264))</f>
        <v/>
      </c>
      <c r="O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32" t="str">
        <f aca="false">IF(A265="","",IF(COUNTIF(CRM_Interações!$B$5:$B$304,A265)=0,"—",_xlfn.MAXIFS(CRM_Interações!$A$5:$A$304,CRM_Interações!$B$5:$B$304,A265)))</f>
        <v/>
      </c>
      <c r="M265" s="30" t="str">
        <f aca="false">IF(A265="","",COUNTIF(CRM_Interações!$B$5:$B$304,A265))</f>
        <v/>
      </c>
      <c r="N265" s="28" t="str">
        <f aca="false">IF(A265="","",SUMIFS(Vendas!$J$5:$J$304,Vendas!$G$5:$G$304,A265))</f>
        <v/>
      </c>
      <c r="O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32" t="str">
        <f aca="false">IF(A266="","",IF(COUNTIF(CRM_Interações!$B$5:$B$304,A266)=0,"—",_xlfn.MAXIFS(CRM_Interações!$A$5:$A$304,CRM_Interações!$B$5:$B$304,A266)))</f>
        <v/>
      </c>
      <c r="M266" s="30" t="str">
        <f aca="false">IF(A266="","",COUNTIF(CRM_Interações!$B$5:$B$304,A266))</f>
        <v/>
      </c>
      <c r="N266" s="28" t="str">
        <f aca="false">IF(A266="","",SUMIFS(Vendas!$J$5:$J$304,Vendas!$G$5:$G$304,A266))</f>
        <v/>
      </c>
      <c r="O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32" t="str">
        <f aca="false">IF(A267="","",IF(COUNTIF(CRM_Interações!$B$5:$B$304,A267)=0,"—",_xlfn.MAXIFS(CRM_Interações!$A$5:$A$304,CRM_Interações!$B$5:$B$304,A267)))</f>
        <v/>
      </c>
      <c r="M267" s="30" t="str">
        <f aca="false">IF(A267="","",COUNTIF(CRM_Interações!$B$5:$B$304,A267))</f>
        <v/>
      </c>
      <c r="N267" s="28" t="str">
        <f aca="false">IF(A267="","",SUMIFS(Vendas!$J$5:$J$304,Vendas!$G$5:$G$304,A267))</f>
        <v/>
      </c>
      <c r="O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32" t="str">
        <f aca="false">IF(A268="","",IF(COUNTIF(CRM_Interações!$B$5:$B$304,A268)=0,"—",_xlfn.MAXIFS(CRM_Interações!$A$5:$A$304,CRM_Interações!$B$5:$B$304,A268)))</f>
        <v/>
      </c>
      <c r="M268" s="30" t="str">
        <f aca="false">IF(A268="","",COUNTIF(CRM_Interações!$B$5:$B$304,A268))</f>
        <v/>
      </c>
      <c r="N268" s="28" t="str">
        <f aca="false">IF(A268="","",SUMIFS(Vendas!$J$5:$J$304,Vendas!$G$5:$G$304,A268))</f>
        <v/>
      </c>
      <c r="O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32" t="str">
        <f aca="false">IF(A269="","",IF(COUNTIF(CRM_Interações!$B$5:$B$304,A269)=0,"—",_xlfn.MAXIFS(CRM_Interações!$A$5:$A$304,CRM_Interações!$B$5:$B$304,A269)))</f>
        <v/>
      </c>
      <c r="M269" s="30" t="str">
        <f aca="false">IF(A269="","",COUNTIF(CRM_Interações!$B$5:$B$304,A269))</f>
        <v/>
      </c>
      <c r="N269" s="28" t="str">
        <f aca="false">IF(A269="","",SUMIFS(Vendas!$J$5:$J$304,Vendas!$G$5:$G$304,A269))</f>
        <v/>
      </c>
      <c r="O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32" t="str">
        <f aca="false">IF(A270="","",IF(COUNTIF(CRM_Interações!$B$5:$B$304,A270)=0,"—",_xlfn.MAXIFS(CRM_Interações!$A$5:$A$304,CRM_Interações!$B$5:$B$304,A270)))</f>
        <v/>
      </c>
      <c r="M270" s="30" t="str">
        <f aca="false">IF(A270="","",COUNTIF(CRM_Interações!$B$5:$B$304,A270))</f>
        <v/>
      </c>
      <c r="N270" s="28" t="str">
        <f aca="false">IF(A270="","",SUMIFS(Vendas!$J$5:$J$304,Vendas!$G$5:$G$304,A270))</f>
        <v/>
      </c>
      <c r="O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32" t="str">
        <f aca="false">IF(A271="","",IF(COUNTIF(CRM_Interações!$B$5:$B$304,A271)=0,"—",_xlfn.MAXIFS(CRM_Interações!$A$5:$A$304,CRM_Interações!$B$5:$B$304,A271)))</f>
        <v/>
      </c>
      <c r="M271" s="30" t="str">
        <f aca="false">IF(A271="","",COUNTIF(CRM_Interações!$B$5:$B$304,A271))</f>
        <v/>
      </c>
      <c r="N271" s="28" t="str">
        <f aca="false">IF(A271="","",SUMIFS(Vendas!$J$5:$J$304,Vendas!$G$5:$G$304,A271))</f>
        <v/>
      </c>
      <c r="O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32" t="str">
        <f aca="false">IF(A272="","",IF(COUNTIF(CRM_Interações!$B$5:$B$304,A272)=0,"—",_xlfn.MAXIFS(CRM_Interações!$A$5:$A$304,CRM_Interações!$B$5:$B$304,A272)))</f>
        <v/>
      </c>
      <c r="M272" s="30" t="str">
        <f aca="false">IF(A272="","",COUNTIF(CRM_Interações!$B$5:$B$304,A272))</f>
        <v/>
      </c>
      <c r="N272" s="28" t="str">
        <f aca="false">IF(A272="","",SUMIFS(Vendas!$J$5:$J$304,Vendas!$G$5:$G$304,A272))</f>
        <v/>
      </c>
      <c r="O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32" t="str">
        <f aca="false">IF(A273="","",IF(COUNTIF(CRM_Interações!$B$5:$B$304,A273)=0,"—",_xlfn.MAXIFS(CRM_Interações!$A$5:$A$304,CRM_Interações!$B$5:$B$304,A273)))</f>
        <v/>
      </c>
      <c r="M273" s="30" t="str">
        <f aca="false">IF(A273="","",COUNTIF(CRM_Interações!$B$5:$B$304,A273))</f>
        <v/>
      </c>
      <c r="N273" s="28" t="str">
        <f aca="false">IF(A273="","",SUMIFS(Vendas!$J$5:$J$304,Vendas!$G$5:$G$304,A273))</f>
        <v/>
      </c>
      <c r="O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32" t="str">
        <f aca="false">IF(A274="","",IF(COUNTIF(CRM_Interações!$B$5:$B$304,A274)=0,"—",_xlfn.MAXIFS(CRM_Interações!$A$5:$A$304,CRM_Interações!$B$5:$B$304,A274)))</f>
        <v/>
      </c>
      <c r="M274" s="30" t="str">
        <f aca="false">IF(A274="","",COUNTIF(CRM_Interações!$B$5:$B$304,A274))</f>
        <v/>
      </c>
      <c r="N274" s="28" t="str">
        <f aca="false">IF(A274="","",SUMIFS(Vendas!$J$5:$J$304,Vendas!$G$5:$G$304,A274))</f>
        <v/>
      </c>
      <c r="O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32" t="str">
        <f aca="false">IF(A275="","",IF(COUNTIF(CRM_Interações!$B$5:$B$304,A275)=0,"—",_xlfn.MAXIFS(CRM_Interações!$A$5:$A$304,CRM_Interações!$B$5:$B$304,A275)))</f>
        <v/>
      </c>
      <c r="M275" s="30" t="str">
        <f aca="false">IF(A275="","",COUNTIF(CRM_Interações!$B$5:$B$304,A275))</f>
        <v/>
      </c>
      <c r="N275" s="28" t="str">
        <f aca="false">IF(A275="","",SUMIFS(Vendas!$J$5:$J$304,Vendas!$G$5:$G$304,A275))</f>
        <v/>
      </c>
      <c r="O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32" t="str">
        <f aca="false">IF(A276="","",IF(COUNTIF(CRM_Interações!$B$5:$B$304,A276)=0,"—",_xlfn.MAXIFS(CRM_Interações!$A$5:$A$304,CRM_Interações!$B$5:$B$304,A276)))</f>
        <v/>
      </c>
      <c r="M276" s="30" t="str">
        <f aca="false">IF(A276="","",COUNTIF(CRM_Interações!$B$5:$B$304,A276))</f>
        <v/>
      </c>
      <c r="N276" s="28" t="str">
        <f aca="false">IF(A276="","",SUMIFS(Vendas!$J$5:$J$304,Vendas!$G$5:$G$304,A276))</f>
        <v/>
      </c>
      <c r="O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32" t="str">
        <f aca="false">IF(A277="","",IF(COUNTIF(CRM_Interações!$B$5:$B$304,A277)=0,"—",_xlfn.MAXIFS(CRM_Interações!$A$5:$A$304,CRM_Interações!$B$5:$B$304,A277)))</f>
        <v/>
      </c>
      <c r="M277" s="30" t="str">
        <f aca="false">IF(A277="","",COUNTIF(CRM_Interações!$B$5:$B$304,A277))</f>
        <v/>
      </c>
      <c r="N277" s="28" t="str">
        <f aca="false">IF(A277="","",SUMIFS(Vendas!$J$5:$J$304,Vendas!$G$5:$G$304,A277))</f>
        <v/>
      </c>
      <c r="O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32" t="str">
        <f aca="false">IF(A278="","",IF(COUNTIF(CRM_Interações!$B$5:$B$304,A278)=0,"—",_xlfn.MAXIFS(CRM_Interações!$A$5:$A$304,CRM_Interações!$B$5:$B$304,A278)))</f>
        <v/>
      </c>
      <c r="M278" s="30" t="str">
        <f aca="false">IF(A278="","",COUNTIF(CRM_Interações!$B$5:$B$304,A278))</f>
        <v/>
      </c>
      <c r="N278" s="28" t="str">
        <f aca="false">IF(A278="","",SUMIFS(Vendas!$J$5:$J$304,Vendas!$G$5:$G$304,A278))</f>
        <v/>
      </c>
      <c r="O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32" t="str">
        <f aca="false">IF(A279="","",IF(COUNTIF(CRM_Interações!$B$5:$B$304,A279)=0,"—",_xlfn.MAXIFS(CRM_Interações!$A$5:$A$304,CRM_Interações!$B$5:$B$304,A279)))</f>
        <v/>
      </c>
      <c r="M279" s="30" t="str">
        <f aca="false">IF(A279="","",COUNTIF(CRM_Interações!$B$5:$B$304,A279))</f>
        <v/>
      </c>
      <c r="N279" s="28" t="str">
        <f aca="false">IF(A279="","",SUMIFS(Vendas!$J$5:$J$304,Vendas!$G$5:$G$304,A279))</f>
        <v/>
      </c>
      <c r="O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32" t="str">
        <f aca="false">IF(A280="","",IF(COUNTIF(CRM_Interações!$B$5:$B$304,A280)=0,"—",_xlfn.MAXIFS(CRM_Interações!$A$5:$A$304,CRM_Interações!$B$5:$B$304,A280)))</f>
        <v/>
      </c>
      <c r="M280" s="30" t="str">
        <f aca="false">IF(A280="","",COUNTIF(CRM_Interações!$B$5:$B$304,A280))</f>
        <v/>
      </c>
      <c r="N280" s="28" t="str">
        <f aca="false">IF(A280="","",SUMIFS(Vendas!$J$5:$J$304,Vendas!$G$5:$G$304,A280))</f>
        <v/>
      </c>
      <c r="O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32" t="str">
        <f aca="false">IF(A281="","",IF(COUNTIF(CRM_Interações!$B$5:$B$304,A281)=0,"—",_xlfn.MAXIFS(CRM_Interações!$A$5:$A$304,CRM_Interações!$B$5:$B$304,A281)))</f>
        <v/>
      </c>
      <c r="M281" s="30" t="str">
        <f aca="false">IF(A281="","",COUNTIF(CRM_Interações!$B$5:$B$304,A281))</f>
        <v/>
      </c>
      <c r="N281" s="28" t="str">
        <f aca="false">IF(A281="","",SUMIFS(Vendas!$J$5:$J$304,Vendas!$G$5:$G$304,A281))</f>
        <v/>
      </c>
      <c r="O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32" t="str">
        <f aca="false">IF(A282="","",IF(COUNTIF(CRM_Interações!$B$5:$B$304,A282)=0,"—",_xlfn.MAXIFS(CRM_Interações!$A$5:$A$304,CRM_Interações!$B$5:$B$304,A282)))</f>
        <v/>
      </c>
      <c r="M282" s="30" t="str">
        <f aca="false">IF(A282="","",COUNTIF(CRM_Interações!$B$5:$B$304,A282))</f>
        <v/>
      </c>
      <c r="N282" s="28" t="str">
        <f aca="false">IF(A282="","",SUMIFS(Vendas!$J$5:$J$304,Vendas!$G$5:$G$304,A282))</f>
        <v/>
      </c>
      <c r="O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32" t="str">
        <f aca="false">IF(A283="","",IF(COUNTIF(CRM_Interações!$B$5:$B$304,A283)=0,"—",_xlfn.MAXIFS(CRM_Interações!$A$5:$A$304,CRM_Interações!$B$5:$B$304,A283)))</f>
        <v/>
      </c>
      <c r="M283" s="30" t="str">
        <f aca="false">IF(A283="","",COUNTIF(CRM_Interações!$B$5:$B$304,A283))</f>
        <v/>
      </c>
      <c r="N283" s="28" t="str">
        <f aca="false">IF(A283="","",SUMIFS(Vendas!$J$5:$J$304,Vendas!$G$5:$G$304,A283))</f>
        <v/>
      </c>
      <c r="O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32" t="str">
        <f aca="false">IF(A284="","",IF(COUNTIF(CRM_Interações!$B$5:$B$304,A284)=0,"—",_xlfn.MAXIFS(CRM_Interações!$A$5:$A$304,CRM_Interações!$B$5:$B$304,A284)))</f>
        <v/>
      </c>
      <c r="M284" s="30" t="str">
        <f aca="false">IF(A284="","",COUNTIF(CRM_Interações!$B$5:$B$304,A284))</f>
        <v/>
      </c>
      <c r="N284" s="28" t="str">
        <f aca="false">IF(A284="","",SUMIFS(Vendas!$J$5:$J$304,Vendas!$G$5:$G$304,A284))</f>
        <v/>
      </c>
      <c r="O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32" t="str">
        <f aca="false">IF(A285="","",IF(COUNTIF(CRM_Interações!$B$5:$B$304,A285)=0,"—",_xlfn.MAXIFS(CRM_Interações!$A$5:$A$304,CRM_Interações!$B$5:$B$304,A285)))</f>
        <v/>
      </c>
      <c r="M285" s="30" t="str">
        <f aca="false">IF(A285="","",COUNTIF(CRM_Interações!$B$5:$B$304,A285))</f>
        <v/>
      </c>
      <c r="N285" s="28" t="str">
        <f aca="false">IF(A285="","",SUMIFS(Vendas!$J$5:$J$304,Vendas!$G$5:$G$304,A285))</f>
        <v/>
      </c>
      <c r="O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32" t="str">
        <f aca="false">IF(A286="","",IF(COUNTIF(CRM_Interações!$B$5:$B$304,A286)=0,"—",_xlfn.MAXIFS(CRM_Interações!$A$5:$A$304,CRM_Interações!$B$5:$B$304,A286)))</f>
        <v/>
      </c>
      <c r="M286" s="30" t="str">
        <f aca="false">IF(A286="","",COUNTIF(CRM_Interações!$B$5:$B$304,A286))</f>
        <v/>
      </c>
      <c r="N286" s="28" t="str">
        <f aca="false">IF(A286="","",SUMIFS(Vendas!$J$5:$J$304,Vendas!$G$5:$G$304,A286))</f>
        <v/>
      </c>
      <c r="O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32" t="str">
        <f aca="false">IF(A287="","",IF(COUNTIF(CRM_Interações!$B$5:$B$304,A287)=0,"—",_xlfn.MAXIFS(CRM_Interações!$A$5:$A$304,CRM_Interações!$B$5:$B$304,A287)))</f>
        <v/>
      </c>
      <c r="M287" s="30" t="str">
        <f aca="false">IF(A287="","",COUNTIF(CRM_Interações!$B$5:$B$304,A287))</f>
        <v/>
      </c>
      <c r="N287" s="28" t="str">
        <f aca="false">IF(A287="","",SUMIFS(Vendas!$J$5:$J$304,Vendas!$G$5:$G$304,A287))</f>
        <v/>
      </c>
      <c r="O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32" t="str">
        <f aca="false">IF(A288="","",IF(COUNTIF(CRM_Interações!$B$5:$B$304,A288)=0,"—",_xlfn.MAXIFS(CRM_Interações!$A$5:$A$304,CRM_Interações!$B$5:$B$304,A288)))</f>
        <v/>
      </c>
      <c r="M288" s="30" t="str">
        <f aca="false">IF(A288="","",COUNTIF(CRM_Interações!$B$5:$B$304,A288))</f>
        <v/>
      </c>
      <c r="N288" s="28" t="str">
        <f aca="false">IF(A288="","",SUMIFS(Vendas!$J$5:$J$304,Vendas!$G$5:$G$304,A288))</f>
        <v/>
      </c>
      <c r="O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2" t="str">
        <f aca="false">IF(A289="","",IF(COUNTIF(CRM_Interações!$B$5:$B$304,A289)=0,"—",_xlfn.MAXIFS(CRM_Interações!$A$5:$A$304,CRM_Interações!$B$5:$B$304,A289)))</f>
        <v/>
      </c>
      <c r="M289" s="30" t="str">
        <f aca="false">IF(A289="","",COUNTIF(CRM_Interações!$B$5:$B$304,A289))</f>
        <v/>
      </c>
      <c r="N289" s="28" t="str">
        <f aca="false">IF(A289="","",SUMIFS(Vendas!$J$5:$J$304,Vendas!$G$5:$G$304,A289))</f>
        <v/>
      </c>
      <c r="O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32" t="str">
        <f aca="false">IF(A290="","",IF(COUNTIF(CRM_Interações!$B$5:$B$304,A290)=0,"—",_xlfn.MAXIFS(CRM_Interações!$A$5:$A$304,CRM_Interações!$B$5:$B$304,A290)))</f>
        <v/>
      </c>
      <c r="M290" s="30" t="str">
        <f aca="false">IF(A290="","",COUNTIF(CRM_Interações!$B$5:$B$304,A290))</f>
        <v/>
      </c>
      <c r="N290" s="28" t="str">
        <f aca="false">IF(A290="","",SUMIFS(Vendas!$J$5:$J$304,Vendas!$G$5:$G$304,A290))</f>
        <v/>
      </c>
      <c r="O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32" t="str">
        <f aca="false">IF(A291="","",IF(COUNTIF(CRM_Interações!$B$5:$B$304,A291)=0,"—",_xlfn.MAXIFS(CRM_Interações!$A$5:$A$304,CRM_Interações!$B$5:$B$304,A291)))</f>
        <v/>
      </c>
      <c r="M291" s="30" t="str">
        <f aca="false">IF(A291="","",COUNTIF(CRM_Interações!$B$5:$B$304,A291))</f>
        <v/>
      </c>
      <c r="N291" s="28" t="str">
        <f aca="false">IF(A291="","",SUMIFS(Vendas!$J$5:$J$304,Vendas!$G$5:$G$304,A291))</f>
        <v/>
      </c>
      <c r="O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32" t="str">
        <f aca="false">IF(A292="","",IF(COUNTIF(CRM_Interações!$B$5:$B$304,A292)=0,"—",_xlfn.MAXIFS(CRM_Interações!$A$5:$A$304,CRM_Interações!$B$5:$B$304,A292)))</f>
        <v/>
      </c>
      <c r="M292" s="30" t="str">
        <f aca="false">IF(A292="","",COUNTIF(CRM_Interações!$B$5:$B$304,A292))</f>
        <v/>
      </c>
      <c r="N292" s="28" t="str">
        <f aca="false">IF(A292="","",SUMIFS(Vendas!$J$5:$J$304,Vendas!$G$5:$G$304,A292))</f>
        <v/>
      </c>
      <c r="O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32" t="str">
        <f aca="false">IF(A293="","",IF(COUNTIF(CRM_Interações!$B$5:$B$304,A293)=0,"—",_xlfn.MAXIFS(CRM_Interações!$A$5:$A$304,CRM_Interações!$B$5:$B$304,A293)))</f>
        <v/>
      </c>
      <c r="M293" s="30" t="str">
        <f aca="false">IF(A293="","",COUNTIF(CRM_Interações!$B$5:$B$304,A293))</f>
        <v/>
      </c>
      <c r="N293" s="28" t="str">
        <f aca="false">IF(A293="","",SUMIFS(Vendas!$J$5:$J$304,Vendas!$G$5:$G$304,A293))</f>
        <v/>
      </c>
      <c r="O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32" t="str">
        <f aca="false">IF(A294="","",IF(COUNTIF(CRM_Interações!$B$5:$B$304,A294)=0,"—",_xlfn.MAXIFS(CRM_Interações!$A$5:$A$304,CRM_Interações!$B$5:$B$304,A294)))</f>
        <v/>
      </c>
      <c r="M294" s="30" t="str">
        <f aca="false">IF(A294="","",COUNTIF(CRM_Interações!$B$5:$B$304,A294))</f>
        <v/>
      </c>
      <c r="N294" s="28" t="str">
        <f aca="false">IF(A294="","",SUMIFS(Vendas!$J$5:$J$304,Vendas!$G$5:$G$304,A294))</f>
        <v/>
      </c>
      <c r="O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32" t="str">
        <f aca="false">IF(A295="","",IF(COUNTIF(CRM_Interações!$B$5:$B$304,A295)=0,"—",_xlfn.MAXIFS(CRM_Interações!$A$5:$A$304,CRM_Interações!$B$5:$B$304,A295)))</f>
        <v/>
      </c>
      <c r="M295" s="30" t="str">
        <f aca="false">IF(A295="","",COUNTIF(CRM_Interações!$B$5:$B$304,A295))</f>
        <v/>
      </c>
      <c r="N295" s="28" t="str">
        <f aca="false">IF(A295="","",SUMIFS(Vendas!$J$5:$J$304,Vendas!$G$5:$G$304,A295))</f>
        <v/>
      </c>
      <c r="O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32" t="str">
        <f aca="false">IF(A296="","",IF(COUNTIF(CRM_Interações!$B$5:$B$304,A296)=0,"—",_xlfn.MAXIFS(CRM_Interações!$A$5:$A$304,CRM_Interações!$B$5:$B$304,A296)))</f>
        <v/>
      </c>
      <c r="M296" s="30" t="str">
        <f aca="false">IF(A296="","",COUNTIF(CRM_Interações!$B$5:$B$304,A296))</f>
        <v/>
      </c>
      <c r="N296" s="28" t="str">
        <f aca="false">IF(A296="","",SUMIFS(Vendas!$J$5:$J$304,Vendas!$G$5:$G$304,A296))</f>
        <v/>
      </c>
      <c r="O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32" t="str">
        <f aca="false">IF(A297="","",IF(COUNTIF(CRM_Interações!$B$5:$B$304,A297)=0,"—",_xlfn.MAXIFS(CRM_Interações!$A$5:$A$304,CRM_Interações!$B$5:$B$304,A297)))</f>
        <v/>
      </c>
      <c r="M297" s="30" t="str">
        <f aca="false">IF(A297="","",COUNTIF(CRM_Interações!$B$5:$B$304,A297))</f>
        <v/>
      </c>
      <c r="N297" s="28" t="str">
        <f aca="false">IF(A297="","",SUMIFS(Vendas!$J$5:$J$304,Vendas!$G$5:$G$304,A297))</f>
        <v/>
      </c>
      <c r="O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32" t="str">
        <f aca="false">IF(A298="","",IF(COUNTIF(CRM_Interações!$B$5:$B$304,A298)=0,"—",_xlfn.MAXIFS(CRM_Interações!$A$5:$A$304,CRM_Interações!$B$5:$B$304,A298)))</f>
        <v/>
      </c>
      <c r="M298" s="30" t="str">
        <f aca="false">IF(A298="","",COUNTIF(CRM_Interações!$B$5:$B$304,A298))</f>
        <v/>
      </c>
      <c r="N298" s="28" t="str">
        <f aca="false">IF(A298="","",SUMIFS(Vendas!$J$5:$J$304,Vendas!$G$5:$G$304,A298))</f>
        <v/>
      </c>
      <c r="O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32" t="str">
        <f aca="false">IF(A299="","",IF(COUNTIF(CRM_Interações!$B$5:$B$304,A299)=0,"—",_xlfn.MAXIFS(CRM_Interações!$A$5:$A$304,CRM_Interações!$B$5:$B$304,A299)))</f>
        <v/>
      </c>
      <c r="M299" s="30" t="str">
        <f aca="false">IF(A299="","",COUNTIF(CRM_Interações!$B$5:$B$304,A299))</f>
        <v/>
      </c>
      <c r="N299" s="28" t="str">
        <f aca="false">IF(A299="","",SUMIFS(Vendas!$J$5:$J$304,Vendas!$G$5:$G$304,A299))</f>
        <v/>
      </c>
      <c r="O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32" t="str">
        <f aca="false">IF(A300="","",IF(COUNTIF(CRM_Interações!$B$5:$B$304,A300)=0,"—",_xlfn.MAXIFS(CRM_Interações!$A$5:$A$304,CRM_Interações!$B$5:$B$304,A300)))</f>
        <v/>
      </c>
      <c r="M300" s="30" t="str">
        <f aca="false">IF(A300="","",COUNTIF(CRM_Interações!$B$5:$B$304,A300))</f>
        <v/>
      </c>
      <c r="N300" s="28" t="str">
        <f aca="false">IF(A300="","",SUMIFS(Vendas!$J$5:$J$304,Vendas!$G$5:$G$304,A300))</f>
        <v/>
      </c>
      <c r="O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32" t="str">
        <f aca="false">IF(A301="","",IF(COUNTIF(CRM_Interações!$B$5:$B$304,A301)=0,"—",_xlfn.MAXIFS(CRM_Interações!$A$5:$A$304,CRM_Interações!$B$5:$B$304,A301)))</f>
        <v/>
      </c>
      <c r="M301" s="30" t="str">
        <f aca="false">IF(A301="","",COUNTIF(CRM_Interações!$B$5:$B$304,A301))</f>
        <v/>
      </c>
      <c r="N301" s="28" t="str">
        <f aca="false">IF(A301="","",SUMIFS(Vendas!$J$5:$J$304,Vendas!$G$5:$G$304,A301))</f>
        <v/>
      </c>
      <c r="O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32" t="str">
        <f aca="false">IF(A302="","",IF(COUNTIF(CRM_Interações!$B$5:$B$304,A302)=0,"—",_xlfn.MAXIFS(CRM_Interações!$A$5:$A$304,CRM_Interações!$B$5:$B$304,A302)))</f>
        <v/>
      </c>
      <c r="M302" s="30" t="str">
        <f aca="false">IF(A302="","",COUNTIF(CRM_Interações!$B$5:$B$304,A302))</f>
        <v/>
      </c>
      <c r="N302" s="28" t="str">
        <f aca="false">IF(A302="","",SUMIFS(Vendas!$J$5:$J$304,Vendas!$G$5:$G$304,A302))</f>
        <v/>
      </c>
      <c r="O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32" t="str">
        <f aca="false">IF(A303="","",IF(COUNTIF(CRM_Interações!$B$5:$B$304,A303)=0,"—",_xlfn.MAXIFS(CRM_Interações!$A$5:$A$304,CRM_Interações!$B$5:$B$304,A303)))</f>
        <v/>
      </c>
      <c r="M303" s="30" t="str">
        <f aca="false">IF(A303="","",COUNTIF(CRM_Interações!$B$5:$B$304,A303))</f>
        <v/>
      </c>
      <c r="N303" s="28" t="str">
        <f aca="false">IF(A303="","",SUMIFS(Vendas!$J$5:$J$304,Vendas!$G$5:$G$304,A303))</f>
        <v/>
      </c>
      <c r="O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32" t="str">
        <f aca="false">IF(A304="","",IF(COUNTIF(CRM_Interações!$B$5:$B$304,A304)=0,"—",_xlfn.MAXIFS(CRM_Interações!$A$5:$A$304,CRM_Interações!$B$5:$B$304,A304)))</f>
        <v/>
      </c>
      <c r="M304" s="30" t="str">
        <f aca="false">IF(A304="","",COUNTIF(CRM_Interações!$B$5:$B$304,A304))</f>
        <v/>
      </c>
      <c r="N304" s="28" t="str">
        <f aca="false">IF(A304="","",SUMIFS(Vendas!$J$5:$J$304,Vendas!$G$5:$G$304,A304))</f>
        <v/>
      </c>
      <c r="O304" s="1"/>
    </row>
  </sheetData>
  <autoFilter ref="A4:O304"/>
  <dataValidations count="4">
    <dataValidation allowBlank="true" errorStyle="stop" operator="between" showDropDown="false" showErrorMessage="false" showInputMessage="false" sqref="C5:C304" type="list">
      <formula1>Listas!$F$4:$F$40</formula1>
      <formula2>0</formula2>
    </dataValidation>
    <dataValidation allowBlank="true" errorStyle="stop" operator="between" showDropDown="false" showErrorMessage="false" showInputMessage="false" sqref="I5:I304" type="list">
      <formula1>Listas!$H$4:$H$40</formula1>
      <formula2>0</formula2>
    </dataValidation>
    <dataValidation allowBlank="true" errorStyle="stop" operator="between" showDropDown="false" showErrorMessage="false" showInputMessage="false" sqref="J5:J304" type="list">
      <formula1>Listas!$L$4:$L$40</formula1>
      <formula2>0</formula2>
    </dataValidation>
    <dataValidation allowBlank="true" errorStyle="stop" operator="between" showDropDown="false" showErrorMessage="false" showInputMessage="false" sqref="K5:K30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6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3" t="s">
        <v>198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30" hidden="false" customHeight="true" outlineLevel="0" collapsed="false">
      <c r="A4" s="18" t="s">
        <v>199</v>
      </c>
      <c r="B4" s="18" t="s">
        <v>200</v>
      </c>
      <c r="C4" s="18" t="s">
        <v>201</v>
      </c>
      <c r="D4" s="18" t="s">
        <v>202</v>
      </c>
      <c r="E4" s="18" t="s">
        <v>203</v>
      </c>
      <c r="F4" s="18" t="s">
        <v>204</v>
      </c>
      <c r="G4" s="18" t="s">
        <v>205</v>
      </c>
      <c r="H4" s="18" t="s">
        <v>206</v>
      </c>
      <c r="I4" s="18" t="s">
        <v>137</v>
      </c>
      <c r="J4" s="18" t="s">
        <v>207</v>
      </c>
      <c r="K4" s="18" t="s">
        <v>208</v>
      </c>
      <c r="L4" s="18" t="s">
        <v>209</v>
      </c>
      <c r="M4" s="18" t="s">
        <v>210</v>
      </c>
    </row>
    <row r="5" customFormat="false" ht="15" hidden="false" customHeight="false" outlineLevel="0" collapsed="false">
      <c r="A5" s="19" t="s">
        <v>170</v>
      </c>
      <c r="B5" s="33" t="str">
        <f aca="false">IF(A5="","",IFERROR(INDEX(CRM_Contatos!$B$5:$B$304,MATCH(A5,CRM_Contatos!$A$5:$A$304,0)),"ID não encontrado"))</f>
        <v>Livraria Exemplo</v>
      </c>
      <c r="C5" s="19" t="s">
        <v>211</v>
      </c>
      <c r="D5" s="19" t="s">
        <v>99</v>
      </c>
      <c r="E5" s="19" t="s">
        <v>36</v>
      </c>
      <c r="F5" s="21" t="n">
        <v>1258.2</v>
      </c>
      <c r="G5" s="34" t="n">
        <f aca="false">IF(E5="","",IFERROR(INDEX(Listas!$O$4:$O$10,MATCH(E5,Listas!$N$4:$N$10,0)),0))</f>
        <v>0.5</v>
      </c>
      <c r="H5" s="22" t="n">
        <f aca="false">IF(OR(F5="",G5=""),"",F5*G5)</f>
        <v>629.1</v>
      </c>
      <c r="I5" s="19" t="s">
        <v>178</v>
      </c>
      <c r="J5" s="19" t="s">
        <v>212</v>
      </c>
      <c r="K5" s="25" t="n">
        <v>46317</v>
      </c>
      <c r="L5" s="35" t="str">
        <f aca="true">IF(K5="","",IF(LEFT(E5,7)="Fechado","Encerrada",IF(K5&lt;TODAY(),"Atrasada",IF(K5-TODAY()&lt;=3,"Esta semana","No prazo"))))</f>
        <v>No prazo</v>
      </c>
      <c r="M5" s="25" t="n">
        <v>46331</v>
      </c>
    </row>
    <row r="6" customFormat="false" ht="15" hidden="false" customHeight="false" outlineLevel="0" collapsed="false">
      <c r="A6" s="19" t="s">
        <v>180</v>
      </c>
      <c r="B6" s="33" t="str">
        <f aca="false">IF(A6="","",IFERROR(INDEX(CRM_Contatos!$B$5:$B$304,MATCH(A6,CRM_Contatos!$A$5:$A$304,0)),"ID não encontrado"))</f>
        <v>Distribuidora Exemplo</v>
      </c>
      <c r="C6" s="19" t="s">
        <v>213</v>
      </c>
      <c r="D6" s="19" t="s">
        <v>214</v>
      </c>
      <c r="E6" s="19" t="s">
        <v>37</v>
      </c>
      <c r="F6" s="21" t="n">
        <v>8000</v>
      </c>
      <c r="G6" s="34" t="n">
        <f aca="false">IF(E6="","",IFERROR(INDEX(Listas!$O$4:$O$10,MATCH(E6,Listas!$N$4:$N$10,0)),0))</f>
        <v>0.75</v>
      </c>
      <c r="H6" s="22" t="n">
        <f aca="false">IF(OR(F6="",G6=""),"",F6*G6)</f>
        <v>6000</v>
      </c>
      <c r="I6" s="19" t="s">
        <v>155</v>
      </c>
      <c r="J6" s="19" t="s">
        <v>215</v>
      </c>
      <c r="K6" s="25" t="n">
        <v>46320</v>
      </c>
      <c r="L6" s="35" t="str">
        <f aca="true">IF(K6="","",IF(LEFT(E6,7)="Fechado","Encerrada",IF(K6&lt;TODAY(),"Atrasada",IF(K6-TODAY()&lt;=3,"Esta semana","No prazo"))))</f>
        <v>No prazo</v>
      </c>
      <c r="M6" s="25" t="n">
        <v>46341</v>
      </c>
    </row>
    <row r="7" customFormat="false" ht="15" hidden="false" customHeight="false" outlineLevel="0" collapsed="false">
      <c r="A7" s="1"/>
      <c r="B7" s="33" t="str">
        <f aca="false">IF(A7="","",IFERROR(INDEX(CRM_Contatos!$B$5:$B$304,MATCH(A7,CRM_Contatos!$A$5:$A$304,0)),"ID não encontrado"))</f>
        <v/>
      </c>
      <c r="C7" s="1"/>
      <c r="D7" s="1"/>
      <c r="E7" s="1"/>
      <c r="F7" s="21"/>
      <c r="G7" s="34" t="str">
        <f aca="false">IF(E7="","",IFERROR(INDEX(Listas!$O$4:$O$10,MATCH(E7,Listas!$N$4:$N$10,0)),0))</f>
        <v/>
      </c>
      <c r="H7" s="22" t="str">
        <f aca="false">IF(OR(F7="",G7=""),"",F7*G7)</f>
        <v/>
      </c>
      <c r="I7" s="1"/>
      <c r="J7" s="1"/>
      <c r="K7" s="25"/>
      <c r="L7" s="35" t="str">
        <f aca="true">IF(K7="","",IF(LEFT(E7,7)="Fechado","Encerrada",IF(K7&lt;TODAY(),"Atrasada",IF(K7-TODAY()&lt;=3,"Esta semana","No prazo"))))</f>
        <v/>
      </c>
      <c r="M7" s="25"/>
    </row>
    <row r="8" customFormat="false" ht="15" hidden="false" customHeight="false" outlineLevel="0" collapsed="false">
      <c r="A8" s="1"/>
      <c r="B8" s="33" t="str">
        <f aca="false">IF(A8="","",IFERROR(INDEX(CRM_Contatos!$B$5:$B$304,MATCH(A8,CRM_Contatos!$A$5:$A$304,0)),"ID não encontrado"))</f>
        <v/>
      </c>
      <c r="C8" s="1"/>
      <c r="D8" s="1"/>
      <c r="E8" s="1"/>
      <c r="F8" s="21"/>
      <c r="G8" s="34" t="str">
        <f aca="false">IF(E8="","",IFERROR(INDEX(Listas!$O$4:$O$10,MATCH(E8,Listas!$N$4:$N$10,0)),0))</f>
        <v/>
      </c>
      <c r="H8" s="22" t="str">
        <f aca="false">IF(OR(F8="",G8=""),"",F8*G8)</f>
        <v/>
      </c>
      <c r="I8" s="1"/>
      <c r="J8" s="1"/>
      <c r="K8" s="25"/>
      <c r="L8" s="35" t="str">
        <f aca="true">IF(K8="","",IF(LEFT(E8,7)="Fechado","Encerrada",IF(K8&lt;TODAY(),"Atrasada",IF(K8-TODAY()&lt;=3,"Esta semana","No prazo"))))</f>
        <v/>
      </c>
      <c r="M8" s="25"/>
    </row>
    <row r="9" customFormat="false" ht="15" hidden="false" customHeight="false" outlineLevel="0" collapsed="false">
      <c r="A9" s="1"/>
      <c r="B9" s="33" t="str">
        <f aca="false">IF(A9="","",IFERROR(INDEX(CRM_Contatos!$B$5:$B$304,MATCH(A9,CRM_Contatos!$A$5:$A$304,0)),"ID não encontrado"))</f>
        <v/>
      </c>
      <c r="C9" s="1"/>
      <c r="D9" s="1"/>
      <c r="E9" s="1"/>
      <c r="F9" s="21"/>
      <c r="G9" s="34" t="str">
        <f aca="false">IF(E9="","",IFERROR(INDEX(Listas!$O$4:$O$10,MATCH(E9,Listas!$N$4:$N$10,0)),0))</f>
        <v/>
      </c>
      <c r="H9" s="22" t="str">
        <f aca="false">IF(OR(F9="",G9=""),"",F9*G9)</f>
        <v/>
      </c>
      <c r="I9" s="1"/>
      <c r="J9" s="1"/>
      <c r="K9" s="25"/>
      <c r="L9" s="35" t="str">
        <f aca="true">IF(K9="","",IF(LEFT(E9,7)="Fechado","Encerrada",IF(K9&lt;TODAY(),"Atrasada",IF(K9-TODAY()&lt;=3,"Esta semana","No prazo"))))</f>
        <v/>
      </c>
      <c r="M9" s="25"/>
    </row>
    <row r="10" customFormat="false" ht="15" hidden="false" customHeight="false" outlineLevel="0" collapsed="false">
      <c r="A10" s="1"/>
      <c r="B10" s="33" t="str">
        <f aca="false">IF(A10="","",IFERROR(INDEX(CRM_Contatos!$B$5:$B$304,MATCH(A10,CRM_Contatos!$A$5:$A$304,0)),"ID não encontrado"))</f>
        <v/>
      </c>
      <c r="C10" s="1"/>
      <c r="D10" s="1"/>
      <c r="E10" s="1"/>
      <c r="F10" s="21"/>
      <c r="G10" s="34" t="str">
        <f aca="false">IF(E10="","",IFERROR(INDEX(Listas!$O$4:$O$10,MATCH(E10,Listas!$N$4:$N$10,0)),0))</f>
        <v/>
      </c>
      <c r="H10" s="22" t="str">
        <f aca="false">IF(OR(F10="",G10=""),"",F10*G10)</f>
        <v/>
      </c>
      <c r="I10" s="1"/>
      <c r="J10" s="1"/>
      <c r="K10" s="25"/>
      <c r="L10" s="35" t="str">
        <f aca="true">IF(K10="","",IF(LEFT(E10,7)="Fechado","Encerrada",IF(K10&lt;TODAY(),"Atrasada",IF(K10-TODAY()&lt;=3,"Esta semana","No prazo"))))</f>
        <v/>
      </c>
      <c r="M10" s="25"/>
    </row>
    <row r="11" customFormat="false" ht="15" hidden="false" customHeight="false" outlineLevel="0" collapsed="false">
      <c r="A11" s="1"/>
      <c r="B11" s="33" t="str">
        <f aca="false">IF(A11="","",IFERROR(INDEX(CRM_Contatos!$B$5:$B$304,MATCH(A11,CRM_Contatos!$A$5:$A$304,0)),"ID não encontrado"))</f>
        <v/>
      </c>
      <c r="C11" s="1"/>
      <c r="D11" s="1"/>
      <c r="E11" s="1"/>
      <c r="F11" s="21"/>
      <c r="G11" s="34" t="str">
        <f aca="false">IF(E11="","",IFERROR(INDEX(Listas!$O$4:$O$10,MATCH(E11,Listas!$N$4:$N$10,0)),0))</f>
        <v/>
      </c>
      <c r="H11" s="22" t="str">
        <f aca="false">IF(OR(F11="",G11=""),"",F11*G11)</f>
        <v/>
      </c>
      <c r="I11" s="1"/>
      <c r="J11" s="1"/>
      <c r="K11" s="25"/>
      <c r="L11" s="35" t="str">
        <f aca="true">IF(K11="","",IF(LEFT(E11,7)="Fechado","Encerrada",IF(K11&lt;TODAY(),"Atrasada",IF(K11-TODAY()&lt;=3,"Esta semana","No prazo"))))</f>
        <v/>
      </c>
      <c r="M11" s="25"/>
    </row>
    <row r="12" customFormat="false" ht="15" hidden="false" customHeight="false" outlineLevel="0" collapsed="false">
      <c r="A12" s="1"/>
      <c r="B12" s="33" t="str">
        <f aca="false">IF(A12="","",IFERROR(INDEX(CRM_Contatos!$B$5:$B$304,MATCH(A12,CRM_Contatos!$A$5:$A$304,0)),"ID não encontrado"))</f>
        <v/>
      </c>
      <c r="C12" s="1"/>
      <c r="D12" s="1"/>
      <c r="E12" s="1"/>
      <c r="F12" s="21"/>
      <c r="G12" s="34" t="str">
        <f aca="false">IF(E12="","",IFERROR(INDEX(Listas!$O$4:$O$10,MATCH(E12,Listas!$N$4:$N$10,0)),0))</f>
        <v/>
      </c>
      <c r="H12" s="22" t="str">
        <f aca="false">IF(OR(F12="",G12=""),"",F12*G12)</f>
        <v/>
      </c>
      <c r="I12" s="1"/>
      <c r="J12" s="1"/>
      <c r="K12" s="25"/>
      <c r="L12" s="35" t="str">
        <f aca="true">IF(K12="","",IF(LEFT(E12,7)="Fechado","Encerrada",IF(K12&lt;TODAY(),"Atrasada",IF(K12-TODAY()&lt;=3,"Esta semana","No prazo"))))</f>
        <v/>
      </c>
      <c r="M12" s="25"/>
    </row>
    <row r="13" customFormat="false" ht="15" hidden="false" customHeight="false" outlineLevel="0" collapsed="false">
      <c r="A13" s="1"/>
      <c r="B13" s="33" t="str">
        <f aca="false">IF(A13="","",IFERROR(INDEX(CRM_Contatos!$B$5:$B$304,MATCH(A13,CRM_Contatos!$A$5:$A$304,0)),"ID não encontrado"))</f>
        <v/>
      </c>
      <c r="C13" s="1"/>
      <c r="D13" s="1"/>
      <c r="E13" s="1"/>
      <c r="F13" s="21"/>
      <c r="G13" s="34" t="str">
        <f aca="false">IF(E13="","",IFERROR(INDEX(Listas!$O$4:$O$10,MATCH(E13,Listas!$N$4:$N$10,0)),0))</f>
        <v/>
      </c>
      <c r="H13" s="22" t="str">
        <f aca="false">IF(OR(F13="",G13=""),"",F13*G13)</f>
        <v/>
      </c>
      <c r="I13" s="1"/>
      <c r="J13" s="1"/>
      <c r="K13" s="25"/>
      <c r="L13" s="35" t="str">
        <f aca="true">IF(K13="","",IF(LEFT(E13,7)="Fechado","Encerrada",IF(K13&lt;TODAY(),"Atrasada",IF(K13-TODAY()&lt;=3,"Esta semana","No prazo"))))</f>
        <v/>
      </c>
      <c r="M13" s="25"/>
    </row>
    <row r="14" customFormat="false" ht="15" hidden="false" customHeight="false" outlineLevel="0" collapsed="false">
      <c r="A14" s="1"/>
      <c r="B14" s="33" t="str">
        <f aca="false">IF(A14="","",IFERROR(INDEX(CRM_Contatos!$B$5:$B$304,MATCH(A14,CRM_Contatos!$A$5:$A$304,0)),"ID não encontrado"))</f>
        <v/>
      </c>
      <c r="C14" s="1"/>
      <c r="D14" s="1"/>
      <c r="E14" s="1"/>
      <c r="F14" s="21"/>
      <c r="G14" s="34" t="str">
        <f aca="false">IF(E14="","",IFERROR(INDEX(Listas!$O$4:$O$10,MATCH(E14,Listas!$N$4:$N$10,0)),0))</f>
        <v/>
      </c>
      <c r="H14" s="22" t="str">
        <f aca="false">IF(OR(F14="",G14=""),"",F14*G14)</f>
        <v/>
      </c>
      <c r="I14" s="1"/>
      <c r="J14" s="1"/>
      <c r="K14" s="25"/>
      <c r="L14" s="35" t="str">
        <f aca="true">IF(K14="","",IF(LEFT(E14,7)="Fechado","Encerrada",IF(K14&lt;TODAY(),"Atrasada",IF(K14-TODAY()&lt;=3,"Esta semana","No prazo"))))</f>
        <v/>
      </c>
      <c r="M14" s="25"/>
    </row>
    <row r="15" customFormat="false" ht="15" hidden="false" customHeight="false" outlineLevel="0" collapsed="false">
      <c r="A15" s="1"/>
      <c r="B15" s="33" t="str">
        <f aca="false">IF(A15="","",IFERROR(INDEX(CRM_Contatos!$B$5:$B$304,MATCH(A15,CRM_Contatos!$A$5:$A$304,0)),"ID não encontrado"))</f>
        <v/>
      </c>
      <c r="C15" s="1"/>
      <c r="D15" s="1"/>
      <c r="E15" s="1"/>
      <c r="F15" s="21"/>
      <c r="G15" s="34" t="str">
        <f aca="false">IF(E15="","",IFERROR(INDEX(Listas!$O$4:$O$10,MATCH(E15,Listas!$N$4:$N$10,0)),0))</f>
        <v/>
      </c>
      <c r="H15" s="22" t="str">
        <f aca="false">IF(OR(F15="",G15=""),"",F15*G15)</f>
        <v/>
      </c>
      <c r="I15" s="1"/>
      <c r="J15" s="1"/>
      <c r="K15" s="25"/>
      <c r="L15" s="35" t="str">
        <f aca="true">IF(K15="","",IF(LEFT(E15,7)="Fechado","Encerrada",IF(K15&lt;TODAY(),"Atrasada",IF(K15-TODAY()&lt;=3,"Esta semana","No prazo"))))</f>
        <v/>
      </c>
      <c r="M15" s="25"/>
    </row>
    <row r="16" customFormat="false" ht="15" hidden="false" customHeight="false" outlineLevel="0" collapsed="false">
      <c r="A16" s="1"/>
      <c r="B16" s="33" t="str">
        <f aca="false">IF(A16="","",IFERROR(INDEX(CRM_Contatos!$B$5:$B$304,MATCH(A16,CRM_Contatos!$A$5:$A$304,0)),"ID não encontrado"))</f>
        <v/>
      </c>
      <c r="C16" s="1"/>
      <c r="D16" s="1"/>
      <c r="E16" s="1"/>
      <c r="F16" s="21"/>
      <c r="G16" s="34" t="str">
        <f aca="false">IF(E16="","",IFERROR(INDEX(Listas!$O$4:$O$10,MATCH(E16,Listas!$N$4:$N$10,0)),0))</f>
        <v/>
      </c>
      <c r="H16" s="22" t="str">
        <f aca="false">IF(OR(F16="",G16=""),"",F16*G16)</f>
        <v/>
      </c>
      <c r="I16" s="1"/>
      <c r="J16" s="1"/>
      <c r="K16" s="25"/>
      <c r="L16" s="35" t="str">
        <f aca="true">IF(K16="","",IF(LEFT(E16,7)="Fechado","Encerrada",IF(K16&lt;TODAY(),"Atrasada",IF(K16-TODAY()&lt;=3,"Esta semana","No prazo"))))</f>
        <v/>
      </c>
      <c r="M16" s="25"/>
    </row>
    <row r="17" customFormat="false" ht="15" hidden="false" customHeight="false" outlineLevel="0" collapsed="false">
      <c r="A17" s="1"/>
      <c r="B17" s="33" t="str">
        <f aca="false">IF(A17="","",IFERROR(INDEX(CRM_Contatos!$B$5:$B$304,MATCH(A17,CRM_Contatos!$A$5:$A$304,0)),"ID não encontrado"))</f>
        <v/>
      </c>
      <c r="C17" s="1"/>
      <c r="D17" s="1"/>
      <c r="E17" s="1"/>
      <c r="F17" s="21"/>
      <c r="G17" s="34" t="str">
        <f aca="false">IF(E17="","",IFERROR(INDEX(Listas!$O$4:$O$10,MATCH(E17,Listas!$N$4:$N$10,0)),0))</f>
        <v/>
      </c>
      <c r="H17" s="22" t="str">
        <f aca="false">IF(OR(F17="",G17=""),"",F17*G17)</f>
        <v/>
      </c>
      <c r="I17" s="1"/>
      <c r="J17" s="1"/>
      <c r="K17" s="25"/>
      <c r="L17" s="35" t="str">
        <f aca="true">IF(K17="","",IF(LEFT(E17,7)="Fechado","Encerrada",IF(K17&lt;TODAY(),"Atrasada",IF(K17-TODAY()&lt;=3,"Esta semana","No prazo"))))</f>
        <v/>
      </c>
      <c r="M17" s="25"/>
    </row>
    <row r="18" customFormat="false" ht="15" hidden="false" customHeight="false" outlineLevel="0" collapsed="false">
      <c r="A18" s="1"/>
      <c r="B18" s="33" t="str">
        <f aca="false">IF(A18="","",IFERROR(INDEX(CRM_Contatos!$B$5:$B$304,MATCH(A18,CRM_Contatos!$A$5:$A$304,0)),"ID não encontrado"))</f>
        <v/>
      </c>
      <c r="C18" s="1"/>
      <c r="D18" s="1"/>
      <c r="E18" s="1"/>
      <c r="F18" s="21"/>
      <c r="G18" s="34" t="str">
        <f aca="false">IF(E18="","",IFERROR(INDEX(Listas!$O$4:$O$10,MATCH(E18,Listas!$N$4:$N$10,0)),0))</f>
        <v/>
      </c>
      <c r="H18" s="22" t="str">
        <f aca="false">IF(OR(F18="",G18=""),"",F18*G18)</f>
        <v/>
      </c>
      <c r="I18" s="1"/>
      <c r="J18" s="1"/>
      <c r="K18" s="25"/>
      <c r="L18" s="35" t="str">
        <f aca="true">IF(K18="","",IF(LEFT(E18,7)="Fechado","Encerrada",IF(K18&lt;TODAY(),"Atrasada",IF(K18-TODAY()&lt;=3,"Esta semana","No prazo"))))</f>
        <v/>
      </c>
      <c r="M18" s="25"/>
    </row>
    <row r="19" customFormat="false" ht="15" hidden="false" customHeight="false" outlineLevel="0" collapsed="false">
      <c r="A19" s="1"/>
      <c r="B19" s="33" t="str">
        <f aca="false">IF(A19="","",IFERROR(INDEX(CRM_Contatos!$B$5:$B$304,MATCH(A19,CRM_Contatos!$A$5:$A$304,0)),"ID não encontrado"))</f>
        <v/>
      </c>
      <c r="C19" s="1"/>
      <c r="D19" s="1"/>
      <c r="E19" s="1"/>
      <c r="F19" s="21"/>
      <c r="G19" s="34" t="str">
        <f aca="false">IF(E19="","",IFERROR(INDEX(Listas!$O$4:$O$10,MATCH(E19,Listas!$N$4:$N$10,0)),0))</f>
        <v/>
      </c>
      <c r="H19" s="22" t="str">
        <f aca="false">IF(OR(F19="",G19=""),"",F19*G19)</f>
        <v/>
      </c>
      <c r="I19" s="1"/>
      <c r="J19" s="1"/>
      <c r="K19" s="25"/>
      <c r="L19" s="35" t="str">
        <f aca="true">IF(K19="","",IF(LEFT(E19,7)="Fechado","Encerrada",IF(K19&lt;TODAY(),"Atrasada",IF(K19-TODAY()&lt;=3,"Esta semana","No prazo"))))</f>
        <v/>
      </c>
      <c r="M19" s="25"/>
    </row>
    <row r="20" customFormat="false" ht="15" hidden="false" customHeight="false" outlineLevel="0" collapsed="false">
      <c r="A20" s="1"/>
      <c r="B20" s="33" t="str">
        <f aca="false">IF(A20="","",IFERROR(INDEX(CRM_Contatos!$B$5:$B$304,MATCH(A20,CRM_Contatos!$A$5:$A$304,0)),"ID não encontrado"))</f>
        <v/>
      </c>
      <c r="C20" s="1"/>
      <c r="D20" s="1"/>
      <c r="E20" s="1"/>
      <c r="F20" s="21"/>
      <c r="G20" s="34" t="str">
        <f aca="false">IF(E20="","",IFERROR(INDEX(Listas!$O$4:$O$10,MATCH(E20,Listas!$N$4:$N$10,0)),0))</f>
        <v/>
      </c>
      <c r="H20" s="22" t="str">
        <f aca="false">IF(OR(F20="",G20=""),"",F20*G20)</f>
        <v/>
      </c>
      <c r="I20" s="1"/>
      <c r="J20" s="1"/>
      <c r="K20" s="25"/>
      <c r="L20" s="35" t="str">
        <f aca="true">IF(K20="","",IF(LEFT(E20,7)="Fechado","Encerrada",IF(K20&lt;TODAY(),"Atrasada",IF(K20-TODAY()&lt;=3,"Esta semana","No prazo"))))</f>
        <v/>
      </c>
      <c r="M20" s="25"/>
    </row>
    <row r="21" customFormat="false" ht="15" hidden="false" customHeight="false" outlineLevel="0" collapsed="false">
      <c r="A21" s="1"/>
      <c r="B21" s="33" t="str">
        <f aca="false">IF(A21="","",IFERROR(INDEX(CRM_Contatos!$B$5:$B$304,MATCH(A21,CRM_Contatos!$A$5:$A$304,0)),"ID não encontrado"))</f>
        <v/>
      </c>
      <c r="C21" s="1"/>
      <c r="D21" s="1"/>
      <c r="E21" s="1"/>
      <c r="F21" s="21"/>
      <c r="G21" s="34" t="str">
        <f aca="false">IF(E21="","",IFERROR(INDEX(Listas!$O$4:$O$10,MATCH(E21,Listas!$N$4:$N$10,0)),0))</f>
        <v/>
      </c>
      <c r="H21" s="22" t="str">
        <f aca="false">IF(OR(F21="",G21=""),"",F21*G21)</f>
        <v/>
      </c>
      <c r="I21" s="1"/>
      <c r="J21" s="1"/>
      <c r="K21" s="25"/>
      <c r="L21" s="35" t="str">
        <f aca="true">IF(K21="","",IF(LEFT(E21,7)="Fechado","Encerrada",IF(K21&lt;TODAY(),"Atrasada",IF(K21-TODAY()&lt;=3,"Esta semana","No prazo"))))</f>
        <v/>
      </c>
      <c r="M21" s="25"/>
    </row>
    <row r="22" customFormat="false" ht="15" hidden="false" customHeight="false" outlineLevel="0" collapsed="false">
      <c r="A22" s="1"/>
      <c r="B22" s="33" t="str">
        <f aca="false">IF(A22="","",IFERROR(INDEX(CRM_Contatos!$B$5:$B$304,MATCH(A22,CRM_Contatos!$A$5:$A$304,0)),"ID não encontrado"))</f>
        <v/>
      </c>
      <c r="C22" s="1"/>
      <c r="D22" s="1"/>
      <c r="E22" s="1"/>
      <c r="F22" s="21"/>
      <c r="G22" s="34" t="str">
        <f aca="false">IF(E22="","",IFERROR(INDEX(Listas!$O$4:$O$10,MATCH(E22,Listas!$N$4:$N$10,0)),0))</f>
        <v/>
      </c>
      <c r="H22" s="22" t="str">
        <f aca="false">IF(OR(F22="",G22=""),"",F22*G22)</f>
        <v/>
      </c>
      <c r="I22" s="1"/>
      <c r="J22" s="1"/>
      <c r="K22" s="25"/>
      <c r="L22" s="35" t="str">
        <f aca="true">IF(K22="","",IF(LEFT(E22,7)="Fechado","Encerrada",IF(K22&lt;TODAY(),"Atrasada",IF(K22-TODAY()&lt;=3,"Esta semana","No prazo"))))</f>
        <v/>
      </c>
      <c r="M22" s="25"/>
    </row>
    <row r="23" customFormat="false" ht="15" hidden="false" customHeight="false" outlineLevel="0" collapsed="false">
      <c r="A23" s="1"/>
      <c r="B23" s="33" t="str">
        <f aca="false">IF(A23="","",IFERROR(INDEX(CRM_Contatos!$B$5:$B$304,MATCH(A23,CRM_Contatos!$A$5:$A$304,0)),"ID não encontrado"))</f>
        <v/>
      </c>
      <c r="C23" s="1"/>
      <c r="D23" s="1"/>
      <c r="E23" s="1"/>
      <c r="F23" s="21"/>
      <c r="G23" s="34" t="str">
        <f aca="false">IF(E23="","",IFERROR(INDEX(Listas!$O$4:$O$10,MATCH(E23,Listas!$N$4:$N$10,0)),0))</f>
        <v/>
      </c>
      <c r="H23" s="22" t="str">
        <f aca="false">IF(OR(F23="",G23=""),"",F23*G23)</f>
        <v/>
      </c>
      <c r="I23" s="1"/>
      <c r="J23" s="1"/>
      <c r="K23" s="25"/>
      <c r="L23" s="35" t="str">
        <f aca="true">IF(K23="","",IF(LEFT(E23,7)="Fechado","Encerrada",IF(K23&lt;TODAY(),"Atrasada",IF(K23-TODAY()&lt;=3,"Esta semana","No prazo"))))</f>
        <v/>
      </c>
      <c r="M23" s="25"/>
    </row>
    <row r="24" customFormat="false" ht="15" hidden="false" customHeight="false" outlineLevel="0" collapsed="false">
      <c r="A24" s="1"/>
      <c r="B24" s="33" t="str">
        <f aca="false">IF(A24="","",IFERROR(INDEX(CRM_Contatos!$B$5:$B$304,MATCH(A24,CRM_Contatos!$A$5:$A$304,0)),"ID não encontrado"))</f>
        <v/>
      </c>
      <c r="C24" s="1"/>
      <c r="D24" s="1"/>
      <c r="E24" s="1"/>
      <c r="F24" s="21"/>
      <c r="G24" s="34" t="str">
        <f aca="false">IF(E24="","",IFERROR(INDEX(Listas!$O$4:$O$10,MATCH(E24,Listas!$N$4:$N$10,0)),0))</f>
        <v/>
      </c>
      <c r="H24" s="22" t="str">
        <f aca="false">IF(OR(F24="",G24=""),"",F24*G24)</f>
        <v/>
      </c>
      <c r="I24" s="1"/>
      <c r="J24" s="1"/>
      <c r="K24" s="25"/>
      <c r="L24" s="35" t="str">
        <f aca="true">IF(K24="","",IF(LEFT(E24,7)="Fechado","Encerrada",IF(K24&lt;TODAY(),"Atrasada",IF(K24-TODAY()&lt;=3,"Esta semana","No prazo"))))</f>
        <v/>
      </c>
      <c r="M24" s="25"/>
    </row>
    <row r="25" customFormat="false" ht="15" hidden="false" customHeight="false" outlineLevel="0" collapsed="false">
      <c r="A25" s="1"/>
      <c r="B25" s="33" t="str">
        <f aca="false">IF(A25="","",IFERROR(INDEX(CRM_Contatos!$B$5:$B$304,MATCH(A25,CRM_Contatos!$A$5:$A$304,0)),"ID não encontrado"))</f>
        <v/>
      </c>
      <c r="C25" s="1"/>
      <c r="D25" s="1"/>
      <c r="E25" s="1"/>
      <c r="F25" s="21"/>
      <c r="G25" s="34" t="str">
        <f aca="false">IF(E25="","",IFERROR(INDEX(Listas!$O$4:$O$10,MATCH(E25,Listas!$N$4:$N$10,0)),0))</f>
        <v/>
      </c>
      <c r="H25" s="22" t="str">
        <f aca="false">IF(OR(F25="",G25=""),"",F25*G25)</f>
        <v/>
      </c>
      <c r="I25" s="1"/>
      <c r="J25" s="1"/>
      <c r="K25" s="25"/>
      <c r="L25" s="35" t="str">
        <f aca="true">IF(K25="","",IF(LEFT(E25,7)="Fechado","Encerrada",IF(K25&lt;TODAY(),"Atrasada",IF(K25-TODAY()&lt;=3,"Esta semana","No prazo"))))</f>
        <v/>
      </c>
      <c r="M25" s="25"/>
    </row>
    <row r="26" customFormat="false" ht="15" hidden="false" customHeight="false" outlineLevel="0" collapsed="false">
      <c r="A26" s="1"/>
      <c r="B26" s="33" t="str">
        <f aca="false">IF(A26="","",IFERROR(INDEX(CRM_Contatos!$B$5:$B$304,MATCH(A26,CRM_Contatos!$A$5:$A$304,0)),"ID não encontrado"))</f>
        <v/>
      </c>
      <c r="C26" s="1"/>
      <c r="D26" s="1"/>
      <c r="E26" s="1"/>
      <c r="F26" s="21"/>
      <c r="G26" s="34" t="str">
        <f aca="false">IF(E26="","",IFERROR(INDEX(Listas!$O$4:$O$10,MATCH(E26,Listas!$N$4:$N$10,0)),0))</f>
        <v/>
      </c>
      <c r="H26" s="22" t="str">
        <f aca="false">IF(OR(F26="",G26=""),"",F26*G26)</f>
        <v/>
      </c>
      <c r="I26" s="1"/>
      <c r="J26" s="1"/>
      <c r="K26" s="25"/>
      <c r="L26" s="35" t="str">
        <f aca="true">IF(K26="","",IF(LEFT(E26,7)="Fechado","Encerrada",IF(K26&lt;TODAY(),"Atrasada",IF(K26-TODAY()&lt;=3,"Esta semana","No prazo"))))</f>
        <v/>
      </c>
      <c r="M26" s="25"/>
    </row>
    <row r="27" customFormat="false" ht="15" hidden="false" customHeight="false" outlineLevel="0" collapsed="false">
      <c r="A27" s="1"/>
      <c r="B27" s="33" t="str">
        <f aca="false">IF(A27="","",IFERROR(INDEX(CRM_Contatos!$B$5:$B$304,MATCH(A27,CRM_Contatos!$A$5:$A$304,0)),"ID não encontrado"))</f>
        <v/>
      </c>
      <c r="C27" s="1"/>
      <c r="D27" s="1"/>
      <c r="E27" s="1"/>
      <c r="F27" s="21"/>
      <c r="G27" s="34" t="str">
        <f aca="false">IF(E27="","",IFERROR(INDEX(Listas!$O$4:$O$10,MATCH(E27,Listas!$N$4:$N$10,0)),0))</f>
        <v/>
      </c>
      <c r="H27" s="22" t="str">
        <f aca="false">IF(OR(F27="",G27=""),"",F27*G27)</f>
        <v/>
      </c>
      <c r="I27" s="1"/>
      <c r="J27" s="1"/>
      <c r="K27" s="25"/>
      <c r="L27" s="35" t="str">
        <f aca="true">IF(K27="","",IF(LEFT(E27,7)="Fechado","Encerrada",IF(K27&lt;TODAY(),"Atrasada",IF(K27-TODAY()&lt;=3,"Esta semana","No prazo"))))</f>
        <v/>
      </c>
      <c r="M27" s="25"/>
    </row>
    <row r="28" customFormat="false" ht="15" hidden="false" customHeight="false" outlineLevel="0" collapsed="false">
      <c r="A28" s="1"/>
      <c r="B28" s="33" t="str">
        <f aca="false">IF(A28="","",IFERROR(INDEX(CRM_Contatos!$B$5:$B$304,MATCH(A28,CRM_Contatos!$A$5:$A$304,0)),"ID não encontrado"))</f>
        <v/>
      </c>
      <c r="C28" s="1"/>
      <c r="D28" s="1"/>
      <c r="E28" s="1"/>
      <c r="F28" s="21"/>
      <c r="G28" s="34" t="str">
        <f aca="false">IF(E28="","",IFERROR(INDEX(Listas!$O$4:$O$10,MATCH(E28,Listas!$N$4:$N$10,0)),0))</f>
        <v/>
      </c>
      <c r="H28" s="22" t="str">
        <f aca="false">IF(OR(F28="",G28=""),"",F28*G28)</f>
        <v/>
      </c>
      <c r="I28" s="1"/>
      <c r="J28" s="1"/>
      <c r="K28" s="25"/>
      <c r="L28" s="35" t="str">
        <f aca="true">IF(K28="","",IF(LEFT(E28,7)="Fechado","Encerrada",IF(K28&lt;TODAY(),"Atrasada",IF(K28-TODAY()&lt;=3,"Esta semana","No prazo"))))</f>
        <v/>
      </c>
      <c r="M28" s="25"/>
    </row>
    <row r="29" customFormat="false" ht="15" hidden="false" customHeight="false" outlineLevel="0" collapsed="false">
      <c r="A29" s="1"/>
      <c r="B29" s="33" t="str">
        <f aca="false">IF(A29="","",IFERROR(INDEX(CRM_Contatos!$B$5:$B$304,MATCH(A29,CRM_Contatos!$A$5:$A$304,0)),"ID não encontrado"))</f>
        <v/>
      </c>
      <c r="C29" s="1"/>
      <c r="D29" s="1"/>
      <c r="E29" s="1"/>
      <c r="F29" s="21"/>
      <c r="G29" s="34" t="str">
        <f aca="false">IF(E29="","",IFERROR(INDEX(Listas!$O$4:$O$10,MATCH(E29,Listas!$N$4:$N$10,0)),0))</f>
        <v/>
      </c>
      <c r="H29" s="22" t="str">
        <f aca="false">IF(OR(F29="",G29=""),"",F29*G29)</f>
        <v/>
      </c>
      <c r="I29" s="1"/>
      <c r="J29" s="1"/>
      <c r="K29" s="25"/>
      <c r="L29" s="35" t="str">
        <f aca="true">IF(K29="","",IF(LEFT(E29,7)="Fechado","Encerrada",IF(K29&lt;TODAY(),"Atrasada",IF(K29-TODAY()&lt;=3,"Esta semana","No prazo"))))</f>
        <v/>
      </c>
      <c r="M29" s="25"/>
    </row>
    <row r="30" customFormat="false" ht="15" hidden="false" customHeight="false" outlineLevel="0" collapsed="false">
      <c r="A30" s="1"/>
      <c r="B30" s="33" t="str">
        <f aca="false">IF(A30="","",IFERROR(INDEX(CRM_Contatos!$B$5:$B$304,MATCH(A30,CRM_Contatos!$A$5:$A$304,0)),"ID não encontrado"))</f>
        <v/>
      </c>
      <c r="C30" s="1"/>
      <c r="D30" s="1"/>
      <c r="E30" s="1"/>
      <c r="F30" s="21"/>
      <c r="G30" s="34" t="str">
        <f aca="false">IF(E30="","",IFERROR(INDEX(Listas!$O$4:$O$10,MATCH(E30,Listas!$N$4:$N$10,0)),0))</f>
        <v/>
      </c>
      <c r="H30" s="22" t="str">
        <f aca="false">IF(OR(F30="",G30=""),"",F30*G30)</f>
        <v/>
      </c>
      <c r="I30" s="1"/>
      <c r="J30" s="1"/>
      <c r="K30" s="25"/>
      <c r="L30" s="35" t="str">
        <f aca="true">IF(K30="","",IF(LEFT(E30,7)="Fechado","Encerrada",IF(K30&lt;TODAY(),"Atrasada",IF(K30-TODAY()&lt;=3,"Esta semana","No prazo"))))</f>
        <v/>
      </c>
      <c r="M30" s="25"/>
    </row>
    <row r="31" customFormat="false" ht="15" hidden="false" customHeight="false" outlineLevel="0" collapsed="false">
      <c r="A31" s="1"/>
      <c r="B31" s="33" t="str">
        <f aca="false">IF(A31="","",IFERROR(INDEX(CRM_Contatos!$B$5:$B$304,MATCH(A31,CRM_Contatos!$A$5:$A$304,0)),"ID não encontrado"))</f>
        <v/>
      </c>
      <c r="C31" s="1"/>
      <c r="D31" s="1"/>
      <c r="E31" s="1"/>
      <c r="F31" s="21"/>
      <c r="G31" s="34" t="str">
        <f aca="false">IF(E31="","",IFERROR(INDEX(Listas!$O$4:$O$10,MATCH(E31,Listas!$N$4:$N$10,0)),0))</f>
        <v/>
      </c>
      <c r="H31" s="22" t="str">
        <f aca="false">IF(OR(F31="",G31=""),"",F31*G31)</f>
        <v/>
      </c>
      <c r="I31" s="1"/>
      <c r="J31" s="1"/>
      <c r="K31" s="25"/>
      <c r="L31" s="35" t="str">
        <f aca="true">IF(K31="","",IF(LEFT(E31,7)="Fechado","Encerrada",IF(K31&lt;TODAY(),"Atrasada",IF(K31-TODAY()&lt;=3,"Esta semana","No prazo"))))</f>
        <v/>
      </c>
      <c r="M31" s="25"/>
    </row>
    <row r="32" customFormat="false" ht="15" hidden="false" customHeight="false" outlineLevel="0" collapsed="false">
      <c r="A32" s="1"/>
      <c r="B32" s="33" t="str">
        <f aca="false">IF(A32="","",IFERROR(INDEX(CRM_Contatos!$B$5:$B$304,MATCH(A32,CRM_Contatos!$A$5:$A$304,0)),"ID não encontrado"))</f>
        <v/>
      </c>
      <c r="C32" s="1"/>
      <c r="D32" s="1"/>
      <c r="E32" s="1"/>
      <c r="F32" s="21"/>
      <c r="G32" s="34" t="str">
        <f aca="false">IF(E32="","",IFERROR(INDEX(Listas!$O$4:$O$10,MATCH(E32,Listas!$N$4:$N$10,0)),0))</f>
        <v/>
      </c>
      <c r="H32" s="22" t="str">
        <f aca="false">IF(OR(F32="",G32=""),"",F32*G32)</f>
        <v/>
      </c>
      <c r="I32" s="1"/>
      <c r="J32" s="1"/>
      <c r="K32" s="25"/>
      <c r="L32" s="35" t="str">
        <f aca="true">IF(K32="","",IF(LEFT(E32,7)="Fechado","Encerrada",IF(K32&lt;TODAY(),"Atrasada",IF(K32-TODAY()&lt;=3,"Esta semana","No prazo"))))</f>
        <v/>
      </c>
      <c r="M32" s="25"/>
    </row>
    <row r="33" customFormat="false" ht="15" hidden="false" customHeight="false" outlineLevel="0" collapsed="false">
      <c r="A33" s="1"/>
      <c r="B33" s="33" t="str">
        <f aca="false">IF(A33="","",IFERROR(INDEX(CRM_Contatos!$B$5:$B$304,MATCH(A33,CRM_Contatos!$A$5:$A$304,0)),"ID não encontrado"))</f>
        <v/>
      </c>
      <c r="C33" s="1"/>
      <c r="D33" s="1"/>
      <c r="E33" s="1"/>
      <c r="F33" s="21"/>
      <c r="G33" s="34" t="str">
        <f aca="false">IF(E33="","",IFERROR(INDEX(Listas!$O$4:$O$10,MATCH(E33,Listas!$N$4:$N$10,0)),0))</f>
        <v/>
      </c>
      <c r="H33" s="22" t="str">
        <f aca="false">IF(OR(F33="",G33=""),"",F33*G33)</f>
        <v/>
      </c>
      <c r="I33" s="1"/>
      <c r="J33" s="1"/>
      <c r="K33" s="25"/>
      <c r="L33" s="35" t="str">
        <f aca="true">IF(K33="","",IF(LEFT(E33,7)="Fechado","Encerrada",IF(K33&lt;TODAY(),"Atrasada",IF(K33-TODAY()&lt;=3,"Esta semana","No prazo"))))</f>
        <v/>
      </c>
      <c r="M33" s="25"/>
    </row>
    <row r="34" customFormat="false" ht="15" hidden="false" customHeight="false" outlineLevel="0" collapsed="false">
      <c r="A34" s="1"/>
      <c r="B34" s="33" t="str">
        <f aca="false">IF(A34="","",IFERROR(INDEX(CRM_Contatos!$B$5:$B$304,MATCH(A34,CRM_Contatos!$A$5:$A$304,0)),"ID não encontrado"))</f>
        <v/>
      </c>
      <c r="C34" s="1"/>
      <c r="D34" s="1"/>
      <c r="E34" s="1"/>
      <c r="F34" s="21"/>
      <c r="G34" s="34" t="str">
        <f aca="false">IF(E34="","",IFERROR(INDEX(Listas!$O$4:$O$10,MATCH(E34,Listas!$N$4:$N$10,0)),0))</f>
        <v/>
      </c>
      <c r="H34" s="22" t="str">
        <f aca="false">IF(OR(F34="",G34=""),"",F34*G34)</f>
        <v/>
      </c>
      <c r="I34" s="1"/>
      <c r="J34" s="1"/>
      <c r="K34" s="25"/>
      <c r="L34" s="35" t="str">
        <f aca="true">IF(K34="","",IF(LEFT(E34,7)="Fechado","Encerrada",IF(K34&lt;TODAY(),"Atrasada",IF(K34-TODAY()&lt;=3,"Esta semana","No prazo"))))</f>
        <v/>
      </c>
      <c r="M34" s="25"/>
    </row>
    <row r="35" customFormat="false" ht="15" hidden="false" customHeight="false" outlineLevel="0" collapsed="false">
      <c r="A35" s="1"/>
      <c r="B35" s="33" t="str">
        <f aca="false">IF(A35="","",IFERROR(INDEX(CRM_Contatos!$B$5:$B$304,MATCH(A35,CRM_Contatos!$A$5:$A$304,0)),"ID não encontrado"))</f>
        <v/>
      </c>
      <c r="C35" s="1"/>
      <c r="D35" s="1"/>
      <c r="E35" s="1"/>
      <c r="F35" s="21"/>
      <c r="G35" s="34" t="str">
        <f aca="false">IF(E35="","",IFERROR(INDEX(Listas!$O$4:$O$10,MATCH(E35,Listas!$N$4:$N$10,0)),0))</f>
        <v/>
      </c>
      <c r="H35" s="22" t="str">
        <f aca="false">IF(OR(F35="",G35=""),"",F35*G35)</f>
        <v/>
      </c>
      <c r="I35" s="1"/>
      <c r="J35" s="1"/>
      <c r="K35" s="25"/>
      <c r="L35" s="35" t="str">
        <f aca="true">IF(K35="","",IF(LEFT(E35,7)="Fechado","Encerrada",IF(K35&lt;TODAY(),"Atrasada",IF(K35-TODAY()&lt;=3,"Esta semana","No prazo"))))</f>
        <v/>
      </c>
      <c r="M35" s="25"/>
    </row>
    <row r="36" customFormat="false" ht="15" hidden="false" customHeight="false" outlineLevel="0" collapsed="false">
      <c r="A36" s="1"/>
      <c r="B36" s="33" t="str">
        <f aca="false">IF(A36="","",IFERROR(INDEX(CRM_Contatos!$B$5:$B$304,MATCH(A36,CRM_Contatos!$A$5:$A$304,0)),"ID não encontrado"))</f>
        <v/>
      </c>
      <c r="C36" s="1"/>
      <c r="D36" s="1"/>
      <c r="E36" s="1"/>
      <c r="F36" s="21"/>
      <c r="G36" s="34" t="str">
        <f aca="false">IF(E36="","",IFERROR(INDEX(Listas!$O$4:$O$10,MATCH(E36,Listas!$N$4:$N$10,0)),0))</f>
        <v/>
      </c>
      <c r="H36" s="22" t="str">
        <f aca="false">IF(OR(F36="",G36=""),"",F36*G36)</f>
        <v/>
      </c>
      <c r="I36" s="1"/>
      <c r="J36" s="1"/>
      <c r="K36" s="25"/>
      <c r="L36" s="35" t="str">
        <f aca="true">IF(K36="","",IF(LEFT(E36,7)="Fechado","Encerrada",IF(K36&lt;TODAY(),"Atrasada",IF(K36-TODAY()&lt;=3,"Esta semana","No prazo"))))</f>
        <v/>
      </c>
      <c r="M36" s="25"/>
    </row>
    <row r="37" customFormat="false" ht="15" hidden="false" customHeight="false" outlineLevel="0" collapsed="false">
      <c r="A37" s="1"/>
      <c r="B37" s="33" t="str">
        <f aca="false">IF(A37="","",IFERROR(INDEX(CRM_Contatos!$B$5:$B$304,MATCH(A37,CRM_Contatos!$A$5:$A$304,0)),"ID não encontrado"))</f>
        <v/>
      </c>
      <c r="C37" s="1"/>
      <c r="D37" s="1"/>
      <c r="E37" s="1"/>
      <c r="F37" s="21"/>
      <c r="G37" s="34" t="str">
        <f aca="false">IF(E37="","",IFERROR(INDEX(Listas!$O$4:$O$10,MATCH(E37,Listas!$N$4:$N$10,0)),0))</f>
        <v/>
      </c>
      <c r="H37" s="22" t="str">
        <f aca="false">IF(OR(F37="",G37=""),"",F37*G37)</f>
        <v/>
      </c>
      <c r="I37" s="1"/>
      <c r="J37" s="1"/>
      <c r="K37" s="25"/>
      <c r="L37" s="35" t="str">
        <f aca="true">IF(K37="","",IF(LEFT(E37,7)="Fechado","Encerrada",IF(K37&lt;TODAY(),"Atrasada",IF(K37-TODAY()&lt;=3,"Esta semana","No prazo"))))</f>
        <v/>
      </c>
      <c r="M37" s="25"/>
    </row>
    <row r="38" customFormat="false" ht="15" hidden="false" customHeight="false" outlineLevel="0" collapsed="false">
      <c r="A38" s="1"/>
      <c r="B38" s="33" t="str">
        <f aca="false">IF(A38="","",IFERROR(INDEX(CRM_Contatos!$B$5:$B$304,MATCH(A38,CRM_Contatos!$A$5:$A$304,0)),"ID não encontrado"))</f>
        <v/>
      </c>
      <c r="C38" s="1"/>
      <c r="D38" s="1"/>
      <c r="E38" s="1"/>
      <c r="F38" s="21"/>
      <c r="G38" s="34" t="str">
        <f aca="false">IF(E38="","",IFERROR(INDEX(Listas!$O$4:$O$10,MATCH(E38,Listas!$N$4:$N$10,0)),0))</f>
        <v/>
      </c>
      <c r="H38" s="22" t="str">
        <f aca="false">IF(OR(F38="",G38=""),"",F38*G38)</f>
        <v/>
      </c>
      <c r="I38" s="1"/>
      <c r="J38" s="1"/>
      <c r="K38" s="25"/>
      <c r="L38" s="35" t="str">
        <f aca="true">IF(K38="","",IF(LEFT(E38,7)="Fechado","Encerrada",IF(K38&lt;TODAY(),"Atrasada",IF(K38-TODAY()&lt;=3,"Esta semana","No prazo"))))</f>
        <v/>
      </c>
      <c r="M38" s="25"/>
    </row>
    <row r="39" customFormat="false" ht="15" hidden="false" customHeight="false" outlineLevel="0" collapsed="false">
      <c r="A39" s="1"/>
      <c r="B39" s="33" t="str">
        <f aca="false">IF(A39="","",IFERROR(INDEX(CRM_Contatos!$B$5:$B$304,MATCH(A39,CRM_Contatos!$A$5:$A$304,0)),"ID não encontrado"))</f>
        <v/>
      </c>
      <c r="C39" s="1"/>
      <c r="D39" s="1"/>
      <c r="E39" s="1"/>
      <c r="F39" s="21"/>
      <c r="G39" s="34" t="str">
        <f aca="false">IF(E39="","",IFERROR(INDEX(Listas!$O$4:$O$10,MATCH(E39,Listas!$N$4:$N$10,0)),0))</f>
        <v/>
      </c>
      <c r="H39" s="22" t="str">
        <f aca="false">IF(OR(F39="",G39=""),"",F39*G39)</f>
        <v/>
      </c>
      <c r="I39" s="1"/>
      <c r="J39" s="1"/>
      <c r="K39" s="25"/>
      <c r="L39" s="35" t="str">
        <f aca="true">IF(K39="","",IF(LEFT(E39,7)="Fechado","Encerrada",IF(K39&lt;TODAY(),"Atrasada",IF(K39-TODAY()&lt;=3,"Esta semana","No prazo"))))</f>
        <v/>
      </c>
      <c r="M39" s="25"/>
    </row>
    <row r="40" customFormat="false" ht="15" hidden="false" customHeight="false" outlineLevel="0" collapsed="false">
      <c r="A40" s="1"/>
      <c r="B40" s="33" t="str">
        <f aca="false">IF(A40="","",IFERROR(INDEX(CRM_Contatos!$B$5:$B$304,MATCH(A40,CRM_Contatos!$A$5:$A$304,0)),"ID não encontrado"))</f>
        <v/>
      </c>
      <c r="C40" s="1"/>
      <c r="D40" s="1"/>
      <c r="E40" s="1"/>
      <c r="F40" s="21"/>
      <c r="G40" s="34" t="str">
        <f aca="false">IF(E40="","",IFERROR(INDEX(Listas!$O$4:$O$10,MATCH(E40,Listas!$N$4:$N$10,0)),0))</f>
        <v/>
      </c>
      <c r="H40" s="22" t="str">
        <f aca="false">IF(OR(F40="",G40=""),"",F40*G40)</f>
        <v/>
      </c>
      <c r="I40" s="1"/>
      <c r="J40" s="1"/>
      <c r="K40" s="25"/>
      <c r="L40" s="35" t="str">
        <f aca="true">IF(K40="","",IF(LEFT(E40,7)="Fechado","Encerrada",IF(K40&lt;TODAY(),"Atrasada",IF(K40-TODAY()&lt;=3,"Esta semana","No prazo"))))</f>
        <v/>
      </c>
      <c r="M40" s="25"/>
    </row>
    <row r="41" customFormat="false" ht="15" hidden="false" customHeight="false" outlineLevel="0" collapsed="false">
      <c r="A41" s="1"/>
      <c r="B41" s="33" t="str">
        <f aca="false">IF(A41="","",IFERROR(INDEX(CRM_Contatos!$B$5:$B$304,MATCH(A41,CRM_Contatos!$A$5:$A$304,0)),"ID não encontrado"))</f>
        <v/>
      </c>
      <c r="C41" s="1"/>
      <c r="D41" s="1"/>
      <c r="E41" s="1"/>
      <c r="F41" s="21"/>
      <c r="G41" s="34" t="str">
        <f aca="false">IF(E41="","",IFERROR(INDEX(Listas!$O$4:$O$10,MATCH(E41,Listas!$N$4:$N$10,0)),0))</f>
        <v/>
      </c>
      <c r="H41" s="22" t="str">
        <f aca="false">IF(OR(F41="",G41=""),"",F41*G41)</f>
        <v/>
      </c>
      <c r="I41" s="1"/>
      <c r="J41" s="1"/>
      <c r="K41" s="25"/>
      <c r="L41" s="35" t="str">
        <f aca="true">IF(K41="","",IF(LEFT(E41,7)="Fechado","Encerrada",IF(K41&lt;TODAY(),"Atrasada",IF(K41-TODAY()&lt;=3,"Esta semana","No prazo"))))</f>
        <v/>
      </c>
      <c r="M41" s="25"/>
    </row>
    <row r="42" customFormat="false" ht="15" hidden="false" customHeight="false" outlineLevel="0" collapsed="false">
      <c r="A42" s="1"/>
      <c r="B42" s="33" t="str">
        <f aca="false">IF(A42="","",IFERROR(INDEX(CRM_Contatos!$B$5:$B$304,MATCH(A42,CRM_Contatos!$A$5:$A$304,0)),"ID não encontrado"))</f>
        <v/>
      </c>
      <c r="C42" s="1"/>
      <c r="D42" s="1"/>
      <c r="E42" s="1"/>
      <c r="F42" s="21"/>
      <c r="G42" s="34" t="str">
        <f aca="false">IF(E42="","",IFERROR(INDEX(Listas!$O$4:$O$10,MATCH(E42,Listas!$N$4:$N$10,0)),0))</f>
        <v/>
      </c>
      <c r="H42" s="22" t="str">
        <f aca="false">IF(OR(F42="",G42=""),"",F42*G42)</f>
        <v/>
      </c>
      <c r="I42" s="1"/>
      <c r="J42" s="1"/>
      <c r="K42" s="25"/>
      <c r="L42" s="35" t="str">
        <f aca="true">IF(K42="","",IF(LEFT(E42,7)="Fechado","Encerrada",IF(K42&lt;TODAY(),"Atrasada",IF(K42-TODAY()&lt;=3,"Esta semana","No prazo"))))</f>
        <v/>
      </c>
      <c r="M42" s="25"/>
    </row>
    <row r="43" customFormat="false" ht="15" hidden="false" customHeight="false" outlineLevel="0" collapsed="false">
      <c r="A43" s="1"/>
      <c r="B43" s="33" t="str">
        <f aca="false">IF(A43="","",IFERROR(INDEX(CRM_Contatos!$B$5:$B$304,MATCH(A43,CRM_Contatos!$A$5:$A$304,0)),"ID não encontrado"))</f>
        <v/>
      </c>
      <c r="C43" s="1"/>
      <c r="D43" s="1"/>
      <c r="E43" s="1"/>
      <c r="F43" s="21"/>
      <c r="G43" s="34" t="str">
        <f aca="false">IF(E43="","",IFERROR(INDEX(Listas!$O$4:$O$10,MATCH(E43,Listas!$N$4:$N$10,0)),0))</f>
        <v/>
      </c>
      <c r="H43" s="22" t="str">
        <f aca="false">IF(OR(F43="",G43=""),"",F43*G43)</f>
        <v/>
      </c>
      <c r="I43" s="1"/>
      <c r="J43" s="1"/>
      <c r="K43" s="25"/>
      <c r="L43" s="35" t="str">
        <f aca="true">IF(K43="","",IF(LEFT(E43,7)="Fechado","Encerrada",IF(K43&lt;TODAY(),"Atrasada",IF(K43-TODAY()&lt;=3,"Esta semana","No prazo"))))</f>
        <v/>
      </c>
      <c r="M43" s="25"/>
    </row>
    <row r="44" customFormat="false" ht="15" hidden="false" customHeight="false" outlineLevel="0" collapsed="false">
      <c r="A44" s="1"/>
      <c r="B44" s="33" t="str">
        <f aca="false">IF(A44="","",IFERROR(INDEX(CRM_Contatos!$B$5:$B$304,MATCH(A44,CRM_Contatos!$A$5:$A$304,0)),"ID não encontrado"))</f>
        <v/>
      </c>
      <c r="C44" s="1"/>
      <c r="D44" s="1"/>
      <c r="E44" s="1"/>
      <c r="F44" s="21"/>
      <c r="G44" s="34" t="str">
        <f aca="false">IF(E44="","",IFERROR(INDEX(Listas!$O$4:$O$10,MATCH(E44,Listas!$N$4:$N$10,0)),0))</f>
        <v/>
      </c>
      <c r="H44" s="22" t="str">
        <f aca="false">IF(OR(F44="",G44=""),"",F44*G44)</f>
        <v/>
      </c>
      <c r="I44" s="1"/>
      <c r="J44" s="1"/>
      <c r="K44" s="25"/>
      <c r="L44" s="35" t="str">
        <f aca="true">IF(K44="","",IF(LEFT(E44,7)="Fechado","Encerrada",IF(K44&lt;TODAY(),"Atrasada",IF(K44-TODAY()&lt;=3,"Esta semana","No prazo"))))</f>
        <v/>
      </c>
      <c r="M44" s="25"/>
    </row>
    <row r="45" customFormat="false" ht="15" hidden="false" customHeight="false" outlineLevel="0" collapsed="false">
      <c r="A45" s="1"/>
      <c r="B45" s="33" t="str">
        <f aca="false">IF(A45="","",IFERROR(INDEX(CRM_Contatos!$B$5:$B$304,MATCH(A45,CRM_Contatos!$A$5:$A$304,0)),"ID não encontrado"))</f>
        <v/>
      </c>
      <c r="C45" s="1"/>
      <c r="D45" s="1"/>
      <c r="E45" s="1"/>
      <c r="F45" s="21"/>
      <c r="G45" s="34" t="str">
        <f aca="false">IF(E45="","",IFERROR(INDEX(Listas!$O$4:$O$10,MATCH(E45,Listas!$N$4:$N$10,0)),0))</f>
        <v/>
      </c>
      <c r="H45" s="22" t="str">
        <f aca="false">IF(OR(F45="",G45=""),"",F45*G45)</f>
        <v/>
      </c>
      <c r="I45" s="1"/>
      <c r="J45" s="1"/>
      <c r="K45" s="25"/>
      <c r="L45" s="35" t="str">
        <f aca="true">IF(K45="","",IF(LEFT(E45,7)="Fechado","Encerrada",IF(K45&lt;TODAY(),"Atrasada",IF(K45-TODAY()&lt;=3,"Esta semana","No prazo"))))</f>
        <v/>
      </c>
      <c r="M45" s="25"/>
    </row>
    <row r="46" customFormat="false" ht="15" hidden="false" customHeight="false" outlineLevel="0" collapsed="false">
      <c r="A46" s="1"/>
      <c r="B46" s="33" t="str">
        <f aca="false">IF(A46="","",IFERROR(INDEX(CRM_Contatos!$B$5:$B$304,MATCH(A46,CRM_Contatos!$A$5:$A$304,0)),"ID não encontrado"))</f>
        <v/>
      </c>
      <c r="C46" s="1"/>
      <c r="D46" s="1"/>
      <c r="E46" s="1"/>
      <c r="F46" s="21"/>
      <c r="G46" s="34" t="str">
        <f aca="false">IF(E46="","",IFERROR(INDEX(Listas!$O$4:$O$10,MATCH(E46,Listas!$N$4:$N$10,0)),0))</f>
        <v/>
      </c>
      <c r="H46" s="22" t="str">
        <f aca="false">IF(OR(F46="",G46=""),"",F46*G46)</f>
        <v/>
      </c>
      <c r="I46" s="1"/>
      <c r="J46" s="1"/>
      <c r="K46" s="25"/>
      <c r="L46" s="35" t="str">
        <f aca="true">IF(K46="","",IF(LEFT(E46,7)="Fechado","Encerrada",IF(K46&lt;TODAY(),"Atrasada",IF(K46-TODAY()&lt;=3,"Esta semana","No prazo"))))</f>
        <v/>
      </c>
      <c r="M46" s="25"/>
    </row>
    <row r="47" customFormat="false" ht="15" hidden="false" customHeight="false" outlineLevel="0" collapsed="false">
      <c r="A47" s="1"/>
      <c r="B47" s="33" t="str">
        <f aca="false">IF(A47="","",IFERROR(INDEX(CRM_Contatos!$B$5:$B$304,MATCH(A47,CRM_Contatos!$A$5:$A$304,0)),"ID não encontrado"))</f>
        <v/>
      </c>
      <c r="C47" s="1"/>
      <c r="D47" s="1"/>
      <c r="E47" s="1"/>
      <c r="F47" s="21"/>
      <c r="G47" s="34" t="str">
        <f aca="false">IF(E47="","",IFERROR(INDEX(Listas!$O$4:$O$10,MATCH(E47,Listas!$N$4:$N$10,0)),0))</f>
        <v/>
      </c>
      <c r="H47" s="22" t="str">
        <f aca="false">IF(OR(F47="",G47=""),"",F47*G47)</f>
        <v/>
      </c>
      <c r="I47" s="1"/>
      <c r="J47" s="1"/>
      <c r="K47" s="25"/>
      <c r="L47" s="35" t="str">
        <f aca="true">IF(K47="","",IF(LEFT(E47,7)="Fechado","Encerrada",IF(K47&lt;TODAY(),"Atrasada",IF(K47-TODAY()&lt;=3,"Esta semana","No prazo"))))</f>
        <v/>
      </c>
      <c r="M47" s="25"/>
    </row>
    <row r="48" customFormat="false" ht="15" hidden="false" customHeight="false" outlineLevel="0" collapsed="false">
      <c r="A48" s="1"/>
      <c r="B48" s="33" t="str">
        <f aca="false">IF(A48="","",IFERROR(INDEX(CRM_Contatos!$B$5:$B$304,MATCH(A48,CRM_Contatos!$A$5:$A$304,0)),"ID não encontrado"))</f>
        <v/>
      </c>
      <c r="C48" s="1"/>
      <c r="D48" s="1"/>
      <c r="E48" s="1"/>
      <c r="F48" s="21"/>
      <c r="G48" s="34" t="str">
        <f aca="false">IF(E48="","",IFERROR(INDEX(Listas!$O$4:$O$10,MATCH(E48,Listas!$N$4:$N$10,0)),0))</f>
        <v/>
      </c>
      <c r="H48" s="22" t="str">
        <f aca="false">IF(OR(F48="",G48=""),"",F48*G48)</f>
        <v/>
      </c>
      <c r="I48" s="1"/>
      <c r="J48" s="1"/>
      <c r="K48" s="25"/>
      <c r="L48" s="35" t="str">
        <f aca="true">IF(K48="","",IF(LEFT(E48,7)="Fechado","Encerrada",IF(K48&lt;TODAY(),"Atrasada",IF(K48-TODAY()&lt;=3,"Esta semana","No prazo"))))</f>
        <v/>
      </c>
      <c r="M48" s="25"/>
    </row>
    <row r="49" customFormat="false" ht="15" hidden="false" customHeight="false" outlineLevel="0" collapsed="false">
      <c r="A49" s="1"/>
      <c r="B49" s="33" t="str">
        <f aca="false">IF(A49="","",IFERROR(INDEX(CRM_Contatos!$B$5:$B$304,MATCH(A49,CRM_Contatos!$A$5:$A$304,0)),"ID não encontrado"))</f>
        <v/>
      </c>
      <c r="C49" s="1"/>
      <c r="D49" s="1"/>
      <c r="E49" s="1"/>
      <c r="F49" s="21"/>
      <c r="G49" s="34" t="str">
        <f aca="false">IF(E49="","",IFERROR(INDEX(Listas!$O$4:$O$10,MATCH(E49,Listas!$N$4:$N$10,0)),0))</f>
        <v/>
      </c>
      <c r="H49" s="22" t="str">
        <f aca="false">IF(OR(F49="",G49=""),"",F49*G49)</f>
        <v/>
      </c>
      <c r="I49" s="1"/>
      <c r="J49" s="1"/>
      <c r="K49" s="25"/>
      <c r="L49" s="35" t="str">
        <f aca="true">IF(K49="","",IF(LEFT(E49,7)="Fechado","Encerrada",IF(K49&lt;TODAY(),"Atrasada",IF(K49-TODAY()&lt;=3,"Esta semana","No prazo"))))</f>
        <v/>
      </c>
      <c r="M49" s="25"/>
    </row>
    <row r="50" customFormat="false" ht="15" hidden="false" customHeight="false" outlineLevel="0" collapsed="false">
      <c r="A50" s="1"/>
      <c r="B50" s="33" t="str">
        <f aca="false">IF(A50="","",IFERROR(INDEX(CRM_Contatos!$B$5:$B$304,MATCH(A50,CRM_Contatos!$A$5:$A$304,0)),"ID não encontrado"))</f>
        <v/>
      </c>
      <c r="C50" s="1"/>
      <c r="D50" s="1"/>
      <c r="E50" s="1"/>
      <c r="F50" s="21"/>
      <c r="G50" s="34" t="str">
        <f aca="false">IF(E50="","",IFERROR(INDEX(Listas!$O$4:$O$10,MATCH(E50,Listas!$N$4:$N$10,0)),0))</f>
        <v/>
      </c>
      <c r="H50" s="22" t="str">
        <f aca="false">IF(OR(F50="",G50=""),"",F50*G50)</f>
        <v/>
      </c>
      <c r="I50" s="1"/>
      <c r="J50" s="1"/>
      <c r="K50" s="25"/>
      <c r="L50" s="35" t="str">
        <f aca="true">IF(K50="","",IF(LEFT(E50,7)="Fechado","Encerrada",IF(K50&lt;TODAY(),"Atrasada",IF(K50-TODAY()&lt;=3,"Esta semana","No prazo"))))</f>
        <v/>
      </c>
      <c r="M50" s="25"/>
    </row>
    <row r="51" customFormat="false" ht="15" hidden="false" customHeight="false" outlineLevel="0" collapsed="false">
      <c r="A51" s="1"/>
      <c r="B51" s="33" t="str">
        <f aca="false">IF(A51="","",IFERROR(INDEX(CRM_Contatos!$B$5:$B$304,MATCH(A51,CRM_Contatos!$A$5:$A$304,0)),"ID não encontrado"))</f>
        <v/>
      </c>
      <c r="C51" s="1"/>
      <c r="D51" s="1"/>
      <c r="E51" s="1"/>
      <c r="F51" s="21"/>
      <c r="G51" s="34" t="str">
        <f aca="false">IF(E51="","",IFERROR(INDEX(Listas!$O$4:$O$10,MATCH(E51,Listas!$N$4:$N$10,0)),0))</f>
        <v/>
      </c>
      <c r="H51" s="22" t="str">
        <f aca="false">IF(OR(F51="",G51=""),"",F51*G51)</f>
        <v/>
      </c>
      <c r="I51" s="1"/>
      <c r="J51" s="1"/>
      <c r="K51" s="25"/>
      <c r="L51" s="35" t="str">
        <f aca="true">IF(K51="","",IF(LEFT(E51,7)="Fechado","Encerrada",IF(K51&lt;TODAY(),"Atrasada",IF(K51-TODAY()&lt;=3,"Esta semana","No prazo"))))</f>
        <v/>
      </c>
      <c r="M51" s="25"/>
    </row>
    <row r="52" customFormat="false" ht="15" hidden="false" customHeight="false" outlineLevel="0" collapsed="false">
      <c r="A52" s="1"/>
      <c r="B52" s="33" t="str">
        <f aca="false">IF(A52="","",IFERROR(INDEX(CRM_Contatos!$B$5:$B$304,MATCH(A52,CRM_Contatos!$A$5:$A$304,0)),"ID não encontrado"))</f>
        <v/>
      </c>
      <c r="C52" s="1"/>
      <c r="D52" s="1"/>
      <c r="E52" s="1"/>
      <c r="F52" s="21"/>
      <c r="G52" s="34" t="str">
        <f aca="false">IF(E52="","",IFERROR(INDEX(Listas!$O$4:$O$10,MATCH(E52,Listas!$N$4:$N$10,0)),0))</f>
        <v/>
      </c>
      <c r="H52" s="22" t="str">
        <f aca="false">IF(OR(F52="",G52=""),"",F52*G52)</f>
        <v/>
      </c>
      <c r="I52" s="1"/>
      <c r="J52" s="1"/>
      <c r="K52" s="25"/>
      <c r="L52" s="35" t="str">
        <f aca="true">IF(K52="","",IF(LEFT(E52,7)="Fechado","Encerrada",IF(K52&lt;TODAY(),"Atrasada",IF(K52-TODAY()&lt;=3,"Esta semana","No prazo"))))</f>
        <v/>
      </c>
      <c r="M52" s="25"/>
    </row>
    <row r="53" customFormat="false" ht="15" hidden="false" customHeight="false" outlineLevel="0" collapsed="false">
      <c r="A53" s="1"/>
      <c r="B53" s="33" t="str">
        <f aca="false">IF(A53="","",IFERROR(INDEX(CRM_Contatos!$B$5:$B$304,MATCH(A53,CRM_Contatos!$A$5:$A$304,0)),"ID não encontrado"))</f>
        <v/>
      </c>
      <c r="C53" s="1"/>
      <c r="D53" s="1"/>
      <c r="E53" s="1"/>
      <c r="F53" s="21"/>
      <c r="G53" s="34" t="str">
        <f aca="false">IF(E53="","",IFERROR(INDEX(Listas!$O$4:$O$10,MATCH(E53,Listas!$N$4:$N$10,0)),0))</f>
        <v/>
      </c>
      <c r="H53" s="22" t="str">
        <f aca="false">IF(OR(F53="",G53=""),"",F53*G53)</f>
        <v/>
      </c>
      <c r="I53" s="1"/>
      <c r="J53" s="1"/>
      <c r="K53" s="25"/>
      <c r="L53" s="35" t="str">
        <f aca="true">IF(K53="","",IF(LEFT(E53,7)="Fechado","Encerrada",IF(K53&lt;TODAY(),"Atrasada",IF(K53-TODAY()&lt;=3,"Esta semana","No prazo"))))</f>
        <v/>
      </c>
      <c r="M53" s="25"/>
    </row>
    <row r="54" customFormat="false" ht="15" hidden="false" customHeight="false" outlineLevel="0" collapsed="false">
      <c r="A54" s="1"/>
      <c r="B54" s="33" t="str">
        <f aca="false">IF(A54="","",IFERROR(INDEX(CRM_Contatos!$B$5:$B$304,MATCH(A54,CRM_Contatos!$A$5:$A$304,0)),"ID não encontrado"))</f>
        <v/>
      </c>
      <c r="C54" s="1"/>
      <c r="D54" s="1"/>
      <c r="E54" s="1"/>
      <c r="F54" s="21"/>
      <c r="G54" s="34" t="str">
        <f aca="false">IF(E54="","",IFERROR(INDEX(Listas!$O$4:$O$10,MATCH(E54,Listas!$N$4:$N$10,0)),0))</f>
        <v/>
      </c>
      <c r="H54" s="22" t="str">
        <f aca="false">IF(OR(F54="",G54=""),"",F54*G54)</f>
        <v/>
      </c>
      <c r="I54" s="1"/>
      <c r="J54" s="1"/>
      <c r="K54" s="25"/>
      <c r="L54" s="35" t="str">
        <f aca="true">IF(K54="","",IF(LEFT(E54,7)="Fechado","Encerrada",IF(K54&lt;TODAY(),"Atrasada",IF(K54-TODAY()&lt;=3,"Esta semana","No prazo"))))</f>
        <v/>
      </c>
      <c r="M54" s="25"/>
    </row>
    <row r="55" customFormat="false" ht="15" hidden="false" customHeight="false" outlineLevel="0" collapsed="false">
      <c r="A55" s="1"/>
      <c r="B55" s="33" t="str">
        <f aca="false">IF(A55="","",IFERROR(INDEX(CRM_Contatos!$B$5:$B$304,MATCH(A55,CRM_Contatos!$A$5:$A$304,0)),"ID não encontrado"))</f>
        <v/>
      </c>
      <c r="C55" s="1"/>
      <c r="D55" s="1"/>
      <c r="E55" s="1"/>
      <c r="F55" s="21"/>
      <c r="G55" s="34" t="str">
        <f aca="false">IF(E55="","",IFERROR(INDEX(Listas!$O$4:$O$10,MATCH(E55,Listas!$N$4:$N$10,0)),0))</f>
        <v/>
      </c>
      <c r="H55" s="22" t="str">
        <f aca="false">IF(OR(F55="",G55=""),"",F55*G55)</f>
        <v/>
      </c>
      <c r="I55" s="1"/>
      <c r="J55" s="1"/>
      <c r="K55" s="25"/>
      <c r="L55" s="35" t="str">
        <f aca="true">IF(K55="","",IF(LEFT(E55,7)="Fechado","Encerrada",IF(K55&lt;TODAY(),"Atrasada",IF(K55-TODAY()&lt;=3,"Esta semana","No prazo"))))</f>
        <v/>
      </c>
      <c r="M55" s="25"/>
    </row>
    <row r="56" customFormat="false" ht="15" hidden="false" customHeight="false" outlineLevel="0" collapsed="false">
      <c r="A56" s="1"/>
      <c r="B56" s="33" t="str">
        <f aca="false">IF(A56="","",IFERROR(INDEX(CRM_Contatos!$B$5:$B$304,MATCH(A56,CRM_Contatos!$A$5:$A$304,0)),"ID não encontrado"))</f>
        <v/>
      </c>
      <c r="C56" s="1"/>
      <c r="D56" s="1"/>
      <c r="E56" s="1"/>
      <c r="F56" s="21"/>
      <c r="G56" s="34" t="str">
        <f aca="false">IF(E56="","",IFERROR(INDEX(Listas!$O$4:$O$10,MATCH(E56,Listas!$N$4:$N$10,0)),0))</f>
        <v/>
      </c>
      <c r="H56" s="22" t="str">
        <f aca="false">IF(OR(F56="",G56=""),"",F56*G56)</f>
        <v/>
      </c>
      <c r="I56" s="1"/>
      <c r="J56" s="1"/>
      <c r="K56" s="25"/>
      <c r="L56" s="35" t="str">
        <f aca="true">IF(K56="","",IF(LEFT(E56,7)="Fechado","Encerrada",IF(K56&lt;TODAY(),"Atrasada",IF(K56-TODAY()&lt;=3,"Esta semana","No prazo"))))</f>
        <v/>
      </c>
      <c r="M56" s="25"/>
    </row>
    <row r="57" customFormat="false" ht="15" hidden="false" customHeight="false" outlineLevel="0" collapsed="false">
      <c r="A57" s="1"/>
      <c r="B57" s="33" t="str">
        <f aca="false">IF(A57="","",IFERROR(INDEX(CRM_Contatos!$B$5:$B$304,MATCH(A57,CRM_Contatos!$A$5:$A$304,0)),"ID não encontrado"))</f>
        <v/>
      </c>
      <c r="C57" s="1"/>
      <c r="D57" s="1"/>
      <c r="E57" s="1"/>
      <c r="F57" s="21"/>
      <c r="G57" s="34" t="str">
        <f aca="false">IF(E57="","",IFERROR(INDEX(Listas!$O$4:$O$10,MATCH(E57,Listas!$N$4:$N$10,0)),0))</f>
        <v/>
      </c>
      <c r="H57" s="22" t="str">
        <f aca="false">IF(OR(F57="",G57=""),"",F57*G57)</f>
        <v/>
      </c>
      <c r="I57" s="1"/>
      <c r="J57" s="1"/>
      <c r="K57" s="25"/>
      <c r="L57" s="35" t="str">
        <f aca="true">IF(K57="","",IF(LEFT(E57,7)="Fechado","Encerrada",IF(K57&lt;TODAY(),"Atrasada",IF(K57-TODAY()&lt;=3,"Esta semana","No prazo"))))</f>
        <v/>
      </c>
      <c r="M57" s="25"/>
    </row>
    <row r="58" customFormat="false" ht="15" hidden="false" customHeight="false" outlineLevel="0" collapsed="false">
      <c r="A58" s="1"/>
      <c r="B58" s="33" t="str">
        <f aca="false">IF(A58="","",IFERROR(INDEX(CRM_Contatos!$B$5:$B$304,MATCH(A58,CRM_Contatos!$A$5:$A$304,0)),"ID não encontrado"))</f>
        <v/>
      </c>
      <c r="C58" s="1"/>
      <c r="D58" s="1"/>
      <c r="E58" s="1"/>
      <c r="F58" s="21"/>
      <c r="G58" s="34" t="str">
        <f aca="false">IF(E58="","",IFERROR(INDEX(Listas!$O$4:$O$10,MATCH(E58,Listas!$N$4:$N$10,0)),0))</f>
        <v/>
      </c>
      <c r="H58" s="22" t="str">
        <f aca="false">IF(OR(F58="",G58=""),"",F58*G58)</f>
        <v/>
      </c>
      <c r="I58" s="1"/>
      <c r="J58" s="1"/>
      <c r="K58" s="25"/>
      <c r="L58" s="35" t="str">
        <f aca="true">IF(K58="","",IF(LEFT(E58,7)="Fechado","Encerrada",IF(K58&lt;TODAY(),"Atrasada",IF(K58-TODAY()&lt;=3,"Esta semana","No prazo"))))</f>
        <v/>
      </c>
      <c r="M58" s="25"/>
    </row>
    <row r="59" customFormat="false" ht="15" hidden="false" customHeight="false" outlineLevel="0" collapsed="false">
      <c r="A59" s="1"/>
      <c r="B59" s="33" t="str">
        <f aca="false">IF(A59="","",IFERROR(INDEX(CRM_Contatos!$B$5:$B$304,MATCH(A59,CRM_Contatos!$A$5:$A$304,0)),"ID não encontrado"))</f>
        <v/>
      </c>
      <c r="C59" s="1"/>
      <c r="D59" s="1"/>
      <c r="E59" s="1"/>
      <c r="F59" s="21"/>
      <c r="G59" s="34" t="str">
        <f aca="false">IF(E59="","",IFERROR(INDEX(Listas!$O$4:$O$10,MATCH(E59,Listas!$N$4:$N$10,0)),0))</f>
        <v/>
      </c>
      <c r="H59" s="22" t="str">
        <f aca="false">IF(OR(F59="",G59=""),"",F59*G59)</f>
        <v/>
      </c>
      <c r="I59" s="1"/>
      <c r="J59" s="1"/>
      <c r="K59" s="25"/>
      <c r="L59" s="35" t="str">
        <f aca="true">IF(K59="","",IF(LEFT(E59,7)="Fechado","Encerrada",IF(K59&lt;TODAY(),"Atrasada",IF(K59-TODAY()&lt;=3,"Esta semana","No prazo"))))</f>
        <v/>
      </c>
      <c r="M59" s="25"/>
    </row>
    <row r="60" customFormat="false" ht="15" hidden="false" customHeight="false" outlineLevel="0" collapsed="false">
      <c r="A60" s="1"/>
      <c r="B60" s="33" t="str">
        <f aca="false">IF(A60="","",IFERROR(INDEX(CRM_Contatos!$B$5:$B$304,MATCH(A60,CRM_Contatos!$A$5:$A$304,0)),"ID não encontrado"))</f>
        <v/>
      </c>
      <c r="C60" s="1"/>
      <c r="D60" s="1"/>
      <c r="E60" s="1"/>
      <c r="F60" s="21"/>
      <c r="G60" s="34" t="str">
        <f aca="false">IF(E60="","",IFERROR(INDEX(Listas!$O$4:$O$10,MATCH(E60,Listas!$N$4:$N$10,0)),0))</f>
        <v/>
      </c>
      <c r="H60" s="22" t="str">
        <f aca="false">IF(OR(F60="",G60=""),"",F60*G60)</f>
        <v/>
      </c>
      <c r="I60" s="1"/>
      <c r="J60" s="1"/>
      <c r="K60" s="25"/>
      <c r="L60" s="35" t="str">
        <f aca="true">IF(K60="","",IF(LEFT(E60,7)="Fechado","Encerrada",IF(K60&lt;TODAY(),"Atrasada",IF(K60-TODAY()&lt;=3,"Esta semana","No prazo"))))</f>
        <v/>
      </c>
      <c r="M60" s="25"/>
    </row>
    <row r="61" customFormat="false" ht="15" hidden="false" customHeight="false" outlineLevel="0" collapsed="false">
      <c r="A61" s="1"/>
      <c r="B61" s="33" t="str">
        <f aca="false">IF(A61="","",IFERROR(INDEX(CRM_Contatos!$B$5:$B$304,MATCH(A61,CRM_Contatos!$A$5:$A$304,0)),"ID não encontrado"))</f>
        <v/>
      </c>
      <c r="C61" s="1"/>
      <c r="D61" s="1"/>
      <c r="E61" s="1"/>
      <c r="F61" s="21"/>
      <c r="G61" s="34" t="str">
        <f aca="false">IF(E61="","",IFERROR(INDEX(Listas!$O$4:$O$10,MATCH(E61,Listas!$N$4:$N$10,0)),0))</f>
        <v/>
      </c>
      <c r="H61" s="22" t="str">
        <f aca="false">IF(OR(F61="",G61=""),"",F61*G61)</f>
        <v/>
      </c>
      <c r="I61" s="1"/>
      <c r="J61" s="1"/>
      <c r="K61" s="25"/>
      <c r="L61" s="35" t="str">
        <f aca="true">IF(K61="","",IF(LEFT(E61,7)="Fechado","Encerrada",IF(K61&lt;TODAY(),"Atrasada",IF(K61-TODAY()&lt;=3,"Esta semana","No prazo"))))</f>
        <v/>
      </c>
      <c r="M61" s="25"/>
    </row>
    <row r="62" customFormat="false" ht="15" hidden="false" customHeight="false" outlineLevel="0" collapsed="false">
      <c r="A62" s="1"/>
      <c r="B62" s="33" t="str">
        <f aca="false">IF(A62="","",IFERROR(INDEX(CRM_Contatos!$B$5:$B$304,MATCH(A62,CRM_Contatos!$A$5:$A$304,0)),"ID não encontrado"))</f>
        <v/>
      </c>
      <c r="C62" s="1"/>
      <c r="D62" s="1"/>
      <c r="E62" s="1"/>
      <c r="F62" s="21"/>
      <c r="G62" s="34" t="str">
        <f aca="false">IF(E62="","",IFERROR(INDEX(Listas!$O$4:$O$10,MATCH(E62,Listas!$N$4:$N$10,0)),0))</f>
        <v/>
      </c>
      <c r="H62" s="22" t="str">
        <f aca="false">IF(OR(F62="",G62=""),"",F62*G62)</f>
        <v/>
      </c>
      <c r="I62" s="1"/>
      <c r="J62" s="1"/>
      <c r="K62" s="25"/>
      <c r="L62" s="35" t="str">
        <f aca="true">IF(K62="","",IF(LEFT(E62,7)="Fechado","Encerrada",IF(K62&lt;TODAY(),"Atrasada",IF(K62-TODAY()&lt;=3,"Esta semana","No prazo"))))</f>
        <v/>
      </c>
      <c r="M62" s="25"/>
    </row>
    <row r="63" customFormat="false" ht="15" hidden="false" customHeight="false" outlineLevel="0" collapsed="false">
      <c r="A63" s="1"/>
      <c r="B63" s="33" t="str">
        <f aca="false">IF(A63="","",IFERROR(INDEX(CRM_Contatos!$B$5:$B$304,MATCH(A63,CRM_Contatos!$A$5:$A$304,0)),"ID não encontrado"))</f>
        <v/>
      </c>
      <c r="C63" s="1"/>
      <c r="D63" s="1"/>
      <c r="E63" s="1"/>
      <c r="F63" s="21"/>
      <c r="G63" s="34" t="str">
        <f aca="false">IF(E63="","",IFERROR(INDEX(Listas!$O$4:$O$10,MATCH(E63,Listas!$N$4:$N$10,0)),0))</f>
        <v/>
      </c>
      <c r="H63" s="22" t="str">
        <f aca="false">IF(OR(F63="",G63=""),"",F63*G63)</f>
        <v/>
      </c>
      <c r="I63" s="1"/>
      <c r="J63" s="1"/>
      <c r="K63" s="25"/>
      <c r="L63" s="35" t="str">
        <f aca="true">IF(K63="","",IF(LEFT(E63,7)="Fechado","Encerrada",IF(K63&lt;TODAY(),"Atrasada",IF(K63-TODAY()&lt;=3,"Esta semana","No prazo"))))</f>
        <v/>
      </c>
      <c r="M63" s="25"/>
    </row>
    <row r="64" customFormat="false" ht="15" hidden="false" customHeight="false" outlineLevel="0" collapsed="false">
      <c r="A64" s="1"/>
      <c r="B64" s="33" t="str">
        <f aca="false">IF(A64="","",IFERROR(INDEX(CRM_Contatos!$B$5:$B$304,MATCH(A64,CRM_Contatos!$A$5:$A$304,0)),"ID não encontrado"))</f>
        <v/>
      </c>
      <c r="C64" s="1"/>
      <c r="D64" s="1"/>
      <c r="E64" s="1"/>
      <c r="F64" s="21"/>
      <c r="G64" s="34" t="str">
        <f aca="false">IF(E64="","",IFERROR(INDEX(Listas!$O$4:$O$10,MATCH(E64,Listas!$N$4:$N$10,0)),0))</f>
        <v/>
      </c>
      <c r="H64" s="22" t="str">
        <f aca="false">IF(OR(F64="",G64=""),"",F64*G64)</f>
        <v/>
      </c>
      <c r="I64" s="1"/>
      <c r="J64" s="1"/>
      <c r="K64" s="25"/>
      <c r="L64" s="35" t="str">
        <f aca="true">IF(K64="","",IF(LEFT(E64,7)="Fechado","Encerrada",IF(K64&lt;TODAY(),"Atrasada",IF(K64-TODAY()&lt;=3,"Esta semana","No prazo"))))</f>
        <v/>
      </c>
      <c r="M64" s="25"/>
    </row>
    <row r="65" customFormat="false" ht="15" hidden="false" customHeight="false" outlineLevel="0" collapsed="false">
      <c r="A65" s="1"/>
      <c r="B65" s="33" t="str">
        <f aca="false">IF(A65="","",IFERROR(INDEX(CRM_Contatos!$B$5:$B$304,MATCH(A65,CRM_Contatos!$A$5:$A$304,0)),"ID não encontrado"))</f>
        <v/>
      </c>
      <c r="C65" s="1"/>
      <c r="D65" s="1"/>
      <c r="E65" s="1"/>
      <c r="F65" s="21"/>
      <c r="G65" s="34" t="str">
        <f aca="false">IF(E65="","",IFERROR(INDEX(Listas!$O$4:$O$10,MATCH(E65,Listas!$N$4:$N$10,0)),0))</f>
        <v/>
      </c>
      <c r="H65" s="22" t="str">
        <f aca="false">IF(OR(F65="",G65=""),"",F65*G65)</f>
        <v/>
      </c>
      <c r="I65" s="1"/>
      <c r="J65" s="1"/>
      <c r="K65" s="25"/>
      <c r="L65" s="35" t="str">
        <f aca="true">IF(K65="","",IF(LEFT(E65,7)="Fechado","Encerrada",IF(K65&lt;TODAY(),"Atrasada",IF(K65-TODAY()&lt;=3,"Esta semana","No prazo"))))</f>
        <v/>
      </c>
      <c r="M65" s="25"/>
    </row>
    <row r="66" customFormat="false" ht="15" hidden="false" customHeight="false" outlineLevel="0" collapsed="false">
      <c r="A66" s="1"/>
      <c r="B66" s="33" t="str">
        <f aca="false">IF(A66="","",IFERROR(INDEX(CRM_Contatos!$B$5:$B$304,MATCH(A66,CRM_Contatos!$A$5:$A$304,0)),"ID não encontrado"))</f>
        <v/>
      </c>
      <c r="C66" s="1"/>
      <c r="D66" s="1"/>
      <c r="E66" s="1"/>
      <c r="F66" s="21"/>
      <c r="G66" s="34" t="str">
        <f aca="false">IF(E66="","",IFERROR(INDEX(Listas!$O$4:$O$10,MATCH(E66,Listas!$N$4:$N$10,0)),0))</f>
        <v/>
      </c>
      <c r="H66" s="22" t="str">
        <f aca="false">IF(OR(F66="",G66=""),"",F66*G66)</f>
        <v/>
      </c>
      <c r="I66" s="1"/>
      <c r="J66" s="1"/>
      <c r="K66" s="25"/>
      <c r="L66" s="35" t="str">
        <f aca="true">IF(K66="","",IF(LEFT(E66,7)="Fechado","Encerrada",IF(K66&lt;TODAY(),"Atrasada",IF(K66-TODAY()&lt;=3,"Esta semana","No prazo"))))</f>
        <v/>
      </c>
      <c r="M66" s="25"/>
    </row>
    <row r="67" customFormat="false" ht="15" hidden="false" customHeight="false" outlineLevel="0" collapsed="false">
      <c r="A67" s="1"/>
      <c r="B67" s="33" t="str">
        <f aca="false">IF(A67="","",IFERROR(INDEX(CRM_Contatos!$B$5:$B$304,MATCH(A67,CRM_Contatos!$A$5:$A$304,0)),"ID não encontrado"))</f>
        <v/>
      </c>
      <c r="C67" s="1"/>
      <c r="D67" s="1"/>
      <c r="E67" s="1"/>
      <c r="F67" s="21"/>
      <c r="G67" s="34" t="str">
        <f aca="false">IF(E67="","",IFERROR(INDEX(Listas!$O$4:$O$10,MATCH(E67,Listas!$N$4:$N$10,0)),0))</f>
        <v/>
      </c>
      <c r="H67" s="22" t="str">
        <f aca="false">IF(OR(F67="",G67=""),"",F67*G67)</f>
        <v/>
      </c>
      <c r="I67" s="1"/>
      <c r="J67" s="1"/>
      <c r="K67" s="25"/>
      <c r="L67" s="35" t="str">
        <f aca="true">IF(K67="","",IF(LEFT(E67,7)="Fechado","Encerrada",IF(K67&lt;TODAY(),"Atrasada",IF(K67-TODAY()&lt;=3,"Esta semana","No prazo"))))</f>
        <v/>
      </c>
      <c r="M67" s="25"/>
    </row>
    <row r="68" customFormat="false" ht="15" hidden="false" customHeight="false" outlineLevel="0" collapsed="false">
      <c r="A68" s="1"/>
      <c r="B68" s="33" t="str">
        <f aca="false">IF(A68="","",IFERROR(INDEX(CRM_Contatos!$B$5:$B$304,MATCH(A68,CRM_Contatos!$A$5:$A$304,0)),"ID não encontrado"))</f>
        <v/>
      </c>
      <c r="C68" s="1"/>
      <c r="D68" s="1"/>
      <c r="E68" s="1"/>
      <c r="F68" s="21"/>
      <c r="G68" s="34" t="str">
        <f aca="false">IF(E68="","",IFERROR(INDEX(Listas!$O$4:$O$10,MATCH(E68,Listas!$N$4:$N$10,0)),0))</f>
        <v/>
      </c>
      <c r="H68" s="22" t="str">
        <f aca="false">IF(OR(F68="",G68=""),"",F68*G68)</f>
        <v/>
      </c>
      <c r="I68" s="1"/>
      <c r="J68" s="1"/>
      <c r="K68" s="25"/>
      <c r="L68" s="35" t="str">
        <f aca="true">IF(K68="","",IF(LEFT(E68,7)="Fechado","Encerrada",IF(K68&lt;TODAY(),"Atrasada",IF(K68-TODAY()&lt;=3,"Esta semana","No prazo"))))</f>
        <v/>
      </c>
      <c r="M68" s="25"/>
    </row>
    <row r="69" customFormat="false" ht="15" hidden="false" customHeight="false" outlineLevel="0" collapsed="false">
      <c r="A69" s="1"/>
      <c r="B69" s="33" t="str">
        <f aca="false">IF(A69="","",IFERROR(INDEX(CRM_Contatos!$B$5:$B$304,MATCH(A69,CRM_Contatos!$A$5:$A$304,0)),"ID não encontrado"))</f>
        <v/>
      </c>
      <c r="C69" s="1"/>
      <c r="D69" s="1"/>
      <c r="E69" s="1"/>
      <c r="F69" s="21"/>
      <c r="G69" s="34" t="str">
        <f aca="false">IF(E69="","",IFERROR(INDEX(Listas!$O$4:$O$10,MATCH(E69,Listas!$N$4:$N$10,0)),0))</f>
        <v/>
      </c>
      <c r="H69" s="22" t="str">
        <f aca="false">IF(OR(F69="",G69=""),"",F69*G69)</f>
        <v/>
      </c>
      <c r="I69" s="1"/>
      <c r="J69" s="1"/>
      <c r="K69" s="25"/>
      <c r="L69" s="35" t="str">
        <f aca="true">IF(K69="","",IF(LEFT(E69,7)="Fechado","Encerrada",IF(K69&lt;TODAY(),"Atrasada",IF(K69-TODAY()&lt;=3,"Esta semana","No prazo"))))</f>
        <v/>
      </c>
      <c r="M69" s="25"/>
    </row>
    <row r="70" customFormat="false" ht="15" hidden="false" customHeight="false" outlineLevel="0" collapsed="false">
      <c r="A70" s="1"/>
      <c r="B70" s="33" t="str">
        <f aca="false">IF(A70="","",IFERROR(INDEX(CRM_Contatos!$B$5:$B$304,MATCH(A70,CRM_Contatos!$A$5:$A$304,0)),"ID não encontrado"))</f>
        <v/>
      </c>
      <c r="C70" s="1"/>
      <c r="D70" s="1"/>
      <c r="E70" s="1"/>
      <c r="F70" s="21"/>
      <c r="G70" s="34" t="str">
        <f aca="false">IF(E70="","",IFERROR(INDEX(Listas!$O$4:$O$10,MATCH(E70,Listas!$N$4:$N$10,0)),0))</f>
        <v/>
      </c>
      <c r="H70" s="22" t="str">
        <f aca="false">IF(OR(F70="",G70=""),"",F70*G70)</f>
        <v/>
      </c>
      <c r="I70" s="1"/>
      <c r="J70" s="1"/>
      <c r="K70" s="25"/>
      <c r="L70" s="35" t="str">
        <f aca="true">IF(K70="","",IF(LEFT(E70,7)="Fechado","Encerrada",IF(K70&lt;TODAY(),"Atrasada",IF(K70-TODAY()&lt;=3,"Esta semana","No prazo"))))</f>
        <v/>
      </c>
      <c r="M70" s="25"/>
    </row>
    <row r="71" customFormat="false" ht="15" hidden="false" customHeight="false" outlineLevel="0" collapsed="false">
      <c r="A71" s="1"/>
      <c r="B71" s="33" t="str">
        <f aca="false">IF(A71="","",IFERROR(INDEX(CRM_Contatos!$B$5:$B$304,MATCH(A71,CRM_Contatos!$A$5:$A$304,0)),"ID não encontrado"))</f>
        <v/>
      </c>
      <c r="C71" s="1"/>
      <c r="D71" s="1"/>
      <c r="E71" s="1"/>
      <c r="F71" s="21"/>
      <c r="G71" s="34" t="str">
        <f aca="false">IF(E71="","",IFERROR(INDEX(Listas!$O$4:$O$10,MATCH(E71,Listas!$N$4:$N$10,0)),0))</f>
        <v/>
      </c>
      <c r="H71" s="22" t="str">
        <f aca="false">IF(OR(F71="",G71=""),"",F71*G71)</f>
        <v/>
      </c>
      <c r="I71" s="1"/>
      <c r="J71" s="1"/>
      <c r="K71" s="25"/>
      <c r="L71" s="35" t="str">
        <f aca="true">IF(K71="","",IF(LEFT(E71,7)="Fechado","Encerrada",IF(K71&lt;TODAY(),"Atrasada",IF(K71-TODAY()&lt;=3,"Esta semana","No prazo"))))</f>
        <v/>
      </c>
      <c r="M71" s="25"/>
    </row>
    <row r="72" customFormat="false" ht="15" hidden="false" customHeight="false" outlineLevel="0" collapsed="false">
      <c r="A72" s="1"/>
      <c r="B72" s="33" t="str">
        <f aca="false">IF(A72="","",IFERROR(INDEX(CRM_Contatos!$B$5:$B$304,MATCH(A72,CRM_Contatos!$A$5:$A$304,0)),"ID não encontrado"))</f>
        <v/>
      </c>
      <c r="C72" s="1"/>
      <c r="D72" s="1"/>
      <c r="E72" s="1"/>
      <c r="F72" s="21"/>
      <c r="G72" s="34" t="str">
        <f aca="false">IF(E72="","",IFERROR(INDEX(Listas!$O$4:$O$10,MATCH(E72,Listas!$N$4:$N$10,0)),0))</f>
        <v/>
      </c>
      <c r="H72" s="22" t="str">
        <f aca="false">IF(OR(F72="",G72=""),"",F72*G72)</f>
        <v/>
      </c>
      <c r="I72" s="1"/>
      <c r="J72" s="1"/>
      <c r="K72" s="25"/>
      <c r="L72" s="35" t="str">
        <f aca="true">IF(K72="","",IF(LEFT(E72,7)="Fechado","Encerrada",IF(K72&lt;TODAY(),"Atrasada",IF(K72-TODAY()&lt;=3,"Esta semana","No prazo"))))</f>
        <v/>
      </c>
      <c r="M72" s="25"/>
    </row>
    <row r="73" customFormat="false" ht="15" hidden="false" customHeight="false" outlineLevel="0" collapsed="false">
      <c r="A73" s="1"/>
      <c r="B73" s="33" t="str">
        <f aca="false">IF(A73="","",IFERROR(INDEX(CRM_Contatos!$B$5:$B$304,MATCH(A73,CRM_Contatos!$A$5:$A$304,0)),"ID não encontrado"))</f>
        <v/>
      </c>
      <c r="C73" s="1"/>
      <c r="D73" s="1"/>
      <c r="E73" s="1"/>
      <c r="F73" s="21"/>
      <c r="G73" s="34" t="str">
        <f aca="false">IF(E73="","",IFERROR(INDEX(Listas!$O$4:$O$10,MATCH(E73,Listas!$N$4:$N$10,0)),0))</f>
        <v/>
      </c>
      <c r="H73" s="22" t="str">
        <f aca="false">IF(OR(F73="",G73=""),"",F73*G73)</f>
        <v/>
      </c>
      <c r="I73" s="1"/>
      <c r="J73" s="1"/>
      <c r="K73" s="25"/>
      <c r="L73" s="35" t="str">
        <f aca="true">IF(K73="","",IF(LEFT(E73,7)="Fechado","Encerrada",IF(K73&lt;TODAY(),"Atrasada",IF(K73-TODAY()&lt;=3,"Esta semana","No prazo"))))</f>
        <v/>
      </c>
      <c r="M73" s="25"/>
    </row>
    <row r="74" customFormat="false" ht="15" hidden="false" customHeight="false" outlineLevel="0" collapsed="false">
      <c r="A74" s="1"/>
      <c r="B74" s="33" t="str">
        <f aca="false">IF(A74="","",IFERROR(INDEX(CRM_Contatos!$B$5:$B$304,MATCH(A74,CRM_Contatos!$A$5:$A$304,0)),"ID não encontrado"))</f>
        <v/>
      </c>
      <c r="C74" s="1"/>
      <c r="D74" s="1"/>
      <c r="E74" s="1"/>
      <c r="F74" s="21"/>
      <c r="G74" s="34" t="str">
        <f aca="false">IF(E74="","",IFERROR(INDEX(Listas!$O$4:$O$10,MATCH(E74,Listas!$N$4:$N$10,0)),0))</f>
        <v/>
      </c>
      <c r="H74" s="22" t="str">
        <f aca="false">IF(OR(F74="",G74=""),"",F74*G74)</f>
        <v/>
      </c>
      <c r="I74" s="1"/>
      <c r="J74" s="1"/>
      <c r="K74" s="25"/>
      <c r="L74" s="35" t="str">
        <f aca="true">IF(K74="","",IF(LEFT(E74,7)="Fechado","Encerrada",IF(K74&lt;TODAY(),"Atrasada",IF(K74-TODAY()&lt;=3,"Esta semana","No prazo"))))</f>
        <v/>
      </c>
      <c r="M74" s="25"/>
    </row>
    <row r="75" customFormat="false" ht="15" hidden="false" customHeight="false" outlineLevel="0" collapsed="false">
      <c r="A75" s="1"/>
      <c r="B75" s="33" t="str">
        <f aca="false">IF(A75="","",IFERROR(INDEX(CRM_Contatos!$B$5:$B$304,MATCH(A75,CRM_Contatos!$A$5:$A$304,0)),"ID não encontrado"))</f>
        <v/>
      </c>
      <c r="C75" s="1"/>
      <c r="D75" s="1"/>
      <c r="E75" s="1"/>
      <c r="F75" s="21"/>
      <c r="G75" s="34" t="str">
        <f aca="false">IF(E75="","",IFERROR(INDEX(Listas!$O$4:$O$10,MATCH(E75,Listas!$N$4:$N$10,0)),0))</f>
        <v/>
      </c>
      <c r="H75" s="22" t="str">
        <f aca="false">IF(OR(F75="",G75=""),"",F75*G75)</f>
        <v/>
      </c>
      <c r="I75" s="1"/>
      <c r="J75" s="1"/>
      <c r="K75" s="25"/>
      <c r="L75" s="35" t="str">
        <f aca="true">IF(K75="","",IF(LEFT(E75,7)="Fechado","Encerrada",IF(K75&lt;TODAY(),"Atrasada",IF(K75-TODAY()&lt;=3,"Esta semana","No prazo"))))</f>
        <v/>
      </c>
      <c r="M75" s="25"/>
    </row>
    <row r="76" customFormat="false" ht="15" hidden="false" customHeight="false" outlineLevel="0" collapsed="false">
      <c r="A76" s="1"/>
      <c r="B76" s="33" t="str">
        <f aca="false">IF(A76="","",IFERROR(INDEX(CRM_Contatos!$B$5:$B$304,MATCH(A76,CRM_Contatos!$A$5:$A$304,0)),"ID não encontrado"))</f>
        <v/>
      </c>
      <c r="C76" s="1"/>
      <c r="D76" s="1"/>
      <c r="E76" s="1"/>
      <c r="F76" s="21"/>
      <c r="G76" s="34" t="str">
        <f aca="false">IF(E76="","",IFERROR(INDEX(Listas!$O$4:$O$10,MATCH(E76,Listas!$N$4:$N$10,0)),0))</f>
        <v/>
      </c>
      <c r="H76" s="22" t="str">
        <f aca="false">IF(OR(F76="",G76=""),"",F76*G76)</f>
        <v/>
      </c>
      <c r="I76" s="1"/>
      <c r="J76" s="1"/>
      <c r="K76" s="25"/>
      <c r="L76" s="35" t="str">
        <f aca="true">IF(K76="","",IF(LEFT(E76,7)="Fechado","Encerrada",IF(K76&lt;TODAY(),"Atrasada",IF(K76-TODAY()&lt;=3,"Esta semana","No prazo"))))</f>
        <v/>
      </c>
      <c r="M76" s="25"/>
    </row>
    <row r="77" customFormat="false" ht="15" hidden="false" customHeight="false" outlineLevel="0" collapsed="false">
      <c r="A77" s="1"/>
      <c r="B77" s="33" t="str">
        <f aca="false">IF(A77="","",IFERROR(INDEX(CRM_Contatos!$B$5:$B$304,MATCH(A77,CRM_Contatos!$A$5:$A$304,0)),"ID não encontrado"))</f>
        <v/>
      </c>
      <c r="C77" s="1"/>
      <c r="D77" s="1"/>
      <c r="E77" s="1"/>
      <c r="F77" s="21"/>
      <c r="G77" s="34" t="str">
        <f aca="false">IF(E77="","",IFERROR(INDEX(Listas!$O$4:$O$10,MATCH(E77,Listas!$N$4:$N$10,0)),0))</f>
        <v/>
      </c>
      <c r="H77" s="22" t="str">
        <f aca="false">IF(OR(F77="",G77=""),"",F77*G77)</f>
        <v/>
      </c>
      <c r="I77" s="1"/>
      <c r="J77" s="1"/>
      <c r="K77" s="25"/>
      <c r="L77" s="35" t="str">
        <f aca="true">IF(K77="","",IF(LEFT(E77,7)="Fechado","Encerrada",IF(K77&lt;TODAY(),"Atrasada",IF(K77-TODAY()&lt;=3,"Esta semana","No prazo"))))</f>
        <v/>
      </c>
      <c r="M77" s="25"/>
    </row>
    <row r="78" customFormat="false" ht="15" hidden="false" customHeight="false" outlineLevel="0" collapsed="false">
      <c r="A78" s="1"/>
      <c r="B78" s="33" t="str">
        <f aca="false">IF(A78="","",IFERROR(INDEX(CRM_Contatos!$B$5:$B$304,MATCH(A78,CRM_Contatos!$A$5:$A$304,0)),"ID não encontrado"))</f>
        <v/>
      </c>
      <c r="C78" s="1"/>
      <c r="D78" s="1"/>
      <c r="E78" s="1"/>
      <c r="F78" s="21"/>
      <c r="G78" s="34" t="str">
        <f aca="false">IF(E78="","",IFERROR(INDEX(Listas!$O$4:$O$10,MATCH(E78,Listas!$N$4:$N$10,0)),0))</f>
        <v/>
      </c>
      <c r="H78" s="22" t="str">
        <f aca="false">IF(OR(F78="",G78=""),"",F78*G78)</f>
        <v/>
      </c>
      <c r="I78" s="1"/>
      <c r="J78" s="1"/>
      <c r="K78" s="25"/>
      <c r="L78" s="35" t="str">
        <f aca="true">IF(K78="","",IF(LEFT(E78,7)="Fechado","Encerrada",IF(K78&lt;TODAY(),"Atrasada",IF(K78-TODAY()&lt;=3,"Esta semana","No prazo"))))</f>
        <v/>
      </c>
      <c r="M78" s="25"/>
    </row>
    <row r="79" customFormat="false" ht="15" hidden="false" customHeight="false" outlineLevel="0" collapsed="false">
      <c r="A79" s="1"/>
      <c r="B79" s="33" t="str">
        <f aca="false">IF(A79="","",IFERROR(INDEX(CRM_Contatos!$B$5:$B$304,MATCH(A79,CRM_Contatos!$A$5:$A$304,0)),"ID não encontrado"))</f>
        <v/>
      </c>
      <c r="C79" s="1"/>
      <c r="D79" s="1"/>
      <c r="E79" s="1"/>
      <c r="F79" s="21"/>
      <c r="G79" s="34" t="str">
        <f aca="false">IF(E79="","",IFERROR(INDEX(Listas!$O$4:$O$10,MATCH(E79,Listas!$N$4:$N$10,0)),0))</f>
        <v/>
      </c>
      <c r="H79" s="22" t="str">
        <f aca="false">IF(OR(F79="",G79=""),"",F79*G79)</f>
        <v/>
      </c>
      <c r="I79" s="1"/>
      <c r="J79" s="1"/>
      <c r="K79" s="25"/>
      <c r="L79" s="35" t="str">
        <f aca="true">IF(K79="","",IF(LEFT(E79,7)="Fechado","Encerrada",IF(K79&lt;TODAY(),"Atrasada",IF(K79-TODAY()&lt;=3,"Esta semana","No prazo"))))</f>
        <v/>
      </c>
      <c r="M79" s="25"/>
    </row>
    <row r="80" customFormat="false" ht="15" hidden="false" customHeight="false" outlineLevel="0" collapsed="false">
      <c r="A80" s="1"/>
      <c r="B80" s="33" t="str">
        <f aca="false">IF(A80="","",IFERROR(INDEX(CRM_Contatos!$B$5:$B$304,MATCH(A80,CRM_Contatos!$A$5:$A$304,0)),"ID não encontrado"))</f>
        <v/>
      </c>
      <c r="C80" s="1"/>
      <c r="D80" s="1"/>
      <c r="E80" s="1"/>
      <c r="F80" s="21"/>
      <c r="G80" s="34" t="str">
        <f aca="false">IF(E80="","",IFERROR(INDEX(Listas!$O$4:$O$10,MATCH(E80,Listas!$N$4:$N$10,0)),0))</f>
        <v/>
      </c>
      <c r="H80" s="22" t="str">
        <f aca="false">IF(OR(F80="",G80=""),"",F80*G80)</f>
        <v/>
      </c>
      <c r="I80" s="1"/>
      <c r="J80" s="1"/>
      <c r="K80" s="25"/>
      <c r="L80" s="35" t="str">
        <f aca="true">IF(K80="","",IF(LEFT(E80,7)="Fechado","Encerrada",IF(K80&lt;TODAY(),"Atrasada",IF(K80-TODAY()&lt;=3,"Esta semana","No prazo"))))</f>
        <v/>
      </c>
      <c r="M80" s="25"/>
    </row>
    <row r="81" customFormat="false" ht="15" hidden="false" customHeight="false" outlineLevel="0" collapsed="false">
      <c r="A81" s="1"/>
      <c r="B81" s="33" t="str">
        <f aca="false">IF(A81="","",IFERROR(INDEX(CRM_Contatos!$B$5:$B$304,MATCH(A81,CRM_Contatos!$A$5:$A$304,0)),"ID não encontrado"))</f>
        <v/>
      </c>
      <c r="C81" s="1"/>
      <c r="D81" s="1"/>
      <c r="E81" s="1"/>
      <c r="F81" s="21"/>
      <c r="G81" s="34" t="str">
        <f aca="false">IF(E81="","",IFERROR(INDEX(Listas!$O$4:$O$10,MATCH(E81,Listas!$N$4:$N$10,0)),0))</f>
        <v/>
      </c>
      <c r="H81" s="22" t="str">
        <f aca="false">IF(OR(F81="",G81=""),"",F81*G81)</f>
        <v/>
      </c>
      <c r="I81" s="1"/>
      <c r="J81" s="1"/>
      <c r="K81" s="25"/>
      <c r="L81" s="35" t="str">
        <f aca="true">IF(K81="","",IF(LEFT(E81,7)="Fechado","Encerrada",IF(K81&lt;TODAY(),"Atrasada",IF(K81-TODAY()&lt;=3,"Esta semana","No prazo"))))</f>
        <v/>
      </c>
      <c r="M81" s="25"/>
    </row>
    <row r="82" customFormat="false" ht="15" hidden="false" customHeight="false" outlineLevel="0" collapsed="false">
      <c r="A82" s="1"/>
      <c r="B82" s="33" t="str">
        <f aca="false">IF(A82="","",IFERROR(INDEX(CRM_Contatos!$B$5:$B$304,MATCH(A82,CRM_Contatos!$A$5:$A$304,0)),"ID não encontrado"))</f>
        <v/>
      </c>
      <c r="C82" s="1"/>
      <c r="D82" s="1"/>
      <c r="E82" s="1"/>
      <c r="F82" s="21"/>
      <c r="G82" s="34" t="str">
        <f aca="false">IF(E82="","",IFERROR(INDEX(Listas!$O$4:$O$10,MATCH(E82,Listas!$N$4:$N$10,0)),0))</f>
        <v/>
      </c>
      <c r="H82" s="22" t="str">
        <f aca="false">IF(OR(F82="",G82=""),"",F82*G82)</f>
        <v/>
      </c>
      <c r="I82" s="1"/>
      <c r="J82" s="1"/>
      <c r="K82" s="25"/>
      <c r="L82" s="35" t="str">
        <f aca="true">IF(K82="","",IF(LEFT(E82,7)="Fechado","Encerrada",IF(K82&lt;TODAY(),"Atrasada",IF(K82-TODAY()&lt;=3,"Esta semana","No prazo"))))</f>
        <v/>
      </c>
      <c r="M82" s="25"/>
    </row>
    <row r="83" customFormat="false" ht="15" hidden="false" customHeight="false" outlineLevel="0" collapsed="false">
      <c r="A83" s="1"/>
      <c r="B83" s="33" t="str">
        <f aca="false">IF(A83="","",IFERROR(INDEX(CRM_Contatos!$B$5:$B$304,MATCH(A83,CRM_Contatos!$A$5:$A$304,0)),"ID não encontrado"))</f>
        <v/>
      </c>
      <c r="C83" s="1"/>
      <c r="D83" s="1"/>
      <c r="E83" s="1"/>
      <c r="F83" s="21"/>
      <c r="G83" s="34" t="str">
        <f aca="false">IF(E83="","",IFERROR(INDEX(Listas!$O$4:$O$10,MATCH(E83,Listas!$N$4:$N$10,0)),0))</f>
        <v/>
      </c>
      <c r="H83" s="22" t="str">
        <f aca="false">IF(OR(F83="",G83=""),"",F83*G83)</f>
        <v/>
      </c>
      <c r="I83" s="1"/>
      <c r="J83" s="1"/>
      <c r="K83" s="25"/>
      <c r="L83" s="35" t="str">
        <f aca="true">IF(K83="","",IF(LEFT(E83,7)="Fechado","Encerrada",IF(K83&lt;TODAY(),"Atrasada",IF(K83-TODAY()&lt;=3,"Esta semana","No prazo"))))</f>
        <v/>
      </c>
      <c r="M83" s="25"/>
    </row>
    <row r="84" customFormat="false" ht="15" hidden="false" customHeight="false" outlineLevel="0" collapsed="false">
      <c r="A84" s="1"/>
      <c r="B84" s="33" t="str">
        <f aca="false">IF(A84="","",IFERROR(INDEX(CRM_Contatos!$B$5:$B$304,MATCH(A84,CRM_Contatos!$A$5:$A$304,0)),"ID não encontrado"))</f>
        <v/>
      </c>
      <c r="C84" s="1"/>
      <c r="D84" s="1"/>
      <c r="E84" s="1"/>
      <c r="F84" s="21"/>
      <c r="G84" s="34" t="str">
        <f aca="false">IF(E84="","",IFERROR(INDEX(Listas!$O$4:$O$10,MATCH(E84,Listas!$N$4:$N$10,0)),0))</f>
        <v/>
      </c>
      <c r="H84" s="22" t="str">
        <f aca="false">IF(OR(F84="",G84=""),"",F84*G84)</f>
        <v/>
      </c>
      <c r="I84" s="1"/>
      <c r="J84" s="1"/>
      <c r="K84" s="25"/>
      <c r="L84" s="35" t="str">
        <f aca="true">IF(K84="","",IF(LEFT(E84,7)="Fechado","Encerrada",IF(K84&lt;TODAY(),"Atrasada",IF(K84-TODAY()&lt;=3,"Esta semana","No prazo"))))</f>
        <v/>
      </c>
      <c r="M84" s="25"/>
    </row>
    <row r="85" customFormat="false" ht="15" hidden="false" customHeight="false" outlineLevel="0" collapsed="false">
      <c r="A85" s="1"/>
      <c r="B85" s="33" t="str">
        <f aca="false">IF(A85="","",IFERROR(INDEX(CRM_Contatos!$B$5:$B$304,MATCH(A85,CRM_Contatos!$A$5:$A$304,0)),"ID não encontrado"))</f>
        <v/>
      </c>
      <c r="C85" s="1"/>
      <c r="D85" s="1"/>
      <c r="E85" s="1"/>
      <c r="F85" s="21"/>
      <c r="G85" s="34" t="str">
        <f aca="false">IF(E85="","",IFERROR(INDEX(Listas!$O$4:$O$10,MATCH(E85,Listas!$N$4:$N$10,0)),0))</f>
        <v/>
      </c>
      <c r="H85" s="22" t="str">
        <f aca="false">IF(OR(F85="",G85=""),"",F85*G85)</f>
        <v/>
      </c>
      <c r="I85" s="1"/>
      <c r="J85" s="1"/>
      <c r="K85" s="25"/>
      <c r="L85" s="35" t="str">
        <f aca="true">IF(K85="","",IF(LEFT(E85,7)="Fechado","Encerrada",IF(K85&lt;TODAY(),"Atrasada",IF(K85-TODAY()&lt;=3,"Esta semana","No prazo"))))</f>
        <v/>
      </c>
      <c r="M85" s="25"/>
    </row>
    <row r="86" customFormat="false" ht="15" hidden="false" customHeight="false" outlineLevel="0" collapsed="false">
      <c r="A86" s="1"/>
      <c r="B86" s="33" t="str">
        <f aca="false">IF(A86="","",IFERROR(INDEX(CRM_Contatos!$B$5:$B$304,MATCH(A86,CRM_Contatos!$A$5:$A$304,0)),"ID não encontrado"))</f>
        <v/>
      </c>
      <c r="C86" s="1"/>
      <c r="D86" s="1"/>
      <c r="E86" s="1"/>
      <c r="F86" s="21"/>
      <c r="G86" s="34" t="str">
        <f aca="false">IF(E86="","",IFERROR(INDEX(Listas!$O$4:$O$10,MATCH(E86,Listas!$N$4:$N$10,0)),0))</f>
        <v/>
      </c>
      <c r="H86" s="22" t="str">
        <f aca="false">IF(OR(F86="",G86=""),"",F86*G86)</f>
        <v/>
      </c>
      <c r="I86" s="1"/>
      <c r="J86" s="1"/>
      <c r="K86" s="25"/>
      <c r="L86" s="35" t="str">
        <f aca="true">IF(K86="","",IF(LEFT(E86,7)="Fechado","Encerrada",IF(K86&lt;TODAY(),"Atrasada",IF(K86-TODAY()&lt;=3,"Esta semana","No prazo"))))</f>
        <v/>
      </c>
      <c r="M86" s="25"/>
    </row>
    <row r="87" customFormat="false" ht="15" hidden="false" customHeight="false" outlineLevel="0" collapsed="false">
      <c r="A87" s="1"/>
      <c r="B87" s="33" t="str">
        <f aca="false">IF(A87="","",IFERROR(INDEX(CRM_Contatos!$B$5:$B$304,MATCH(A87,CRM_Contatos!$A$5:$A$304,0)),"ID não encontrado"))</f>
        <v/>
      </c>
      <c r="C87" s="1"/>
      <c r="D87" s="1"/>
      <c r="E87" s="1"/>
      <c r="F87" s="21"/>
      <c r="G87" s="34" t="str">
        <f aca="false">IF(E87="","",IFERROR(INDEX(Listas!$O$4:$O$10,MATCH(E87,Listas!$N$4:$N$10,0)),0))</f>
        <v/>
      </c>
      <c r="H87" s="22" t="str">
        <f aca="false">IF(OR(F87="",G87=""),"",F87*G87)</f>
        <v/>
      </c>
      <c r="I87" s="1"/>
      <c r="J87" s="1"/>
      <c r="K87" s="25"/>
      <c r="L87" s="35" t="str">
        <f aca="true">IF(K87="","",IF(LEFT(E87,7)="Fechado","Encerrada",IF(K87&lt;TODAY(),"Atrasada",IF(K87-TODAY()&lt;=3,"Esta semana","No prazo"))))</f>
        <v/>
      </c>
      <c r="M87" s="25"/>
    </row>
    <row r="88" customFormat="false" ht="15" hidden="false" customHeight="false" outlineLevel="0" collapsed="false">
      <c r="A88" s="1"/>
      <c r="B88" s="33" t="str">
        <f aca="false">IF(A88="","",IFERROR(INDEX(CRM_Contatos!$B$5:$B$304,MATCH(A88,CRM_Contatos!$A$5:$A$304,0)),"ID não encontrado"))</f>
        <v/>
      </c>
      <c r="C88" s="1"/>
      <c r="D88" s="1"/>
      <c r="E88" s="1"/>
      <c r="F88" s="21"/>
      <c r="G88" s="34" t="str">
        <f aca="false">IF(E88="","",IFERROR(INDEX(Listas!$O$4:$O$10,MATCH(E88,Listas!$N$4:$N$10,0)),0))</f>
        <v/>
      </c>
      <c r="H88" s="22" t="str">
        <f aca="false">IF(OR(F88="",G88=""),"",F88*G88)</f>
        <v/>
      </c>
      <c r="I88" s="1"/>
      <c r="J88" s="1"/>
      <c r="K88" s="25"/>
      <c r="L88" s="35" t="str">
        <f aca="true">IF(K88="","",IF(LEFT(E88,7)="Fechado","Encerrada",IF(K88&lt;TODAY(),"Atrasada",IF(K88-TODAY()&lt;=3,"Esta semana","No prazo"))))</f>
        <v/>
      </c>
      <c r="M88" s="25"/>
    </row>
    <row r="89" customFormat="false" ht="15" hidden="false" customHeight="false" outlineLevel="0" collapsed="false">
      <c r="A89" s="1"/>
      <c r="B89" s="33" t="str">
        <f aca="false">IF(A89="","",IFERROR(INDEX(CRM_Contatos!$B$5:$B$304,MATCH(A89,CRM_Contatos!$A$5:$A$304,0)),"ID não encontrado"))</f>
        <v/>
      </c>
      <c r="C89" s="1"/>
      <c r="D89" s="1"/>
      <c r="E89" s="1"/>
      <c r="F89" s="21"/>
      <c r="G89" s="34" t="str">
        <f aca="false">IF(E89="","",IFERROR(INDEX(Listas!$O$4:$O$10,MATCH(E89,Listas!$N$4:$N$10,0)),0))</f>
        <v/>
      </c>
      <c r="H89" s="22" t="str">
        <f aca="false">IF(OR(F89="",G89=""),"",F89*G89)</f>
        <v/>
      </c>
      <c r="I89" s="1"/>
      <c r="J89" s="1"/>
      <c r="K89" s="25"/>
      <c r="L89" s="35" t="str">
        <f aca="true">IF(K89="","",IF(LEFT(E89,7)="Fechado","Encerrada",IF(K89&lt;TODAY(),"Atrasada",IF(K89-TODAY()&lt;=3,"Esta semana","No prazo"))))</f>
        <v/>
      </c>
      <c r="M89" s="25"/>
    </row>
    <row r="90" customFormat="false" ht="15" hidden="false" customHeight="false" outlineLevel="0" collapsed="false">
      <c r="A90" s="1"/>
      <c r="B90" s="33" t="str">
        <f aca="false">IF(A90="","",IFERROR(INDEX(CRM_Contatos!$B$5:$B$304,MATCH(A90,CRM_Contatos!$A$5:$A$304,0)),"ID não encontrado"))</f>
        <v/>
      </c>
      <c r="C90" s="1"/>
      <c r="D90" s="1"/>
      <c r="E90" s="1"/>
      <c r="F90" s="21"/>
      <c r="G90" s="34" t="str">
        <f aca="false">IF(E90="","",IFERROR(INDEX(Listas!$O$4:$O$10,MATCH(E90,Listas!$N$4:$N$10,0)),0))</f>
        <v/>
      </c>
      <c r="H90" s="22" t="str">
        <f aca="false">IF(OR(F90="",G90=""),"",F90*G90)</f>
        <v/>
      </c>
      <c r="I90" s="1"/>
      <c r="J90" s="1"/>
      <c r="K90" s="25"/>
      <c r="L90" s="35" t="str">
        <f aca="true">IF(K90="","",IF(LEFT(E90,7)="Fechado","Encerrada",IF(K90&lt;TODAY(),"Atrasada",IF(K90-TODAY()&lt;=3,"Esta semana","No prazo"))))</f>
        <v/>
      </c>
      <c r="M90" s="25"/>
    </row>
    <row r="91" customFormat="false" ht="15" hidden="false" customHeight="false" outlineLevel="0" collapsed="false">
      <c r="A91" s="1"/>
      <c r="B91" s="33" t="str">
        <f aca="false">IF(A91="","",IFERROR(INDEX(CRM_Contatos!$B$5:$B$304,MATCH(A91,CRM_Contatos!$A$5:$A$304,0)),"ID não encontrado"))</f>
        <v/>
      </c>
      <c r="C91" s="1"/>
      <c r="D91" s="1"/>
      <c r="E91" s="1"/>
      <c r="F91" s="21"/>
      <c r="G91" s="34" t="str">
        <f aca="false">IF(E91="","",IFERROR(INDEX(Listas!$O$4:$O$10,MATCH(E91,Listas!$N$4:$N$10,0)),0))</f>
        <v/>
      </c>
      <c r="H91" s="22" t="str">
        <f aca="false">IF(OR(F91="",G91=""),"",F91*G91)</f>
        <v/>
      </c>
      <c r="I91" s="1"/>
      <c r="J91" s="1"/>
      <c r="K91" s="25"/>
      <c r="L91" s="35" t="str">
        <f aca="true">IF(K91="","",IF(LEFT(E91,7)="Fechado","Encerrada",IF(K91&lt;TODAY(),"Atrasada",IF(K91-TODAY()&lt;=3,"Esta semana","No prazo"))))</f>
        <v/>
      </c>
      <c r="M91" s="25"/>
    </row>
    <row r="92" customFormat="false" ht="15" hidden="false" customHeight="false" outlineLevel="0" collapsed="false">
      <c r="A92" s="1"/>
      <c r="B92" s="33" t="str">
        <f aca="false">IF(A92="","",IFERROR(INDEX(CRM_Contatos!$B$5:$B$304,MATCH(A92,CRM_Contatos!$A$5:$A$304,0)),"ID não encontrado"))</f>
        <v/>
      </c>
      <c r="C92" s="1"/>
      <c r="D92" s="1"/>
      <c r="E92" s="1"/>
      <c r="F92" s="21"/>
      <c r="G92" s="34" t="str">
        <f aca="false">IF(E92="","",IFERROR(INDEX(Listas!$O$4:$O$10,MATCH(E92,Listas!$N$4:$N$10,0)),0))</f>
        <v/>
      </c>
      <c r="H92" s="22" t="str">
        <f aca="false">IF(OR(F92="",G92=""),"",F92*G92)</f>
        <v/>
      </c>
      <c r="I92" s="1"/>
      <c r="J92" s="1"/>
      <c r="K92" s="25"/>
      <c r="L92" s="35" t="str">
        <f aca="true">IF(K92="","",IF(LEFT(E92,7)="Fechado","Encerrada",IF(K92&lt;TODAY(),"Atrasada",IF(K92-TODAY()&lt;=3,"Esta semana","No prazo"))))</f>
        <v/>
      </c>
      <c r="M92" s="25"/>
    </row>
    <row r="93" customFormat="false" ht="15" hidden="false" customHeight="false" outlineLevel="0" collapsed="false">
      <c r="A93" s="1"/>
      <c r="B93" s="33" t="str">
        <f aca="false">IF(A93="","",IFERROR(INDEX(CRM_Contatos!$B$5:$B$304,MATCH(A93,CRM_Contatos!$A$5:$A$304,0)),"ID não encontrado"))</f>
        <v/>
      </c>
      <c r="C93" s="1"/>
      <c r="D93" s="1"/>
      <c r="E93" s="1"/>
      <c r="F93" s="21"/>
      <c r="G93" s="34" t="str">
        <f aca="false">IF(E93="","",IFERROR(INDEX(Listas!$O$4:$O$10,MATCH(E93,Listas!$N$4:$N$10,0)),0))</f>
        <v/>
      </c>
      <c r="H93" s="22" t="str">
        <f aca="false">IF(OR(F93="",G93=""),"",F93*G93)</f>
        <v/>
      </c>
      <c r="I93" s="1"/>
      <c r="J93" s="1"/>
      <c r="K93" s="25"/>
      <c r="L93" s="35" t="str">
        <f aca="true">IF(K93="","",IF(LEFT(E93,7)="Fechado","Encerrada",IF(K93&lt;TODAY(),"Atrasada",IF(K93-TODAY()&lt;=3,"Esta semana","No prazo"))))</f>
        <v/>
      </c>
      <c r="M93" s="25"/>
    </row>
    <row r="94" customFormat="false" ht="15" hidden="false" customHeight="false" outlineLevel="0" collapsed="false">
      <c r="A94" s="1"/>
      <c r="B94" s="33" t="str">
        <f aca="false">IF(A94="","",IFERROR(INDEX(CRM_Contatos!$B$5:$B$304,MATCH(A94,CRM_Contatos!$A$5:$A$304,0)),"ID não encontrado"))</f>
        <v/>
      </c>
      <c r="C94" s="1"/>
      <c r="D94" s="1"/>
      <c r="E94" s="1"/>
      <c r="F94" s="21"/>
      <c r="G94" s="34" t="str">
        <f aca="false">IF(E94="","",IFERROR(INDEX(Listas!$O$4:$O$10,MATCH(E94,Listas!$N$4:$N$10,0)),0))</f>
        <v/>
      </c>
      <c r="H94" s="22" t="str">
        <f aca="false">IF(OR(F94="",G94=""),"",F94*G94)</f>
        <v/>
      </c>
      <c r="I94" s="1"/>
      <c r="J94" s="1"/>
      <c r="K94" s="25"/>
      <c r="L94" s="35" t="str">
        <f aca="true">IF(K94="","",IF(LEFT(E94,7)="Fechado","Encerrada",IF(K94&lt;TODAY(),"Atrasada",IF(K94-TODAY()&lt;=3,"Esta semana","No prazo"))))</f>
        <v/>
      </c>
      <c r="M94" s="25"/>
    </row>
    <row r="95" customFormat="false" ht="15" hidden="false" customHeight="false" outlineLevel="0" collapsed="false">
      <c r="A95" s="1"/>
      <c r="B95" s="33" t="str">
        <f aca="false">IF(A95="","",IFERROR(INDEX(CRM_Contatos!$B$5:$B$304,MATCH(A95,CRM_Contatos!$A$5:$A$304,0)),"ID não encontrado"))</f>
        <v/>
      </c>
      <c r="C95" s="1"/>
      <c r="D95" s="1"/>
      <c r="E95" s="1"/>
      <c r="F95" s="21"/>
      <c r="G95" s="34" t="str">
        <f aca="false">IF(E95="","",IFERROR(INDEX(Listas!$O$4:$O$10,MATCH(E95,Listas!$N$4:$N$10,0)),0))</f>
        <v/>
      </c>
      <c r="H95" s="22" t="str">
        <f aca="false">IF(OR(F95="",G95=""),"",F95*G95)</f>
        <v/>
      </c>
      <c r="I95" s="1"/>
      <c r="J95" s="1"/>
      <c r="K95" s="25"/>
      <c r="L95" s="35" t="str">
        <f aca="true">IF(K95="","",IF(LEFT(E95,7)="Fechado","Encerrada",IF(K95&lt;TODAY(),"Atrasada",IF(K95-TODAY()&lt;=3,"Esta semana","No prazo"))))</f>
        <v/>
      </c>
      <c r="M95" s="25"/>
    </row>
    <row r="96" customFormat="false" ht="15" hidden="false" customHeight="false" outlineLevel="0" collapsed="false">
      <c r="A96" s="1"/>
      <c r="B96" s="33" t="str">
        <f aca="false">IF(A96="","",IFERROR(INDEX(CRM_Contatos!$B$5:$B$304,MATCH(A96,CRM_Contatos!$A$5:$A$304,0)),"ID não encontrado"))</f>
        <v/>
      </c>
      <c r="C96" s="1"/>
      <c r="D96" s="1"/>
      <c r="E96" s="1"/>
      <c r="F96" s="21"/>
      <c r="G96" s="34" t="str">
        <f aca="false">IF(E96="","",IFERROR(INDEX(Listas!$O$4:$O$10,MATCH(E96,Listas!$N$4:$N$10,0)),0))</f>
        <v/>
      </c>
      <c r="H96" s="22" t="str">
        <f aca="false">IF(OR(F96="",G96=""),"",F96*G96)</f>
        <v/>
      </c>
      <c r="I96" s="1"/>
      <c r="J96" s="1"/>
      <c r="K96" s="25"/>
      <c r="L96" s="35" t="str">
        <f aca="true">IF(K96="","",IF(LEFT(E96,7)="Fechado","Encerrada",IF(K96&lt;TODAY(),"Atrasada",IF(K96-TODAY()&lt;=3,"Esta semana","No prazo"))))</f>
        <v/>
      </c>
      <c r="M96" s="25"/>
    </row>
    <row r="97" customFormat="false" ht="15" hidden="false" customHeight="false" outlineLevel="0" collapsed="false">
      <c r="A97" s="1"/>
      <c r="B97" s="33" t="str">
        <f aca="false">IF(A97="","",IFERROR(INDEX(CRM_Contatos!$B$5:$B$304,MATCH(A97,CRM_Contatos!$A$5:$A$304,0)),"ID não encontrado"))</f>
        <v/>
      </c>
      <c r="C97" s="1"/>
      <c r="D97" s="1"/>
      <c r="E97" s="1"/>
      <c r="F97" s="21"/>
      <c r="G97" s="34" t="str">
        <f aca="false">IF(E97="","",IFERROR(INDEX(Listas!$O$4:$O$10,MATCH(E97,Listas!$N$4:$N$10,0)),0))</f>
        <v/>
      </c>
      <c r="H97" s="22" t="str">
        <f aca="false">IF(OR(F97="",G97=""),"",F97*G97)</f>
        <v/>
      </c>
      <c r="I97" s="1"/>
      <c r="J97" s="1"/>
      <c r="K97" s="25"/>
      <c r="L97" s="35" t="str">
        <f aca="true">IF(K97="","",IF(LEFT(E97,7)="Fechado","Encerrada",IF(K97&lt;TODAY(),"Atrasada",IF(K97-TODAY()&lt;=3,"Esta semana","No prazo"))))</f>
        <v/>
      </c>
      <c r="M97" s="25"/>
    </row>
    <row r="98" customFormat="false" ht="15" hidden="false" customHeight="false" outlineLevel="0" collapsed="false">
      <c r="A98" s="1"/>
      <c r="B98" s="33" t="str">
        <f aca="false">IF(A98="","",IFERROR(INDEX(CRM_Contatos!$B$5:$B$304,MATCH(A98,CRM_Contatos!$A$5:$A$304,0)),"ID não encontrado"))</f>
        <v/>
      </c>
      <c r="C98" s="1"/>
      <c r="D98" s="1"/>
      <c r="E98" s="1"/>
      <c r="F98" s="21"/>
      <c r="G98" s="34" t="str">
        <f aca="false">IF(E98="","",IFERROR(INDEX(Listas!$O$4:$O$10,MATCH(E98,Listas!$N$4:$N$10,0)),0))</f>
        <v/>
      </c>
      <c r="H98" s="22" t="str">
        <f aca="false">IF(OR(F98="",G98=""),"",F98*G98)</f>
        <v/>
      </c>
      <c r="I98" s="1"/>
      <c r="J98" s="1"/>
      <c r="K98" s="25"/>
      <c r="L98" s="35" t="str">
        <f aca="true">IF(K98="","",IF(LEFT(E98,7)="Fechado","Encerrada",IF(K98&lt;TODAY(),"Atrasada",IF(K98-TODAY()&lt;=3,"Esta semana","No prazo"))))</f>
        <v/>
      </c>
      <c r="M98" s="25"/>
    </row>
    <row r="99" customFormat="false" ht="15" hidden="false" customHeight="false" outlineLevel="0" collapsed="false">
      <c r="A99" s="1"/>
      <c r="B99" s="33" t="str">
        <f aca="false">IF(A99="","",IFERROR(INDEX(CRM_Contatos!$B$5:$B$304,MATCH(A99,CRM_Contatos!$A$5:$A$304,0)),"ID não encontrado"))</f>
        <v/>
      </c>
      <c r="C99" s="1"/>
      <c r="D99" s="1"/>
      <c r="E99" s="1"/>
      <c r="F99" s="21"/>
      <c r="G99" s="34" t="str">
        <f aca="false">IF(E99="","",IFERROR(INDEX(Listas!$O$4:$O$10,MATCH(E99,Listas!$N$4:$N$10,0)),0))</f>
        <v/>
      </c>
      <c r="H99" s="22" t="str">
        <f aca="false">IF(OR(F99="",G99=""),"",F99*G99)</f>
        <v/>
      </c>
      <c r="I99" s="1"/>
      <c r="J99" s="1"/>
      <c r="K99" s="25"/>
      <c r="L99" s="35" t="str">
        <f aca="true">IF(K99="","",IF(LEFT(E99,7)="Fechado","Encerrada",IF(K99&lt;TODAY(),"Atrasada",IF(K99-TODAY()&lt;=3,"Esta semana","No prazo"))))</f>
        <v/>
      </c>
      <c r="M99" s="25"/>
    </row>
    <row r="100" customFormat="false" ht="15" hidden="false" customHeight="false" outlineLevel="0" collapsed="false">
      <c r="A100" s="1"/>
      <c r="B100" s="33" t="str">
        <f aca="false">IF(A100="","",IFERROR(INDEX(CRM_Contatos!$B$5:$B$304,MATCH(A100,CRM_Contatos!$A$5:$A$304,0)),"ID não encontrado"))</f>
        <v/>
      </c>
      <c r="C100" s="1"/>
      <c r="D100" s="1"/>
      <c r="E100" s="1"/>
      <c r="F100" s="21"/>
      <c r="G100" s="34" t="str">
        <f aca="false">IF(E100="","",IFERROR(INDEX(Listas!$O$4:$O$10,MATCH(E100,Listas!$N$4:$N$10,0)),0))</f>
        <v/>
      </c>
      <c r="H100" s="22" t="str">
        <f aca="false">IF(OR(F100="",G100=""),"",F100*G100)</f>
        <v/>
      </c>
      <c r="I100" s="1"/>
      <c r="J100" s="1"/>
      <c r="K100" s="25"/>
      <c r="L100" s="35" t="str">
        <f aca="true">IF(K100="","",IF(LEFT(E100,7)="Fechado","Encerrada",IF(K100&lt;TODAY(),"Atrasada",IF(K100-TODAY()&lt;=3,"Esta semana","No prazo"))))</f>
        <v/>
      </c>
      <c r="M100" s="25"/>
    </row>
    <row r="101" customFormat="false" ht="15" hidden="false" customHeight="false" outlineLevel="0" collapsed="false">
      <c r="A101" s="1"/>
      <c r="B101" s="33" t="str">
        <f aca="false">IF(A101="","",IFERROR(INDEX(CRM_Contatos!$B$5:$B$304,MATCH(A101,CRM_Contatos!$A$5:$A$304,0)),"ID não encontrado"))</f>
        <v/>
      </c>
      <c r="C101" s="1"/>
      <c r="D101" s="1"/>
      <c r="E101" s="1"/>
      <c r="F101" s="21"/>
      <c r="G101" s="34" t="str">
        <f aca="false">IF(E101="","",IFERROR(INDEX(Listas!$O$4:$O$10,MATCH(E101,Listas!$N$4:$N$10,0)),0))</f>
        <v/>
      </c>
      <c r="H101" s="22" t="str">
        <f aca="false">IF(OR(F101="",G101=""),"",F101*G101)</f>
        <v/>
      </c>
      <c r="I101" s="1"/>
      <c r="J101" s="1"/>
      <c r="K101" s="25"/>
      <c r="L101" s="35" t="str">
        <f aca="true">IF(K101="","",IF(LEFT(E101,7)="Fechado","Encerrada",IF(K101&lt;TODAY(),"Atrasada",IF(K101-TODAY()&lt;=3,"Esta semana","No prazo"))))</f>
        <v/>
      </c>
      <c r="M101" s="25"/>
    </row>
    <row r="102" customFormat="false" ht="15" hidden="false" customHeight="false" outlineLevel="0" collapsed="false">
      <c r="A102" s="1"/>
      <c r="B102" s="33" t="str">
        <f aca="false">IF(A102="","",IFERROR(INDEX(CRM_Contatos!$B$5:$B$304,MATCH(A102,CRM_Contatos!$A$5:$A$304,0)),"ID não encontrado"))</f>
        <v/>
      </c>
      <c r="C102" s="1"/>
      <c r="D102" s="1"/>
      <c r="E102" s="1"/>
      <c r="F102" s="21"/>
      <c r="G102" s="34" t="str">
        <f aca="false">IF(E102="","",IFERROR(INDEX(Listas!$O$4:$O$10,MATCH(E102,Listas!$N$4:$N$10,0)),0))</f>
        <v/>
      </c>
      <c r="H102" s="22" t="str">
        <f aca="false">IF(OR(F102="",G102=""),"",F102*G102)</f>
        <v/>
      </c>
      <c r="I102" s="1"/>
      <c r="J102" s="1"/>
      <c r="K102" s="25"/>
      <c r="L102" s="35" t="str">
        <f aca="true">IF(K102="","",IF(LEFT(E102,7)="Fechado","Encerrada",IF(K102&lt;TODAY(),"Atrasada",IF(K102-TODAY()&lt;=3,"Esta semana","No prazo"))))</f>
        <v/>
      </c>
      <c r="M102" s="25"/>
    </row>
    <row r="103" customFormat="false" ht="15" hidden="false" customHeight="false" outlineLevel="0" collapsed="false">
      <c r="A103" s="1"/>
      <c r="B103" s="33" t="str">
        <f aca="false">IF(A103="","",IFERROR(INDEX(CRM_Contatos!$B$5:$B$304,MATCH(A103,CRM_Contatos!$A$5:$A$304,0)),"ID não encontrado"))</f>
        <v/>
      </c>
      <c r="C103" s="1"/>
      <c r="D103" s="1"/>
      <c r="E103" s="1"/>
      <c r="F103" s="21"/>
      <c r="G103" s="34" t="str">
        <f aca="false">IF(E103="","",IFERROR(INDEX(Listas!$O$4:$O$10,MATCH(E103,Listas!$N$4:$N$10,0)),0))</f>
        <v/>
      </c>
      <c r="H103" s="22" t="str">
        <f aca="false">IF(OR(F103="",G103=""),"",F103*G103)</f>
        <v/>
      </c>
      <c r="I103" s="1"/>
      <c r="J103" s="1"/>
      <c r="K103" s="25"/>
      <c r="L103" s="35" t="str">
        <f aca="true">IF(K103="","",IF(LEFT(E103,7)="Fechado","Encerrada",IF(K103&lt;TODAY(),"Atrasada",IF(K103-TODAY()&lt;=3,"Esta semana","No prazo"))))</f>
        <v/>
      </c>
      <c r="M103" s="25"/>
    </row>
    <row r="104" customFormat="false" ht="15" hidden="false" customHeight="false" outlineLevel="0" collapsed="false">
      <c r="A104" s="1"/>
      <c r="B104" s="33" t="str">
        <f aca="false">IF(A104="","",IFERROR(INDEX(CRM_Contatos!$B$5:$B$304,MATCH(A104,CRM_Contatos!$A$5:$A$304,0)),"ID não encontrado"))</f>
        <v/>
      </c>
      <c r="C104" s="1"/>
      <c r="D104" s="1"/>
      <c r="E104" s="1"/>
      <c r="F104" s="21"/>
      <c r="G104" s="34" t="str">
        <f aca="false">IF(E104="","",IFERROR(INDEX(Listas!$O$4:$O$10,MATCH(E104,Listas!$N$4:$N$10,0)),0))</f>
        <v/>
      </c>
      <c r="H104" s="22" t="str">
        <f aca="false">IF(OR(F104="",G104=""),"",F104*G104)</f>
        <v/>
      </c>
      <c r="I104" s="1"/>
      <c r="J104" s="1"/>
      <c r="K104" s="25"/>
      <c r="L104" s="35" t="str">
        <f aca="true">IF(K104="","",IF(LEFT(E104,7)="Fechado","Encerrada",IF(K104&lt;TODAY(),"Atrasada",IF(K104-TODAY()&lt;=3,"Esta semana","No prazo"))))</f>
        <v/>
      </c>
      <c r="M104" s="25"/>
    </row>
    <row r="105" customFormat="false" ht="15" hidden="false" customHeight="false" outlineLevel="0" collapsed="false">
      <c r="A105" s="1"/>
      <c r="B105" s="33" t="str">
        <f aca="false">IF(A105="","",IFERROR(INDEX(CRM_Contatos!$B$5:$B$304,MATCH(A105,CRM_Contatos!$A$5:$A$304,0)),"ID não encontrado"))</f>
        <v/>
      </c>
      <c r="C105" s="1"/>
      <c r="D105" s="1"/>
      <c r="E105" s="1"/>
      <c r="F105" s="21"/>
      <c r="G105" s="34" t="str">
        <f aca="false">IF(E105="","",IFERROR(INDEX(Listas!$O$4:$O$10,MATCH(E105,Listas!$N$4:$N$10,0)),0))</f>
        <v/>
      </c>
      <c r="H105" s="22" t="str">
        <f aca="false">IF(OR(F105="",G105=""),"",F105*G105)</f>
        <v/>
      </c>
      <c r="I105" s="1"/>
      <c r="J105" s="1"/>
      <c r="K105" s="25"/>
      <c r="L105" s="35" t="str">
        <f aca="true">IF(K105="","",IF(LEFT(E105,7)="Fechado","Encerrada",IF(K105&lt;TODAY(),"Atrasada",IF(K105-TODAY()&lt;=3,"Esta semana","No prazo"))))</f>
        <v/>
      </c>
      <c r="M105" s="25"/>
    </row>
    <row r="106" customFormat="false" ht="15" hidden="false" customHeight="false" outlineLevel="0" collapsed="false">
      <c r="A106" s="1"/>
      <c r="B106" s="33" t="str">
        <f aca="false">IF(A106="","",IFERROR(INDEX(CRM_Contatos!$B$5:$B$304,MATCH(A106,CRM_Contatos!$A$5:$A$304,0)),"ID não encontrado"))</f>
        <v/>
      </c>
      <c r="C106" s="1"/>
      <c r="D106" s="1"/>
      <c r="E106" s="1"/>
      <c r="F106" s="21"/>
      <c r="G106" s="34" t="str">
        <f aca="false">IF(E106="","",IFERROR(INDEX(Listas!$O$4:$O$10,MATCH(E106,Listas!$N$4:$N$10,0)),0))</f>
        <v/>
      </c>
      <c r="H106" s="22" t="str">
        <f aca="false">IF(OR(F106="",G106=""),"",F106*G106)</f>
        <v/>
      </c>
      <c r="I106" s="1"/>
      <c r="J106" s="1"/>
      <c r="K106" s="25"/>
      <c r="L106" s="35" t="str">
        <f aca="true">IF(K106="","",IF(LEFT(E106,7)="Fechado","Encerrada",IF(K106&lt;TODAY(),"Atrasada",IF(K106-TODAY()&lt;=3,"Esta semana","No prazo"))))</f>
        <v/>
      </c>
      <c r="M106" s="25"/>
    </row>
    <row r="107" customFormat="false" ht="15" hidden="false" customHeight="false" outlineLevel="0" collapsed="false">
      <c r="A107" s="1"/>
      <c r="B107" s="33" t="str">
        <f aca="false">IF(A107="","",IFERROR(INDEX(CRM_Contatos!$B$5:$B$304,MATCH(A107,CRM_Contatos!$A$5:$A$304,0)),"ID não encontrado"))</f>
        <v/>
      </c>
      <c r="C107" s="1"/>
      <c r="D107" s="1"/>
      <c r="E107" s="1"/>
      <c r="F107" s="21"/>
      <c r="G107" s="34" t="str">
        <f aca="false">IF(E107="","",IFERROR(INDEX(Listas!$O$4:$O$10,MATCH(E107,Listas!$N$4:$N$10,0)),0))</f>
        <v/>
      </c>
      <c r="H107" s="22" t="str">
        <f aca="false">IF(OR(F107="",G107=""),"",F107*G107)</f>
        <v/>
      </c>
      <c r="I107" s="1"/>
      <c r="J107" s="1"/>
      <c r="K107" s="25"/>
      <c r="L107" s="35" t="str">
        <f aca="true">IF(K107="","",IF(LEFT(E107,7)="Fechado","Encerrada",IF(K107&lt;TODAY(),"Atrasada",IF(K107-TODAY()&lt;=3,"Esta semana","No prazo"))))</f>
        <v/>
      </c>
      <c r="M107" s="25"/>
    </row>
    <row r="108" customFormat="false" ht="15" hidden="false" customHeight="false" outlineLevel="0" collapsed="false">
      <c r="A108" s="1"/>
      <c r="B108" s="33" t="str">
        <f aca="false">IF(A108="","",IFERROR(INDEX(CRM_Contatos!$B$5:$B$304,MATCH(A108,CRM_Contatos!$A$5:$A$304,0)),"ID não encontrado"))</f>
        <v/>
      </c>
      <c r="C108" s="1"/>
      <c r="D108" s="1"/>
      <c r="E108" s="1"/>
      <c r="F108" s="21"/>
      <c r="G108" s="34" t="str">
        <f aca="false">IF(E108="","",IFERROR(INDEX(Listas!$O$4:$O$10,MATCH(E108,Listas!$N$4:$N$10,0)),0))</f>
        <v/>
      </c>
      <c r="H108" s="22" t="str">
        <f aca="false">IF(OR(F108="",G108=""),"",F108*G108)</f>
        <v/>
      </c>
      <c r="I108" s="1"/>
      <c r="J108" s="1"/>
      <c r="K108" s="25"/>
      <c r="L108" s="35" t="str">
        <f aca="true">IF(K108="","",IF(LEFT(E108,7)="Fechado","Encerrada",IF(K108&lt;TODAY(),"Atrasada",IF(K108-TODAY()&lt;=3,"Esta semana","No prazo"))))</f>
        <v/>
      </c>
      <c r="M108" s="25"/>
    </row>
    <row r="109" customFormat="false" ht="15" hidden="false" customHeight="false" outlineLevel="0" collapsed="false">
      <c r="A109" s="1"/>
      <c r="B109" s="33" t="str">
        <f aca="false">IF(A109="","",IFERROR(INDEX(CRM_Contatos!$B$5:$B$304,MATCH(A109,CRM_Contatos!$A$5:$A$304,0)),"ID não encontrado"))</f>
        <v/>
      </c>
      <c r="C109" s="1"/>
      <c r="D109" s="1"/>
      <c r="E109" s="1"/>
      <c r="F109" s="21"/>
      <c r="G109" s="34" t="str">
        <f aca="false">IF(E109="","",IFERROR(INDEX(Listas!$O$4:$O$10,MATCH(E109,Listas!$N$4:$N$10,0)),0))</f>
        <v/>
      </c>
      <c r="H109" s="22" t="str">
        <f aca="false">IF(OR(F109="",G109=""),"",F109*G109)</f>
        <v/>
      </c>
      <c r="I109" s="1"/>
      <c r="J109" s="1"/>
      <c r="K109" s="25"/>
      <c r="L109" s="35" t="str">
        <f aca="true">IF(K109="","",IF(LEFT(E109,7)="Fechado","Encerrada",IF(K109&lt;TODAY(),"Atrasada",IF(K109-TODAY()&lt;=3,"Esta semana","No prazo"))))</f>
        <v/>
      </c>
      <c r="M109" s="25"/>
    </row>
    <row r="110" customFormat="false" ht="15" hidden="false" customHeight="false" outlineLevel="0" collapsed="false">
      <c r="A110" s="1"/>
      <c r="B110" s="33" t="str">
        <f aca="false">IF(A110="","",IFERROR(INDEX(CRM_Contatos!$B$5:$B$304,MATCH(A110,CRM_Contatos!$A$5:$A$304,0)),"ID não encontrado"))</f>
        <v/>
      </c>
      <c r="C110" s="1"/>
      <c r="D110" s="1"/>
      <c r="E110" s="1"/>
      <c r="F110" s="21"/>
      <c r="G110" s="34" t="str">
        <f aca="false">IF(E110="","",IFERROR(INDEX(Listas!$O$4:$O$10,MATCH(E110,Listas!$N$4:$N$10,0)),0))</f>
        <v/>
      </c>
      <c r="H110" s="22" t="str">
        <f aca="false">IF(OR(F110="",G110=""),"",F110*G110)</f>
        <v/>
      </c>
      <c r="I110" s="1"/>
      <c r="J110" s="1"/>
      <c r="K110" s="25"/>
      <c r="L110" s="35" t="str">
        <f aca="true">IF(K110="","",IF(LEFT(E110,7)="Fechado","Encerrada",IF(K110&lt;TODAY(),"Atrasada",IF(K110-TODAY()&lt;=3,"Esta semana","No prazo"))))</f>
        <v/>
      </c>
      <c r="M110" s="25"/>
    </row>
    <row r="111" customFormat="false" ht="15" hidden="false" customHeight="false" outlineLevel="0" collapsed="false">
      <c r="A111" s="1"/>
      <c r="B111" s="33" t="str">
        <f aca="false">IF(A111="","",IFERROR(INDEX(CRM_Contatos!$B$5:$B$304,MATCH(A111,CRM_Contatos!$A$5:$A$304,0)),"ID não encontrado"))</f>
        <v/>
      </c>
      <c r="C111" s="1"/>
      <c r="D111" s="1"/>
      <c r="E111" s="1"/>
      <c r="F111" s="21"/>
      <c r="G111" s="34" t="str">
        <f aca="false">IF(E111="","",IFERROR(INDEX(Listas!$O$4:$O$10,MATCH(E111,Listas!$N$4:$N$10,0)),0))</f>
        <v/>
      </c>
      <c r="H111" s="22" t="str">
        <f aca="false">IF(OR(F111="",G111=""),"",F111*G111)</f>
        <v/>
      </c>
      <c r="I111" s="1"/>
      <c r="J111" s="1"/>
      <c r="K111" s="25"/>
      <c r="L111" s="35" t="str">
        <f aca="true">IF(K111="","",IF(LEFT(E111,7)="Fechado","Encerrada",IF(K111&lt;TODAY(),"Atrasada",IF(K111-TODAY()&lt;=3,"Esta semana","No prazo"))))</f>
        <v/>
      </c>
      <c r="M111" s="25"/>
    </row>
    <row r="112" customFormat="false" ht="15" hidden="false" customHeight="false" outlineLevel="0" collapsed="false">
      <c r="A112" s="1"/>
      <c r="B112" s="33" t="str">
        <f aca="false">IF(A112="","",IFERROR(INDEX(CRM_Contatos!$B$5:$B$304,MATCH(A112,CRM_Contatos!$A$5:$A$304,0)),"ID não encontrado"))</f>
        <v/>
      </c>
      <c r="C112" s="1"/>
      <c r="D112" s="1"/>
      <c r="E112" s="1"/>
      <c r="F112" s="21"/>
      <c r="G112" s="34" t="str">
        <f aca="false">IF(E112="","",IFERROR(INDEX(Listas!$O$4:$O$10,MATCH(E112,Listas!$N$4:$N$10,0)),0))</f>
        <v/>
      </c>
      <c r="H112" s="22" t="str">
        <f aca="false">IF(OR(F112="",G112=""),"",F112*G112)</f>
        <v/>
      </c>
      <c r="I112" s="1"/>
      <c r="J112" s="1"/>
      <c r="K112" s="25"/>
      <c r="L112" s="35" t="str">
        <f aca="true">IF(K112="","",IF(LEFT(E112,7)="Fechado","Encerrada",IF(K112&lt;TODAY(),"Atrasada",IF(K112-TODAY()&lt;=3,"Esta semana","No prazo"))))</f>
        <v/>
      </c>
      <c r="M112" s="25"/>
    </row>
    <row r="113" customFormat="false" ht="15" hidden="false" customHeight="false" outlineLevel="0" collapsed="false">
      <c r="A113" s="1"/>
      <c r="B113" s="33" t="str">
        <f aca="false">IF(A113="","",IFERROR(INDEX(CRM_Contatos!$B$5:$B$304,MATCH(A113,CRM_Contatos!$A$5:$A$304,0)),"ID não encontrado"))</f>
        <v/>
      </c>
      <c r="C113" s="1"/>
      <c r="D113" s="1"/>
      <c r="E113" s="1"/>
      <c r="F113" s="21"/>
      <c r="G113" s="34" t="str">
        <f aca="false">IF(E113="","",IFERROR(INDEX(Listas!$O$4:$O$10,MATCH(E113,Listas!$N$4:$N$10,0)),0))</f>
        <v/>
      </c>
      <c r="H113" s="22" t="str">
        <f aca="false">IF(OR(F113="",G113=""),"",F113*G113)</f>
        <v/>
      </c>
      <c r="I113" s="1"/>
      <c r="J113" s="1"/>
      <c r="K113" s="25"/>
      <c r="L113" s="35" t="str">
        <f aca="true">IF(K113="","",IF(LEFT(E113,7)="Fechado","Encerrada",IF(K113&lt;TODAY(),"Atrasada",IF(K113-TODAY()&lt;=3,"Esta semana","No prazo"))))</f>
        <v/>
      </c>
      <c r="M113" s="25"/>
    </row>
    <row r="114" customFormat="false" ht="15" hidden="false" customHeight="false" outlineLevel="0" collapsed="false">
      <c r="A114" s="1"/>
      <c r="B114" s="33" t="str">
        <f aca="false">IF(A114="","",IFERROR(INDEX(CRM_Contatos!$B$5:$B$304,MATCH(A114,CRM_Contatos!$A$5:$A$304,0)),"ID não encontrado"))</f>
        <v/>
      </c>
      <c r="C114" s="1"/>
      <c r="D114" s="1"/>
      <c r="E114" s="1"/>
      <c r="F114" s="21"/>
      <c r="G114" s="34" t="str">
        <f aca="false">IF(E114="","",IFERROR(INDEX(Listas!$O$4:$O$10,MATCH(E114,Listas!$N$4:$N$10,0)),0))</f>
        <v/>
      </c>
      <c r="H114" s="22" t="str">
        <f aca="false">IF(OR(F114="",G114=""),"",F114*G114)</f>
        <v/>
      </c>
      <c r="I114" s="1"/>
      <c r="J114" s="1"/>
      <c r="K114" s="25"/>
      <c r="L114" s="35" t="str">
        <f aca="true">IF(K114="","",IF(LEFT(E114,7)="Fechado","Encerrada",IF(K114&lt;TODAY(),"Atrasada",IF(K114-TODAY()&lt;=3,"Esta semana","No prazo"))))</f>
        <v/>
      </c>
      <c r="M114" s="25"/>
    </row>
    <row r="115" customFormat="false" ht="15" hidden="false" customHeight="false" outlineLevel="0" collapsed="false">
      <c r="A115" s="1"/>
      <c r="B115" s="33" t="str">
        <f aca="false">IF(A115="","",IFERROR(INDEX(CRM_Contatos!$B$5:$B$304,MATCH(A115,CRM_Contatos!$A$5:$A$304,0)),"ID não encontrado"))</f>
        <v/>
      </c>
      <c r="C115" s="1"/>
      <c r="D115" s="1"/>
      <c r="E115" s="1"/>
      <c r="F115" s="21"/>
      <c r="G115" s="34" t="str">
        <f aca="false">IF(E115="","",IFERROR(INDEX(Listas!$O$4:$O$10,MATCH(E115,Listas!$N$4:$N$10,0)),0))</f>
        <v/>
      </c>
      <c r="H115" s="22" t="str">
        <f aca="false">IF(OR(F115="",G115=""),"",F115*G115)</f>
        <v/>
      </c>
      <c r="I115" s="1"/>
      <c r="J115" s="1"/>
      <c r="K115" s="25"/>
      <c r="L115" s="35" t="str">
        <f aca="true">IF(K115="","",IF(LEFT(E115,7)="Fechado","Encerrada",IF(K115&lt;TODAY(),"Atrasada",IF(K115-TODAY()&lt;=3,"Esta semana","No prazo"))))</f>
        <v/>
      </c>
      <c r="M115" s="25"/>
    </row>
    <row r="116" customFormat="false" ht="15" hidden="false" customHeight="false" outlineLevel="0" collapsed="false">
      <c r="A116" s="1"/>
      <c r="B116" s="33" t="str">
        <f aca="false">IF(A116="","",IFERROR(INDEX(CRM_Contatos!$B$5:$B$304,MATCH(A116,CRM_Contatos!$A$5:$A$304,0)),"ID não encontrado"))</f>
        <v/>
      </c>
      <c r="C116" s="1"/>
      <c r="D116" s="1"/>
      <c r="E116" s="1"/>
      <c r="F116" s="21"/>
      <c r="G116" s="34" t="str">
        <f aca="false">IF(E116="","",IFERROR(INDEX(Listas!$O$4:$O$10,MATCH(E116,Listas!$N$4:$N$10,0)),0))</f>
        <v/>
      </c>
      <c r="H116" s="22" t="str">
        <f aca="false">IF(OR(F116="",G116=""),"",F116*G116)</f>
        <v/>
      </c>
      <c r="I116" s="1"/>
      <c r="J116" s="1"/>
      <c r="K116" s="25"/>
      <c r="L116" s="35" t="str">
        <f aca="true">IF(K116="","",IF(LEFT(E116,7)="Fechado","Encerrada",IF(K116&lt;TODAY(),"Atrasada",IF(K116-TODAY()&lt;=3,"Esta semana","No prazo"))))</f>
        <v/>
      </c>
      <c r="M116" s="25"/>
    </row>
    <row r="117" customFormat="false" ht="15" hidden="false" customHeight="false" outlineLevel="0" collapsed="false">
      <c r="A117" s="1"/>
      <c r="B117" s="33" t="str">
        <f aca="false">IF(A117="","",IFERROR(INDEX(CRM_Contatos!$B$5:$B$304,MATCH(A117,CRM_Contatos!$A$5:$A$304,0)),"ID não encontrado"))</f>
        <v/>
      </c>
      <c r="C117" s="1"/>
      <c r="D117" s="1"/>
      <c r="E117" s="1"/>
      <c r="F117" s="21"/>
      <c r="G117" s="34" t="str">
        <f aca="false">IF(E117="","",IFERROR(INDEX(Listas!$O$4:$O$10,MATCH(E117,Listas!$N$4:$N$10,0)),0))</f>
        <v/>
      </c>
      <c r="H117" s="22" t="str">
        <f aca="false">IF(OR(F117="",G117=""),"",F117*G117)</f>
        <v/>
      </c>
      <c r="I117" s="1"/>
      <c r="J117" s="1"/>
      <c r="K117" s="25"/>
      <c r="L117" s="35" t="str">
        <f aca="true">IF(K117="","",IF(LEFT(E117,7)="Fechado","Encerrada",IF(K117&lt;TODAY(),"Atrasada",IF(K117-TODAY()&lt;=3,"Esta semana","No prazo"))))</f>
        <v/>
      </c>
      <c r="M117" s="25"/>
    </row>
    <row r="118" customFormat="false" ht="15" hidden="false" customHeight="false" outlineLevel="0" collapsed="false">
      <c r="A118" s="1"/>
      <c r="B118" s="33" t="str">
        <f aca="false">IF(A118="","",IFERROR(INDEX(CRM_Contatos!$B$5:$B$304,MATCH(A118,CRM_Contatos!$A$5:$A$304,0)),"ID não encontrado"))</f>
        <v/>
      </c>
      <c r="C118" s="1"/>
      <c r="D118" s="1"/>
      <c r="E118" s="1"/>
      <c r="F118" s="21"/>
      <c r="G118" s="34" t="str">
        <f aca="false">IF(E118="","",IFERROR(INDEX(Listas!$O$4:$O$10,MATCH(E118,Listas!$N$4:$N$10,0)),0))</f>
        <v/>
      </c>
      <c r="H118" s="22" t="str">
        <f aca="false">IF(OR(F118="",G118=""),"",F118*G118)</f>
        <v/>
      </c>
      <c r="I118" s="1"/>
      <c r="J118" s="1"/>
      <c r="K118" s="25"/>
      <c r="L118" s="35" t="str">
        <f aca="true">IF(K118="","",IF(LEFT(E118,7)="Fechado","Encerrada",IF(K118&lt;TODAY(),"Atrasada",IF(K118-TODAY()&lt;=3,"Esta semana","No prazo"))))</f>
        <v/>
      </c>
      <c r="M118" s="25"/>
    </row>
    <row r="119" customFormat="false" ht="15" hidden="false" customHeight="false" outlineLevel="0" collapsed="false">
      <c r="A119" s="1"/>
      <c r="B119" s="33" t="str">
        <f aca="false">IF(A119="","",IFERROR(INDEX(CRM_Contatos!$B$5:$B$304,MATCH(A119,CRM_Contatos!$A$5:$A$304,0)),"ID não encontrado"))</f>
        <v/>
      </c>
      <c r="C119" s="1"/>
      <c r="D119" s="1"/>
      <c r="E119" s="1"/>
      <c r="F119" s="21"/>
      <c r="G119" s="34" t="str">
        <f aca="false">IF(E119="","",IFERROR(INDEX(Listas!$O$4:$O$10,MATCH(E119,Listas!$N$4:$N$10,0)),0))</f>
        <v/>
      </c>
      <c r="H119" s="22" t="str">
        <f aca="false">IF(OR(F119="",G119=""),"",F119*G119)</f>
        <v/>
      </c>
      <c r="I119" s="1"/>
      <c r="J119" s="1"/>
      <c r="K119" s="25"/>
      <c r="L119" s="35" t="str">
        <f aca="true">IF(K119="","",IF(LEFT(E119,7)="Fechado","Encerrada",IF(K119&lt;TODAY(),"Atrasada",IF(K119-TODAY()&lt;=3,"Esta semana","No prazo"))))</f>
        <v/>
      </c>
      <c r="M119" s="25"/>
    </row>
    <row r="120" customFormat="false" ht="15" hidden="false" customHeight="false" outlineLevel="0" collapsed="false">
      <c r="A120" s="1"/>
      <c r="B120" s="33" t="str">
        <f aca="false">IF(A120="","",IFERROR(INDEX(CRM_Contatos!$B$5:$B$304,MATCH(A120,CRM_Contatos!$A$5:$A$304,0)),"ID não encontrado"))</f>
        <v/>
      </c>
      <c r="C120" s="1"/>
      <c r="D120" s="1"/>
      <c r="E120" s="1"/>
      <c r="F120" s="21"/>
      <c r="G120" s="34" t="str">
        <f aca="false">IF(E120="","",IFERROR(INDEX(Listas!$O$4:$O$10,MATCH(E120,Listas!$N$4:$N$10,0)),0))</f>
        <v/>
      </c>
      <c r="H120" s="22" t="str">
        <f aca="false">IF(OR(F120="",G120=""),"",F120*G120)</f>
        <v/>
      </c>
      <c r="I120" s="1"/>
      <c r="J120" s="1"/>
      <c r="K120" s="25"/>
      <c r="L120" s="35" t="str">
        <f aca="true">IF(K120="","",IF(LEFT(E120,7)="Fechado","Encerrada",IF(K120&lt;TODAY(),"Atrasada",IF(K120-TODAY()&lt;=3,"Esta semana","No prazo"))))</f>
        <v/>
      </c>
      <c r="M120" s="25"/>
    </row>
    <row r="121" customFormat="false" ht="15" hidden="false" customHeight="false" outlineLevel="0" collapsed="false">
      <c r="A121" s="1"/>
      <c r="B121" s="33" t="str">
        <f aca="false">IF(A121="","",IFERROR(INDEX(CRM_Contatos!$B$5:$B$304,MATCH(A121,CRM_Contatos!$A$5:$A$304,0)),"ID não encontrado"))</f>
        <v/>
      </c>
      <c r="C121" s="1"/>
      <c r="D121" s="1"/>
      <c r="E121" s="1"/>
      <c r="F121" s="21"/>
      <c r="G121" s="34" t="str">
        <f aca="false">IF(E121="","",IFERROR(INDEX(Listas!$O$4:$O$10,MATCH(E121,Listas!$N$4:$N$10,0)),0))</f>
        <v/>
      </c>
      <c r="H121" s="22" t="str">
        <f aca="false">IF(OR(F121="",G121=""),"",F121*G121)</f>
        <v/>
      </c>
      <c r="I121" s="1"/>
      <c r="J121" s="1"/>
      <c r="K121" s="25"/>
      <c r="L121" s="35" t="str">
        <f aca="true">IF(K121="","",IF(LEFT(E121,7)="Fechado","Encerrada",IF(K121&lt;TODAY(),"Atrasada",IF(K121-TODAY()&lt;=3,"Esta semana","No prazo"))))</f>
        <v/>
      </c>
      <c r="M121" s="25"/>
    </row>
    <row r="122" customFormat="false" ht="15" hidden="false" customHeight="false" outlineLevel="0" collapsed="false">
      <c r="A122" s="1"/>
      <c r="B122" s="33" t="str">
        <f aca="false">IF(A122="","",IFERROR(INDEX(CRM_Contatos!$B$5:$B$304,MATCH(A122,CRM_Contatos!$A$5:$A$304,0)),"ID não encontrado"))</f>
        <v/>
      </c>
      <c r="C122" s="1"/>
      <c r="D122" s="1"/>
      <c r="E122" s="1"/>
      <c r="F122" s="21"/>
      <c r="G122" s="34" t="str">
        <f aca="false">IF(E122="","",IFERROR(INDEX(Listas!$O$4:$O$10,MATCH(E122,Listas!$N$4:$N$10,0)),0))</f>
        <v/>
      </c>
      <c r="H122" s="22" t="str">
        <f aca="false">IF(OR(F122="",G122=""),"",F122*G122)</f>
        <v/>
      </c>
      <c r="I122" s="1"/>
      <c r="J122" s="1"/>
      <c r="K122" s="25"/>
      <c r="L122" s="35" t="str">
        <f aca="true">IF(K122="","",IF(LEFT(E122,7)="Fechado","Encerrada",IF(K122&lt;TODAY(),"Atrasada",IF(K122-TODAY()&lt;=3,"Esta semana","No prazo"))))</f>
        <v/>
      </c>
      <c r="M122" s="25"/>
    </row>
    <row r="123" customFormat="false" ht="15" hidden="false" customHeight="false" outlineLevel="0" collapsed="false">
      <c r="A123" s="1"/>
      <c r="B123" s="33" t="str">
        <f aca="false">IF(A123="","",IFERROR(INDEX(CRM_Contatos!$B$5:$B$304,MATCH(A123,CRM_Contatos!$A$5:$A$304,0)),"ID não encontrado"))</f>
        <v/>
      </c>
      <c r="C123" s="1"/>
      <c r="D123" s="1"/>
      <c r="E123" s="1"/>
      <c r="F123" s="21"/>
      <c r="G123" s="34" t="str">
        <f aca="false">IF(E123="","",IFERROR(INDEX(Listas!$O$4:$O$10,MATCH(E123,Listas!$N$4:$N$10,0)),0))</f>
        <v/>
      </c>
      <c r="H123" s="22" t="str">
        <f aca="false">IF(OR(F123="",G123=""),"",F123*G123)</f>
        <v/>
      </c>
      <c r="I123" s="1"/>
      <c r="J123" s="1"/>
      <c r="K123" s="25"/>
      <c r="L123" s="35" t="str">
        <f aca="true">IF(K123="","",IF(LEFT(E123,7)="Fechado","Encerrada",IF(K123&lt;TODAY(),"Atrasada",IF(K123-TODAY()&lt;=3,"Esta semana","No prazo"))))</f>
        <v/>
      </c>
      <c r="M123" s="25"/>
    </row>
    <row r="124" customFormat="false" ht="15" hidden="false" customHeight="false" outlineLevel="0" collapsed="false">
      <c r="A124" s="1"/>
      <c r="B124" s="33" t="str">
        <f aca="false">IF(A124="","",IFERROR(INDEX(CRM_Contatos!$B$5:$B$304,MATCH(A124,CRM_Contatos!$A$5:$A$304,0)),"ID não encontrado"))</f>
        <v/>
      </c>
      <c r="C124" s="1"/>
      <c r="D124" s="1"/>
      <c r="E124" s="1"/>
      <c r="F124" s="21"/>
      <c r="G124" s="34" t="str">
        <f aca="false">IF(E124="","",IFERROR(INDEX(Listas!$O$4:$O$10,MATCH(E124,Listas!$N$4:$N$10,0)),0))</f>
        <v/>
      </c>
      <c r="H124" s="22" t="str">
        <f aca="false">IF(OR(F124="",G124=""),"",F124*G124)</f>
        <v/>
      </c>
      <c r="I124" s="1"/>
      <c r="J124" s="1"/>
      <c r="K124" s="25"/>
      <c r="L124" s="35" t="str">
        <f aca="true">IF(K124="","",IF(LEFT(E124,7)="Fechado","Encerrada",IF(K124&lt;TODAY(),"Atrasada",IF(K124-TODAY()&lt;=3,"Esta semana","No prazo"))))</f>
        <v/>
      </c>
      <c r="M124" s="25"/>
    </row>
    <row r="125" customFormat="false" ht="15" hidden="false" customHeight="false" outlineLevel="0" collapsed="false">
      <c r="A125" s="1"/>
      <c r="B125" s="33" t="str">
        <f aca="false">IF(A125="","",IFERROR(INDEX(CRM_Contatos!$B$5:$B$304,MATCH(A125,CRM_Contatos!$A$5:$A$304,0)),"ID não encontrado"))</f>
        <v/>
      </c>
      <c r="C125" s="1"/>
      <c r="D125" s="1"/>
      <c r="E125" s="1"/>
      <c r="F125" s="21"/>
      <c r="G125" s="34" t="str">
        <f aca="false">IF(E125="","",IFERROR(INDEX(Listas!$O$4:$O$10,MATCH(E125,Listas!$N$4:$N$10,0)),0))</f>
        <v/>
      </c>
      <c r="H125" s="22" t="str">
        <f aca="false">IF(OR(F125="",G125=""),"",F125*G125)</f>
        <v/>
      </c>
      <c r="I125" s="1"/>
      <c r="J125" s="1"/>
      <c r="K125" s="25"/>
      <c r="L125" s="35" t="str">
        <f aca="true">IF(K125="","",IF(LEFT(E125,7)="Fechado","Encerrada",IF(K125&lt;TODAY(),"Atrasada",IF(K125-TODAY()&lt;=3,"Esta semana","No prazo"))))</f>
        <v/>
      </c>
      <c r="M125" s="25"/>
    </row>
    <row r="126" customFormat="false" ht="15" hidden="false" customHeight="false" outlineLevel="0" collapsed="false">
      <c r="A126" s="1"/>
      <c r="B126" s="33" t="str">
        <f aca="false">IF(A126="","",IFERROR(INDEX(CRM_Contatos!$B$5:$B$304,MATCH(A126,CRM_Contatos!$A$5:$A$304,0)),"ID não encontrado"))</f>
        <v/>
      </c>
      <c r="C126" s="1"/>
      <c r="D126" s="1"/>
      <c r="E126" s="1"/>
      <c r="F126" s="21"/>
      <c r="G126" s="34" t="str">
        <f aca="false">IF(E126="","",IFERROR(INDEX(Listas!$O$4:$O$10,MATCH(E126,Listas!$N$4:$N$10,0)),0))</f>
        <v/>
      </c>
      <c r="H126" s="22" t="str">
        <f aca="false">IF(OR(F126="",G126=""),"",F126*G126)</f>
        <v/>
      </c>
      <c r="I126" s="1"/>
      <c r="J126" s="1"/>
      <c r="K126" s="25"/>
      <c r="L126" s="35" t="str">
        <f aca="true">IF(K126="","",IF(LEFT(E126,7)="Fechado","Encerrada",IF(K126&lt;TODAY(),"Atrasada",IF(K126-TODAY()&lt;=3,"Esta semana","No prazo"))))</f>
        <v/>
      </c>
      <c r="M126" s="25"/>
    </row>
    <row r="127" customFormat="false" ht="15" hidden="false" customHeight="false" outlineLevel="0" collapsed="false">
      <c r="A127" s="1"/>
      <c r="B127" s="33" t="str">
        <f aca="false">IF(A127="","",IFERROR(INDEX(CRM_Contatos!$B$5:$B$304,MATCH(A127,CRM_Contatos!$A$5:$A$304,0)),"ID não encontrado"))</f>
        <v/>
      </c>
      <c r="C127" s="1"/>
      <c r="D127" s="1"/>
      <c r="E127" s="1"/>
      <c r="F127" s="21"/>
      <c r="G127" s="34" t="str">
        <f aca="false">IF(E127="","",IFERROR(INDEX(Listas!$O$4:$O$10,MATCH(E127,Listas!$N$4:$N$10,0)),0))</f>
        <v/>
      </c>
      <c r="H127" s="22" t="str">
        <f aca="false">IF(OR(F127="",G127=""),"",F127*G127)</f>
        <v/>
      </c>
      <c r="I127" s="1"/>
      <c r="J127" s="1"/>
      <c r="K127" s="25"/>
      <c r="L127" s="35" t="str">
        <f aca="true">IF(K127="","",IF(LEFT(E127,7)="Fechado","Encerrada",IF(K127&lt;TODAY(),"Atrasada",IF(K127-TODAY()&lt;=3,"Esta semana","No prazo"))))</f>
        <v/>
      </c>
      <c r="M127" s="25"/>
    </row>
    <row r="128" customFormat="false" ht="15" hidden="false" customHeight="false" outlineLevel="0" collapsed="false">
      <c r="A128" s="1"/>
      <c r="B128" s="33" t="str">
        <f aca="false">IF(A128="","",IFERROR(INDEX(CRM_Contatos!$B$5:$B$304,MATCH(A128,CRM_Contatos!$A$5:$A$304,0)),"ID não encontrado"))</f>
        <v/>
      </c>
      <c r="C128" s="1"/>
      <c r="D128" s="1"/>
      <c r="E128" s="1"/>
      <c r="F128" s="21"/>
      <c r="G128" s="34" t="str">
        <f aca="false">IF(E128="","",IFERROR(INDEX(Listas!$O$4:$O$10,MATCH(E128,Listas!$N$4:$N$10,0)),0))</f>
        <v/>
      </c>
      <c r="H128" s="22" t="str">
        <f aca="false">IF(OR(F128="",G128=""),"",F128*G128)</f>
        <v/>
      </c>
      <c r="I128" s="1"/>
      <c r="J128" s="1"/>
      <c r="K128" s="25"/>
      <c r="L128" s="35" t="str">
        <f aca="true">IF(K128="","",IF(LEFT(E128,7)="Fechado","Encerrada",IF(K128&lt;TODAY(),"Atrasada",IF(K128-TODAY()&lt;=3,"Esta semana","No prazo"))))</f>
        <v/>
      </c>
      <c r="M128" s="25"/>
    </row>
    <row r="129" customFormat="false" ht="15" hidden="false" customHeight="false" outlineLevel="0" collapsed="false">
      <c r="A129" s="1"/>
      <c r="B129" s="33" t="str">
        <f aca="false">IF(A129="","",IFERROR(INDEX(CRM_Contatos!$B$5:$B$304,MATCH(A129,CRM_Contatos!$A$5:$A$304,0)),"ID não encontrado"))</f>
        <v/>
      </c>
      <c r="C129" s="1"/>
      <c r="D129" s="1"/>
      <c r="E129" s="1"/>
      <c r="F129" s="21"/>
      <c r="G129" s="34" t="str">
        <f aca="false">IF(E129="","",IFERROR(INDEX(Listas!$O$4:$O$10,MATCH(E129,Listas!$N$4:$N$10,0)),0))</f>
        <v/>
      </c>
      <c r="H129" s="22" t="str">
        <f aca="false">IF(OR(F129="",G129=""),"",F129*G129)</f>
        <v/>
      </c>
      <c r="I129" s="1"/>
      <c r="J129" s="1"/>
      <c r="K129" s="25"/>
      <c r="L129" s="35" t="str">
        <f aca="true">IF(K129="","",IF(LEFT(E129,7)="Fechado","Encerrada",IF(K129&lt;TODAY(),"Atrasada",IF(K129-TODAY()&lt;=3,"Esta semana","No prazo"))))</f>
        <v/>
      </c>
      <c r="M129" s="25"/>
    </row>
    <row r="130" customFormat="false" ht="15" hidden="false" customHeight="false" outlineLevel="0" collapsed="false">
      <c r="A130" s="1"/>
      <c r="B130" s="33" t="str">
        <f aca="false">IF(A130="","",IFERROR(INDEX(CRM_Contatos!$B$5:$B$304,MATCH(A130,CRM_Contatos!$A$5:$A$304,0)),"ID não encontrado"))</f>
        <v/>
      </c>
      <c r="C130" s="1"/>
      <c r="D130" s="1"/>
      <c r="E130" s="1"/>
      <c r="F130" s="21"/>
      <c r="G130" s="34" t="str">
        <f aca="false">IF(E130="","",IFERROR(INDEX(Listas!$O$4:$O$10,MATCH(E130,Listas!$N$4:$N$10,0)),0))</f>
        <v/>
      </c>
      <c r="H130" s="22" t="str">
        <f aca="false">IF(OR(F130="",G130=""),"",F130*G130)</f>
        <v/>
      </c>
      <c r="I130" s="1"/>
      <c r="J130" s="1"/>
      <c r="K130" s="25"/>
      <c r="L130" s="35" t="str">
        <f aca="true">IF(K130="","",IF(LEFT(E130,7)="Fechado","Encerrada",IF(K130&lt;TODAY(),"Atrasada",IF(K130-TODAY()&lt;=3,"Esta semana","No prazo"))))</f>
        <v/>
      </c>
      <c r="M130" s="25"/>
    </row>
    <row r="131" customFormat="false" ht="15" hidden="false" customHeight="false" outlineLevel="0" collapsed="false">
      <c r="A131" s="1"/>
      <c r="B131" s="33" t="str">
        <f aca="false">IF(A131="","",IFERROR(INDEX(CRM_Contatos!$B$5:$B$304,MATCH(A131,CRM_Contatos!$A$5:$A$304,0)),"ID não encontrado"))</f>
        <v/>
      </c>
      <c r="C131" s="1"/>
      <c r="D131" s="1"/>
      <c r="E131" s="1"/>
      <c r="F131" s="21"/>
      <c r="G131" s="34" t="str">
        <f aca="false">IF(E131="","",IFERROR(INDEX(Listas!$O$4:$O$10,MATCH(E131,Listas!$N$4:$N$10,0)),0))</f>
        <v/>
      </c>
      <c r="H131" s="22" t="str">
        <f aca="false">IF(OR(F131="",G131=""),"",F131*G131)</f>
        <v/>
      </c>
      <c r="I131" s="1"/>
      <c r="J131" s="1"/>
      <c r="K131" s="25"/>
      <c r="L131" s="35" t="str">
        <f aca="true">IF(K131="","",IF(LEFT(E131,7)="Fechado","Encerrada",IF(K131&lt;TODAY(),"Atrasada",IF(K131-TODAY()&lt;=3,"Esta semana","No prazo"))))</f>
        <v/>
      </c>
      <c r="M131" s="25"/>
    </row>
    <row r="132" customFormat="false" ht="15" hidden="false" customHeight="false" outlineLevel="0" collapsed="false">
      <c r="A132" s="1"/>
      <c r="B132" s="33" t="str">
        <f aca="false">IF(A132="","",IFERROR(INDEX(CRM_Contatos!$B$5:$B$304,MATCH(A132,CRM_Contatos!$A$5:$A$304,0)),"ID não encontrado"))</f>
        <v/>
      </c>
      <c r="C132" s="1"/>
      <c r="D132" s="1"/>
      <c r="E132" s="1"/>
      <c r="F132" s="21"/>
      <c r="G132" s="34" t="str">
        <f aca="false">IF(E132="","",IFERROR(INDEX(Listas!$O$4:$O$10,MATCH(E132,Listas!$N$4:$N$10,0)),0))</f>
        <v/>
      </c>
      <c r="H132" s="22" t="str">
        <f aca="false">IF(OR(F132="",G132=""),"",F132*G132)</f>
        <v/>
      </c>
      <c r="I132" s="1"/>
      <c r="J132" s="1"/>
      <c r="K132" s="25"/>
      <c r="L132" s="35" t="str">
        <f aca="true">IF(K132="","",IF(LEFT(E132,7)="Fechado","Encerrada",IF(K132&lt;TODAY(),"Atrasada",IF(K132-TODAY()&lt;=3,"Esta semana","No prazo"))))</f>
        <v/>
      </c>
      <c r="M132" s="25"/>
    </row>
    <row r="133" customFormat="false" ht="15" hidden="false" customHeight="false" outlineLevel="0" collapsed="false">
      <c r="A133" s="1"/>
      <c r="B133" s="33" t="str">
        <f aca="false">IF(A133="","",IFERROR(INDEX(CRM_Contatos!$B$5:$B$304,MATCH(A133,CRM_Contatos!$A$5:$A$304,0)),"ID não encontrado"))</f>
        <v/>
      </c>
      <c r="C133" s="1"/>
      <c r="D133" s="1"/>
      <c r="E133" s="1"/>
      <c r="F133" s="21"/>
      <c r="G133" s="34" t="str">
        <f aca="false">IF(E133="","",IFERROR(INDEX(Listas!$O$4:$O$10,MATCH(E133,Listas!$N$4:$N$10,0)),0))</f>
        <v/>
      </c>
      <c r="H133" s="22" t="str">
        <f aca="false">IF(OR(F133="",G133=""),"",F133*G133)</f>
        <v/>
      </c>
      <c r="I133" s="1"/>
      <c r="J133" s="1"/>
      <c r="K133" s="25"/>
      <c r="L133" s="35" t="str">
        <f aca="true">IF(K133="","",IF(LEFT(E133,7)="Fechado","Encerrada",IF(K133&lt;TODAY(),"Atrasada",IF(K133-TODAY()&lt;=3,"Esta semana","No prazo"))))</f>
        <v/>
      </c>
      <c r="M133" s="25"/>
    </row>
    <row r="134" customFormat="false" ht="15" hidden="false" customHeight="false" outlineLevel="0" collapsed="false">
      <c r="A134" s="1"/>
      <c r="B134" s="33" t="str">
        <f aca="false">IF(A134="","",IFERROR(INDEX(CRM_Contatos!$B$5:$B$304,MATCH(A134,CRM_Contatos!$A$5:$A$304,0)),"ID não encontrado"))</f>
        <v/>
      </c>
      <c r="C134" s="1"/>
      <c r="D134" s="1"/>
      <c r="E134" s="1"/>
      <c r="F134" s="21"/>
      <c r="G134" s="34" t="str">
        <f aca="false">IF(E134="","",IFERROR(INDEX(Listas!$O$4:$O$10,MATCH(E134,Listas!$N$4:$N$10,0)),0))</f>
        <v/>
      </c>
      <c r="H134" s="22" t="str">
        <f aca="false">IF(OR(F134="",G134=""),"",F134*G134)</f>
        <v/>
      </c>
      <c r="I134" s="1"/>
      <c r="J134" s="1"/>
      <c r="K134" s="25"/>
      <c r="L134" s="35" t="str">
        <f aca="true">IF(K134="","",IF(LEFT(E134,7)="Fechado","Encerrada",IF(K134&lt;TODAY(),"Atrasada",IF(K134-TODAY()&lt;=3,"Esta semana","No prazo"))))</f>
        <v/>
      </c>
      <c r="M134" s="25"/>
    </row>
    <row r="135" customFormat="false" ht="15" hidden="false" customHeight="false" outlineLevel="0" collapsed="false">
      <c r="A135" s="1"/>
      <c r="B135" s="33" t="str">
        <f aca="false">IF(A135="","",IFERROR(INDEX(CRM_Contatos!$B$5:$B$304,MATCH(A135,CRM_Contatos!$A$5:$A$304,0)),"ID não encontrado"))</f>
        <v/>
      </c>
      <c r="C135" s="1"/>
      <c r="D135" s="1"/>
      <c r="E135" s="1"/>
      <c r="F135" s="21"/>
      <c r="G135" s="34" t="str">
        <f aca="false">IF(E135="","",IFERROR(INDEX(Listas!$O$4:$O$10,MATCH(E135,Listas!$N$4:$N$10,0)),0))</f>
        <v/>
      </c>
      <c r="H135" s="22" t="str">
        <f aca="false">IF(OR(F135="",G135=""),"",F135*G135)</f>
        <v/>
      </c>
      <c r="I135" s="1"/>
      <c r="J135" s="1"/>
      <c r="K135" s="25"/>
      <c r="L135" s="35" t="str">
        <f aca="true">IF(K135="","",IF(LEFT(E135,7)="Fechado","Encerrada",IF(K135&lt;TODAY(),"Atrasada",IF(K135-TODAY()&lt;=3,"Esta semana","No prazo"))))</f>
        <v/>
      </c>
      <c r="M135" s="25"/>
    </row>
    <row r="136" customFormat="false" ht="15" hidden="false" customHeight="false" outlineLevel="0" collapsed="false">
      <c r="A136" s="1"/>
      <c r="B136" s="33" t="str">
        <f aca="false">IF(A136="","",IFERROR(INDEX(CRM_Contatos!$B$5:$B$304,MATCH(A136,CRM_Contatos!$A$5:$A$304,0)),"ID não encontrado"))</f>
        <v/>
      </c>
      <c r="C136" s="1"/>
      <c r="D136" s="1"/>
      <c r="E136" s="1"/>
      <c r="F136" s="21"/>
      <c r="G136" s="34" t="str">
        <f aca="false">IF(E136="","",IFERROR(INDEX(Listas!$O$4:$O$10,MATCH(E136,Listas!$N$4:$N$10,0)),0))</f>
        <v/>
      </c>
      <c r="H136" s="22" t="str">
        <f aca="false">IF(OR(F136="",G136=""),"",F136*G136)</f>
        <v/>
      </c>
      <c r="I136" s="1"/>
      <c r="J136" s="1"/>
      <c r="K136" s="25"/>
      <c r="L136" s="35" t="str">
        <f aca="true">IF(K136="","",IF(LEFT(E136,7)="Fechado","Encerrada",IF(K136&lt;TODAY(),"Atrasada",IF(K136-TODAY()&lt;=3,"Esta semana","No prazo"))))</f>
        <v/>
      </c>
      <c r="M136" s="25"/>
    </row>
    <row r="137" customFormat="false" ht="15" hidden="false" customHeight="false" outlineLevel="0" collapsed="false">
      <c r="A137" s="1"/>
      <c r="B137" s="33" t="str">
        <f aca="false">IF(A137="","",IFERROR(INDEX(CRM_Contatos!$B$5:$B$304,MATCH(A137,CRM_Contatos!$A$5:$A$304,0)),"ID não encontrado"))</f>
        <v/>
      </c>
      <c r="C137" s="1"/>
      <c r="D137" s="1"/>
      <c r="E137" s="1"/>
      <c r="F137" s="21"/>
      <c r="G137" s="34" t="str">
        <f aca="false">IF(E137="","",IFERROR(INDEX(Listas!$O$4:$O$10,MATCH(E137,Listas!$N$4:$N$10,0)),0))</f>
        <v/>
      </c>
      <c r="H137" s="22" t="str">
        <f aca="false">IF(OR(F137="",G137=""),"",F137*G137)</f>
        <v/>
      </c>
      <c r="I137" s="1"/>
      <c r="J137" s="1"/>
      <c r="K137" s="25"/>
      <c r="L137" s="35" t="str">
        <f aca="true">IF(K137="","",IF(LEFT(E137,7)="Fechado","Encerrada",IF(K137&lt;TODAY(),"Atrasada",IF(K137-TODAY()&lt;=3,"Esta semana","No prazo"))))</f>
        <v/>
      </c>
      <c r="M137" s="25"/>
    </row>
    <row r="138" customFormat="false" ht="15" hidden="false" customHeight="false" outlineLevel="0" collapsed="false">
      <c r="A138" s="1"/>
      <c r="B138" s="33" t="str">
        <f aca="false">IF(A138="","",IFERROR(INDEX(CRM_Contatos!$B$5:$B$304,MATCH(A138,CRM_Contatos!$A$5:$A$304,0)),"ID não encontrado"))</f>
        <v/>
      </c>
      <c r="C138" s="1"/>
      <c r="D138" s="1"/>
      <c r="E138" s="1"/>
      <c r="F138" s="21"/>
      <c r="G138" s="34" t="str">
        <f aca="false">IF(E138="","",IFERROR(INDEX(Listas!$O$4:$O$10,MATCH(E138,Listas!$N$4:$N$10,0)),0))</f>
        <v/>
      </c>
      <c r="H138" s="22" t="str">
        <f aca="false">IF(OR(F138="",G138=""),"",F138*G138)</f>
        <v/>
      </c>
      <c r="I138" s="1"/>
      <c r="J138" s="1"/>
      <c r="K138" s="25"/>
      <c r="L138" s="35" t="str">
        <f aca="true">IF(K138="","",IF(LEFT(E138,7)="Fechado","Encerrada",IF(K138&lt;TODAY(),"Atrasada",IF(K138-TODAY()&lt;=3,"Esta semana","No prazo"))))</f>
        <v/>
      </c>
      <c r="M138" s="25"/>
    </row>
    <row r="139" customFormat="false" ht="15" hidden="false" customHeight="false" outlineLevel="0" collapsed="false">
      <c r="A139" s="1"/>
      <c r="B139" s="33" t="str">
        <f aca="false">IF(A139="","",IFERROR(INDEX(CRM_Contatos!$B$5:$B$304,MATCH(A139,CRM_Contatos!$A$5:$A$304,0)),"ID não encontrado"))</f>
        <v/>
      </c>
      <c r="C139" s="1"/>
      <c r="D139" s="1"/>
      <c r="E139" s="1"/>
      <c r="F139" s="21"/>
      <c r="G139" s="34" t="str">
        <f aca="false">IF(E139="","",IFERROR(INDEX(Listas!$O$4:$O$10,MATCH(E139,Listas!$N$4:$N$10,0)),0))</f>
        <v/>
      </c>
      <c r="H139" s="22" t="str">
        <f aca="false">IF(OR(F139="",G139=""),"",F139*G139)</f>
        <v/>
      </c>
      <c r="I139" s="1"/>
      <c r="J139" s="1"/>
      <c r="K139" s="25"/>
      <c r="L139" s="35" t="str">
        <f aca="true">IF(K139="","",IF(LEFT(E139,7)="Fechado","Encerrada",IF(K139&lt;TODAY(),"Atrasada",IF(K139-TODAY()&lt;=3,"Esta semana","No prazo"))))</f>
        <v/>
      </c>
      <c r="M139" s="25"/>
    </row>
    <row r="140" customFormat="false" ht="15" hidden="false" customHeight="false" outlineLevel="0" collapsed="false">
      <c r="A140" s="1"/>
      <c r="B140" s="33" t="str">
        <f aca="false">IF(A140="","",IFERROR(INDEX(CRM_Contatos!$B$5:$B$304,MATCH(A140,CRM_Contatos!$A$5:$A$304,0)),"ID não encontrado"))</f>
        <v/>
      </c>
      <c r="C140" s="1"/>
      <c r="D140" s="1"/>
      <c r="E140" s="1"/>
      <c r="F140" s="21"/>
      <c r="G140" s="34" t="str">
        <f aca="false">IF(E140="","",IFERROR(INDEX(Listas!$O$4:$O$10,MATCH(E140,Listas!$N$4:$N$10,0)),0))</f>
        <v/>
      </c>
      <c r="H140" s="22" t="str">
        <f aca="false">IF(OR(F140="",G140=""),"",F140*G140)</f>
        <v/>
      </c>
      <c r="I140" s="1"/>
      <c r="J140" s="1"/>
      <c r="K140" s="25"/>
      <c r="L140" s="35" t="str">
        <f aca="true">IF(K140="","",IF(LEFT(E140,7)="Fechado","Encerrada",IF(K140&lt;TODAY(),"Atrasada",IF(K140-TODAY()&lt;=3,"Esta semana","No prazo"))))</f>
        <v/>
      </c>
      <c r="M140" s="25"/>
    </row>
    <row r="141" customFormat="false" ht="15" hidden="false" customHeight="false" outlineLevel="0" collapsed="false">
      <c r="A141" s="1"/>
      <c r="B141" s="33" t="str">
        <f aca="false">IF(A141="","",IFERROR(INDEX(CRM_Contatos!$B$5:$B$304,MATCH(A141,CRM_Contatos!$A$5:$A$304,0)),"ID não encontrado"))</f>
        <v/>
      </c>
      <c r="C141" s="1"/>
      <c r="D141" s="1"/>
      <c r="E141" s="1"/>
      <c r="F141" s="21"/>
      <c r="G141" s="34" t="str">
        <f aca="false">IF(E141="","",IFERROR(INDEX(Listas!$O$4:$O$10,MATCH(E141,Listas!$N$4:$N$10,0)),0))</f>
        <v/>
      </c>
      <c r="H141" s="22" t="str">
        <f aca="false">IF(OR(F141="",G141=""),"",F141*G141)</f>
        <v/>
      </c>
      <c r="I141" s="1"/>
      <c r="J141" s="1"/>
      <c r="K141" s="25"/>
      <c r="L141" s="35" t="str">
        <f aca="true">IF(K141="","",IF(LEFT(E141,7)="Fechado","Encerrada",IF(K141&lt;TODAY(),"Atrasada",IF(K141-TODAY()&lt;=3,"Esta semana","No prazo"))))</f>
        <v/>
      </c>
      <c r="M141" s="25"/>
    </row>
    <row r="142" customFormat="false" ht="15" hidden="false" customHeight="false" outlineLevel="0" collapsed="false">
      <c r="A142" s="1"/>
      <c r="B142" s="33" t="str">
        <f aca="false">IF(A142="","",IFERROR(INDEX(CRM_Contatos!$B$5:$B$304,MATCH(A142,CRM_Contatos!$A$5:$A$304,0)),"ID não encontrado"))</f>
        <v/>
      </c>
      <c r="C142" s="1"/>
      <c r="D142" s="1"/>
      <c r="E142" s="1"/>
      <c r="F142" s="21"/>
      <c r="G142" s="34" t="str">
        <f aca="false">IF(E142="","",IFERROR(INDEX(Listas!$O$4:$O$10,MATCH(E142,Listas!$N$4:$N$10,0)),0))</f>
        <v/>
      </c>
      <c r="H142" s="22" t="str">
        <f aca="false">IF(OR(F142="",G142=""),"",F142*G142)</f>
        <v/>
      </c>
      <c r="I142" s="1"/>
      <c r="J142" s="1"/>
      <c r="K142" s="25"/>
      <c r="L142" s="35" t="str">
        <f aca="true">IF(K142="","",IF(LEFT(E142,7)="Fechado","Encerrada",IF(K142&lt;TODAY(),"Atrasada",IF(K142-TODAY()&lt;=3,"Esta semana","No prazo"))))</f>
        <v/>
      </c>
      <c r="M142" s="25"/>
    </row>
    <row r="143" customFormat="false" ht="15" hidden="false" customHeight="false" outlineLevel="0" collapsed="false">
      <c r="A143" s="1"/>
      <c r="B143" s="33" t="str">
        <f aca="false">IF(A143="","",IFERROR(INDEX(CRM_Contatos!$B$5:$B$304,MATCH(A143,CRM_Contatos!$A$5:$A$304,0)),"ID não encontrado"))</f>
        <v/>
      </c>
      <c r="C143" s="1"/>
      <c r="D143" s="1"/>
      <c r="E143" s="1"/>
      <c r="F143" s="21"/>
      <c r="G143" s="34" t="str">
        <f aca="false">IF(E143="","",IFERROR(INDEX(Listas!$O$4:$O$10,MATCH(E143,Listas!$N$4:$N$10,0)),0))</f>
        <v/>
      </c>
      <c r="H143" s="22" t="str">
        <f aca="false">IF(OR(F143="",G143=""),"",F143*G143)</f>
        <v/>
      </c>
      <c r="I143" s="1"/>
      <c r="J143" s="1"/>
      <c r="K143" s="25"/>
      <c r="L143" s="35" t="str">
        <f aca="true">IF(K143="","",IF(LEFT(E143,7)="Fechado","Encerrada",IF(K143&lt;TODAY(),"Atrasada",IF(K143-TODAY()&lt;=3,"Esta semana","No prazo"))))</f>
        <v/>
      </c>
      <c r="M143" s="25"/>
    </row>
    <row r="144" customFormat="false" ht="15" hidden="false" customHeight="false" outlineLevel="0" collapsed="false">
      <c r="A144" s="1"/>
      <c r="B144" s="33" t="str">
        <f aca="false">IF(A144="","",IFERROR(INDEX(CRM_Contatos!$B$5:$B$304,MATCH(A144,CRM_Contatos!$A$5:$A$304,0)),"ID não encontrado"))</f>
        <v/>
      </c>
      <c r="C144" s="1"/>
      <c r="D144" s="1"/>
      <c r="E144" s="1"/>
      <c r="F144" s="21"/>
      <c r="G144" s="34" t="str">
        <f aca="false">IF(E144="","",IFERROR(INDEX(Listas!$O$4:$O$10,MATCH(E144,Listas!$N$4:$N$10,0)),0))</f>
        <v/>
      </c>
      <c r="H144" s="22" t="str">
        <f aca="false">IF(OR(F144="",G144=""),"",F144*G144)</f>
        <v/>
      </c>
      <c r="I144" s="1"/>
      <c r="J144" s="1"/>
      <c r="K144" s="25"/>
      <c r="L144" s="35" t="str">
        <f aca="true">IF(K144="","",IF(LEFT(E144,7)="Fechado","Encerrada",IF(K144&lt;TODAY(),"Atrasada",IF(K144-TODAY()&lt;=3,"Esta semana","No prazo"))))</f>
        <v/>
      </c>
      <c r="M144" s="25"/>
    </row>
    <row r="145" customFormat="false" ht="15" hidden="false" customHeight="false" outlineLevel="0" collapsed="false">
      <c r="A145" s="1"/>
      <c r="B145" s="33" t="str">
        <f aca="false">IF(A145="","",IFERROR(INDEX(CRM_Contatos!$B$5:$B$304,MATCH(A145,CRM_Contatos!$A$5:$A$304,0)),"ID não encontrado"))</f>
        <v/>
      </c>
      <c r="C145" s="1"/>
      <c r="D145" s="1"/>
      <c r="E145" s="1"/>
      <c r="F145" s="21"/>
      <c r="G145" s="34" t="str">
        <f aca="false">IF(E145="","",IFERROR(INDEX(Listas!$O$4:$O$10,MATCH(E145,Listas!$N$4:$N$10,0)),0))</f>
        <v/>
      </c>
      <c r="H145" s="22" t="str">
        <f aca="false">IF(OR(F145="",G145=""),"",F145*G145)</f>
        <v/>
      </c>
      <c r="I145" s="1"/>
      <c r="J145" s="1"/>
      <c r="K145" s="25"/>
      <c r="L145" s="35" t="str">
        <f aca="true">IF(K145="","",IF(LEFT(E145,7)="Fechado","Encerrada",IF(K145&lt;TODAY(),"Atrasada",IF(K145-TODAY()&lt;=3,"Esta semana","No prazo"))))</f>
        <v/>
      </c>
      <c r="M145" s="25"/>
    </row>
    <row r="146" customFormat="false" ht="15" hidden="false" customHeight="false" outlineLevel="0" collapsed="false">
      <c r="A146" s="1"/>
      <c r="B146" s="33" t="str">
        <f aca="false">IF(A146="","",IFERROR(INDEX(CRM_Contatos!$B$5:$B$304,MATCH(A146,CRM_Contatos!$A$5:$A$304,0)),"ID não encontrado"))</f>
        <v/>
      </c>
      <c r="C146" s="1"/>
      <c r="D146" s="1"/>
      <c r="E146" s="1"/>
      <c r="F146" s="21"/>
      <c r="G146" s="34" t="str">
        <f aca="false">IF(E146="","",IFERROR(INDEX(Listas!$O$4:$O$10,MATCH(E146,Listas!$N$4:$N$10,0)),0))</f>
        <v/>
      </c>
      <c r="H146" s="22" t="str">
        <f aca="false">IF(OR(F146="",G146=""),"",F146*G146)</f>
        <v/>
      </c>
      <c r="I146" s="1"/>
      <c r="J146" s="1"/>
      <c r="K146" s="25"/>
      <c r="L146" s="35" t="str">
        <f aca="true">IF(K146="","",IF(LEFT(E146,7)="Fechado","Encerrada",IF(K146&lt;TODAY(),"Atrasada",IF(K146-TODAY()&lt;=3,"Esta semana","No prazo"))))</f>
        <v/>
      </c>
      <c r="M146" s="25"/>
    </row>
    <row r="147" customFormat="false" ht="15" hidden="false" customHeight="false" outlineLevel="0" collapsed="false">
      <c r="A147" s="1"/>
      <c r="B147" s="33" t="str">
        <f aca="false">IF(A147="","",IFERROR(INDEX(CRM_Contatos!$B$5:$B$304,MATCH(A147,CRM_Contatos!$A$5:$A$304,0)),"ID não encontrado"))</f>
        <v/>
      </c>
      <c r="C147" s="1"/>
      <c r="D147" s="1"/>
      <c r="E147" s="1"/>
      <c r="F147" s="21"/>
      <c r="G147" s="34" t="str">
        <f aca="false">IF(E147="","",IFERROR(INDEX(Listas!$O$4:$O$10,MATCH(E147,Listas!$N$4:$N$10,0)),0))</f>
        <v/>
      </c>
      <c r="H147" s="22" t="str">
        <f aca="false">IF(OR(F147="",G147=""),"",F147*G147)</f>
        <v/>
      </c>
      <c r="I147" s="1"/>
      <c r="J147" s="1"/>
      <c r="K147" s="25"/>
      <c r="L147" s="35" t="str">
        <f aca="true">IF(K147="","",IF(LEFT(E147,7)="Fechado","Encerrada",IF(K147&lt;TODAY(),"Atrasada",IF(K147-TODAY()&lt;=3,"Esta semana","No prazo"))))</f>
        <v/>
      </c>
      <c r="M147" s="25"/>
    </row>
    <row r="148" customFormat="false" ht="15" hidden="false" customHeight="false" outlineLevel="0" collapsed="false">
      <c r="A148" s="1"/>
      <c r="B148" s="33" t="str">
        <f aca="false">IF(A148="","",IFERROR(INDEX(CRM_Contatos!$B$5:$B$304,MATCH(A148,CRM_Contatos!$A$5:$A$304,0)),"ID não encontrado"))</f>
        <v/>
      </c>
      <c r="C148" s="1"/>
      <c r="D148" s="1"/>
      <c r="E148" s="1"/>
      <c r="F148" s="21"/>
      <c r="G148" s="34" t="str">
        <f aca="false">IF(E148="","",IFERROR(INDEX(Listas!$O$4:$O$10,MATCH(E148,Listas!$N$4:$N$10,0)),0))</f>
        <v/>
      </c>
      <c r="H148" s="22" t="str">
        <f aca="false">IF(OR(F148="",G148=""),"",F148*G148)</f>
        <v/>
      </c>
      <c r="I148" s="1"/>
      <c r="J148" s="1"/>
      <c r="K148" s="25"/>
      <c r="L148" s="35" t="str">
        <f aca="true">IF(K148="","",IF(LEFT(E148,7)="Fechado","Encerrada",IF(K148&lt;TODAY(),"Atrasada",IF(K148-TODAY()&lt;=3,"Esta semana","No prazo"))))</f>
        <v/>
      </c>
      <c r="M148" s="25"/>
    </row>
    <row r="149" customFormat="false" ht="15" hidden="false" customHeight="false" outlineLevel="0" collapsed="false">
      <c r="A149" s="1"/>
      <c r="B149" s="33" t="str">
        <f aca="false">IF(A149="","",IFERROR(INDEX(CRM_Contatos!$B$5:$B$304,MATCH(A149,CRM_Contatos!$A$5:$A$304,0)),"ID não encontrado"))</f>
        <v/>
      </c>
      <c r="C149" s="1"/>
      <c r="D149" s="1"/>
      <c r="E149" s="1"/>
      <c r="F149" s="21"/>
      <c r="G149" s="34" t="str">
        <f aca="false">IF(E149="","",IFERROR(INDEX(Listas!$O$4:$O$10,MATCH(E149,Listas!$N$4:$N$10,0)),0))</f>
        <v/>
      </c>
      <c r="H149" s="22" t="str">
        <f aca="false">IF(OR(F149="",G149=""),"",F149*G149)</f>
        <v/>
      </c>
      <c r="I149" s="1"/>
      <c r="J149" s="1"/>
      <c r="K149" s="25"/>
      <c r="L149" s="35" t="str">
        <f aca="true">IF(K149="","",IF(LEFT(E149,7)="Fechado","Encerrada",IF(K149&lt;TODAY(),"Atrasada",IF(K149-TODAY()&lt;=3,"Esta semana","No prazo"))))</f>
        <v/>
      </c>
      <c r="M149" s="25"/>
    </row>
    <row r="150" customFormat="false" ht="15" hidden="false" customHeight="false" outlineLevel="0" collapsed="false">
      <c r="A150" s="1"/>
      <c r="B150" s="33" t="str">
        <f aca="false">IF(A150="","",IFERROR(INDEX(CRM_Contatos!$B$5:$B$304,MATCH(A150,CRM_Contatos!$A$5:$A$304,0)),"ID não encontrado"))</f>
        <v/>
      </c>
      <c r="C150" s="1"/>
      <c r="D150" s="1"/>
      <c r="E150" s="1"/>
      <c r="F150" s="21"/>
      <c r="G150" s="34" t="str">
        <f aca="false">IF(E150="","",IFERROR(INDEX(Listas!$O$4:$O$10,MATCH(E150,Listas!$N$4:$N$10,0)),0))</f>
        <v/>
      </c>
      <c r="H150" s="22" t="str">
        <f aca="false">IF(OR(F150="",G150=""),"",F150*G150)</f>
        <v/>
      </c>
      <c r="I150" s="1"/>
      <c r="J150" s="1"/>
      <c r="K150" s="25"/>
      <c r="L150" s="35" t="str">
        <f aca="true">IF(K150="","",IF(LEFT(E150,7)="Fechado","Encerrada",IF(K150&lt;TODAY(),"Atrasada",IF(K150-TODAY()&lt;=3,"Esta semana","No prazo"))))</f>
        <v/>
      </c>
      <c r="M150" s="25"/>
    </row>
    <row r="151" customFormat="false" ht="15" hidden="false" customHeight="false" outlineLevel="0" collapsed="false">
      <c r="A151" s="1"/>
      <c r="B151" s="33" t="str">
        <f aca="false">IF(A151="","",IFERROR(INDEX(CRM_Contatos!$B$5:$B$304,MATCH(A151,CRM_Contatos!$A$5:$A$304,0)),"ID não encontrado"))</f>
        <v/>
      </c>
      <c r="C151" s="1"/>
      <c r="D151" s="1"/>
      <c r="E151" s="1"/>
      <c r="F151" s="21"/>
      <c r="G151" s="34" t="str">
        <f aca="false">IF(E151="","",IFERROR(INDEX(Listas!$O$4:$O$10,MATCH(E151,Listas!$N$4:$N$10,0)),0))</f>
        <v/>
      </c>
      <c r="H151" s="22" t="str">
        <f aca="false">IF(OR(F151="",G151=""),"",F151*G151)</f>
        <v/>
      </c>
      <c r="I151" s="1"/>
      <c r="J151" s="1"/>
      <c r="K151" s="25"/>
      <c r="L151" s="35" t="str">
        <f aca="true">IF(K151="","",IF(LEFT(E151,7)="Fechado","Encerrada",IF(K151&lt;TODAY(),"Atrasada",IF(K151-TODAY()&lt;=3,"Esta semana","No prazo"))))</f>
        <v/>
      </c>
      <c r="M151" s="25"/>
    </row>
    <row r="152" customFormat="false" ht="15" hidden="false" customHeight="false" outlineLevel="0" collapsed="false">
      <c r="A152" s="1"/>
      <c r="B152" s="33" t="str">
        <f aca="false">IF(A152="","",IFERROR(INDEX(CRM_Contatos!$B$5:$B$304,MATCH(A152,CRM_Contatos!$A$5:$A$304,0)),"ID não encontrado"))</f>
        <v/>
      </c>
      <c r="C152" s="1"/>
      <c r="D152" s="1"/>
      <c r="E152" s="1"/>
      <c r="F152" s="21"/>
      <c r="G152" s="34" t="str">
        <f aca="false">IF(E152="","",IFERROR(INDEX(Listas!$O$4:$O$10,MATCH(E152,Listas!$N$4:$N$10,0)),0))</f>
        <v/>
      </c>
      <c r="H152" s="22" t="str">
        <f aca="false">IF(OR(F152="",G152=""),"",F152*G152)</f>
        <v/>
      </c>
      <c r="I152" s="1"/>
      <c r="J152" s="1"/>
      <c r="K152" s="25"/>
      <c r="L152" s="35" t="str">
        <f aca="true">IF(K152="","",IF(LEFT(E152,7)="Fechado","Encerrada",IF(K152&lt;TODAY(),"Atrasada",IF(K152-TODAY()&lt;=3,"Esta semana","No prazo"))))</f>
        <v/>
      </c>
      <c r="M152" s="25"/>
    </row>
    <row r="153" customFormat="false" ht="15" hidden="false" customHeight="false" outlineLevel="0" collapsed="false">
      <c r="A153" s="1"/>
      <c r="B153" s="33" t="str">
        <f aca="false">IF(A153="","",IFERROR(INDEX(CRM_Contatos!$B$5:$B$304,MATCH(A153,CRM_Contatos!$A$5:$A$304,0)),"ID não encontrado"))</f>
        <v/>
      </c>
      <c r="C153" s="1"/>
      <c r="D153" s="1"/>
      <c r="E153" s="1"/>
      <c r="F153" s="21"/>
      <c r="G153" s="34" t="str">
        <f aca="false">IF(E153="","",IFERROR(INDEX(Listas!$O$4:$O$10,MATCH(E153,Listas!$N$4:$N$10,0)),0))</f>
        <v/>
      </c>
      <c r="H153" s="22" t="str">
        <f aca="false">IF(OR(F153="",G153=""),"",F153*G153)</f>
        <v/>
      </c>
      <c r="I153" s="1"/>
      <c r="J153" s="1"/>
      <c r="K153" s="25"/>
      <c r="L153" s="35" t="str">
        <f aca="true">IF(K153="","",IF(LEFT(E153,7)="Fechado","Encerrada",IF(K153&lt;TODAY(),"Atrasada",IF(K153-TODAY()&lt;=3,"Esta semana","No prazo"))))</f>
        <v/>
      </c>
      <c r="M153" s="25"/>
    </row>
    <row r="154" customFormat="false" ht="15" hidden="false" customHeight="false" outlineLevel="0" collapsed="false">
      <c r="A154" s="1"/>
      <c r="B154" s="33" t="str">
        <f aca="false">IF(A154="","",IFERROR(INDEX(CRM_Contatos!$B$5:$B$304,MATCH(A154,CRM_Contatos!$A$5:$A$304,0)),"ID não encontrado"))</f>
        <v/>
      </c>
      <c r="C154" s="1"/>
      <c r="D154" s="1"/>
      <c r="E154" s="1"/>
      <c r="F154" s="21"/>
      <c r="G154" s="34" t="str">
        <f aca="false">IF(E154="","",IFERROR(INDEX(Listas!$O$4:$O$10,MATCH(E154,Listas!$N$4:$N$10,0)),0))</f>
        <v/>
      </c>
      <c r="H154" s="22" t="str">
        <f aca="false">IF(OR(F154="",G154=""),"",F154*G154)</f>
        <v/>
      </c>
      <c r="I154" s="1"/>
      <c r="J154" s="1"/>
      <c r="K154" s="25"/>
      <c r="L154" s="35" t="str">
        <f aca="true">IF(K154="","",IF(LEFT(E154,7)="Fechado","Encerrada",IF(K154&lt;TODAY(),"Atrasada",IF(K154-TODAY()&lt;=3,"Esta semana","No prazo"))))</f>
        <v/>
      </c>
      <c r="M154" s="25"/>
    </row>
    <row r="155" customFormat="false" ht="15" hidden="false" customHeight="false" outlineLevel="0" collapsed="false">
      <c r="A155" s="1"/>
      <c r="B155" s="33" t="str">
        <f aca="false">IF(A155="","",IFERROR(INDEX(CRM_Contatos!$B$5:$B$304,MATCH(A155,CRM_Contatos!$A$5:$A$304,0)),"ID não encontrado"))</f>
        <v/>
      </c>
      <c r="C155" s="1"/>
      <c r="D155" s="1"/>
      <c r="E155" s="1"/>
      <c r="F155" s="21"/>
      <c r="G155" s="34" t="str">
        <f aca="false">IF(E155="","",IFERROR(INDEX(Listas!$O$4:$O$10,MATCH(E155,Listas!$N$4:$N$10,0)),0))</f>
        <v/>
      </c>
      <c r="H155" s="22" t="str">
        <f aca="false">IF(OR(F155="",G155=""),"",F155*G155)</f>
        <v/>
      </c>
      <c r="I155" s="1"/>
      <c r="J155" s="1"/>
      <c r="K155" s="25"/>
      <c r="L155" s="35" t="str">
        <f aca="true">IF(K155="","",IF(LEFT(E155,7)="Fechado","Encerrada",IF(K155&lt;TODAY(),"Atrasada",IF(K155-TODAY()&lt;=3,"Esta semana","No prazo"))))</f>
        <v/>
      </c>
      <c r="M155" s="25"/>
    </row>
    <row r="156" customFormat="false" ht="15" hidden="false" customHeight="false" outlineLevel="0" collapsed="false">
      <c r="A156" s="1"/>
      <c r="B156" s="33" t="str">
        <f aca="false">IF(A156="","",IFERROR(INDEX(CRM_Contatos!$B$5:$B$304,MATCH(A156,CRM_Contatos!$A$5:$A$304,0)),"ID não encontrado"))</f>
        <v/>
      </c>
      <c r="C156" s="1"/>
      <c r="D156" s="1"/>
      <c r="E156" s="1"/>
      <c r="F156" s="21"/>
      <c r="G156" s="34" t="str">
        <f aca="false">IF(E156="","",IFERROR(INDEX(Listas!$O$4:$O$10,MATCH(E156,Listas!$N$4:$N$10,0)),0))</f>
        <v/>
      </c>
      <c r="H156" s="22" t="str">
        <f aca="false">IF(OR(F156="",G156=""),"",F156*G156)</f>
        <v/>
      </c>
      <c r="I156" s="1"/>
      <c r="J156" s="1"/>
      <c r="K156" s="25"/>
      <c r="L156" s="35" t="str">
        <f aca="true">IF(K156="","",IF(LEFT(E156,7)="Fechado","Encerrada",IF(K156&lt;TODAY(),"Atrasada",IF(K156-TODAY()&lt;=3,"Esta semana","No prazo"))))</f>
        <v/>
      </c>
      <c r="M156" s="25"/>
    </row>
    <row r="157" customFormat="false" ht="15" hidden="false" customHeight="false" outlineLevel="0" collapsed="false">
      <c r="A157" s="1"/>
      <c r="B157" s="33" t="str">
        <f aca="false">IF(A157="","",IFERROR(INDEX(CRM_Contatos!$B$5:$B$304,MATCH(A157,CRM_Contatos!$A$5:$A$304,0)),"ID não encontrado"))</f>
        <v/>
      </c>
      <c r="C157" s="1"/>
      <c r="D157" s="1"/>
      <c r="E157" s="1"/>
      <c r="F157" s="21"/>
      <c r="G157" s="34" t="str">
        <f aca="false">IF(E157="","",IFERROR(INDEX(Listas!$O$4:$O$10,MATCH(E157,Listas!$N$4:$N$10,0)),0))</f>
        <v/>
      </c>
      <c r="H157" s="22" t="str">
        <f aca="false">IF(OR(F157="",G157=""),"",F157*G157)</f>
        <v/>
      </c>
      <c r="I157" s="1"/>
      <c r="J157" s="1"/>
      <c r="K157" s="25"/>
      <c r="L157" s="35" t="str">
        <f aca="true">IF(K157="","",IF(LEFT(E157,7)="Fechado","Encerrada",IF(K157&lt;TODAY(),"Atrasada",IF(K157-TODAY()&lt;=3,"Esta semana","No prazo"))))</f>
        <v/>
      </c>
      <c r="M157" s="25"/>
    </row>
    <row r="158" customFormat="false" ht="15" hidden="false" customHeight="false" outlineLevel="0" collapsed="false">
      <c r="A158" s="1"/>
      <c r="B158" s="33" t="str">
        <f aca="false">IF(A158="","",IFERROR(INDEX(CRM_Contatos!$B$5:$B$304,MATCH(A158,CRM_Contatos!$A$5:$A$304,0)),"ID não encontrado"))</f>
        <v/>
      </c>
      <c r="C158" s="1"/>
      <c r="D158" s="1"/>
      <c r="E158" s="1"/>
      <c r="F158" s="21"/>
      <c r="G158" s="34" t="str">
        <f aca="false">IF(E158="","",IFERROR(INDEX(Listas!$O$4:$O$10,MATCH(E158,Listas!$N$4:$N$10,0)),0))</f>
        <v/>
      </c>
      <c r="H158" s="22" t="str">
        <f aca="false">IF(OR(F158="",G158=""),"",F158*G158)</f>
        <v/>
      </c>
      <c r="I158" s="1"/>
      <c r="J158" s="1"/>
      <c r="K158" s="25"/>
      <c r="L158" s="35" t="str">
        <f aca="true">IF(K158="","",IF(LEFT(E158,7)="Fechado","Encerrada",IF(K158&lt;TODAY(),"Atrasada",IF(K158-TODAY()&lt;=3,"Esta semana","No prazo"))))</f>
        <v/>
      </c>
      <c r="M158" s="25"/>
    </row>
    <row r="159" customFormat="false" ht="15" hidden="false" customHeight="false" outlineLevel="0" collapsed="false">
      <c r="A159" s="1"/>
      <c r="B159" s="33" t="str">
        <f aca="false">IF(A159="","",IFERROR(INDEX(CRM_Contatos!$B$5:$B$304,MATCH(A159,CRM_Contatos!$A$5:$A$304,0)),"ID não encontrado"))</f>
        <v/>
      </c>
      <c r="C159" s="1"/>
      <c r="D159" s="1"/>
      <c r="E159" s="1"/>
      <c r="F159" s="21"/>
      <c r="G159" s="34" t="str">
        <f aca="false">IF(E159="","",IFERROR(INDEX(Listas!$O$4:$O$10,MATCH(E159,Listas!$N$4:$N$10,0)),0))</f>
        <v/>
      </c>
      <c r="H159" s="22" t="str">
        <f aca="false">IF(OR(F159="",G159=""),"",F159*G159)</f>
        <v/>
      </c>
      <c r="I159" s="1"/>
      <c r="J159" s="1"/>
      <c r="K159" s="25"/>
      <c r="L159" s="35" t="str">
        <f aca="true">IF(K159="","",IF(LEFT(E159,7)="Fechado","Encerrada",IF(K159&lt;TODAY(),"Atrasada",IF(K159-TODAY()&lt;=3,"Esta semana","No prazo"))))</f>
        <v/>
      </c>
      <c r="M159" s="25"/>
    </row>
    <row r="160" customFormat="false" ht="15" hidden="false" customHeight="false" outlineLevel="0" collapsed="false">
      <c r="A160" s="1"/>
      <c r="B160" s="33" t="str">
        <f aca="false">IF(A160="","",IFERROR(INDEX(CRM_Contatos!$B$5:$B$304,MATCH(A160,CRM_Contatos!$A$5:$A$304,0)),"ID não encontrado"))</f>
        <v/>
      </c>
      <c r="C160" s="1"/>
      <c r="D160" s="1"/>
      <c r="E160" s="1"/>
      <c r="F160" s="21"/>
      <c r="G160" s="34" t="str">
        <f aca="false">IF(E160="","",IFERROR(INDEX(Listas!$O$4:$O$10,MATCH(E160,Listas!$N$4:$N$10,0)),0))</f>
        <v/>
      </c>
      <c r="H160" s="22" t="str">
        <f aca="false">IF(OR(F160="",G160=""),"",F160*G160)</f>
        <v/>
      </c>
      <c r="I160" s="1"/>
      <c r="J160" s="1"/>
      <c r="K160" s="25"/>
      <c r="L160" s="35" t="str">
        <f aca="true">IF(K160="","",IF(LEFT(E160,7)="Fechado","Encerrada",IF(K160&lt;TODAY(),"Atrasada",IF(K160-TODAY()&lt;=3,"Esta semana","No prazo"))))</f>
        <v/>
      </c>
      <c r="M160" s="25"/>
    </row>
    <row r="161" customFormat="false" ht="15" hidden="false" customHeight="false" outlineLevel="0" collapsed="false">
      <c r="A161" s="1"/>
      <c r="B161" s="33" t="str">
        <f aca="false">IF(A161="","",IFERROR(INDEX(CRM_Contatos!$B$5:$B$304,MATCH(A161,CRM_Contatos!$A$5:$A$304,0)),"ID não encontrado"))</f>
        <v/>
      </c>
      <c r="C161" s="1"/>
      <c r="D161" s="1"/>
      <c r="E161" s="1"/>
      <c r="F161" s="21"/>
      <c r="G161" s="34" t="str">
        <f aca="false">IF(E161="","",IFERROR(INDEX(Listas!$O$4:$O$10,MATCH(E161,Listas!$N$4:$N$10,0)),0))</f>
        <v/>
      </c>
      <c r="H161" s="22" t="str">
        <f aca="false">IF(OR(F161="",G161=""),"",F161*G161)</f>
        <v/>
      </c>
      <c r="I161" s="1"/>
      <c r="J161" s="1"/>
      <c r="K161" s="25"/>
      <c r="L161" s="35" t="str">
        <f aca="true">IF(K161="","",IF(LEFT(E161,7)="Fechado","Encerrada",IF(K161&lt;TODAY(),"Atrasada",IF(K161-TODAY()&lt;=3,"Esta semana","No prazo"))))</f>
        <v/>
      </c>
      <c r="M161" s="25"/>
    </row>
    <row r="162" customFormat="false" ht="15" hidden="false" customHeight="false" outlineLevel="0" collapsed="false">
      <c r="A162" s="1"/>
      <c r="B162" s="33" t="str">
        <f aca="false">IF(A162="","",IFERROR(INDEX(CRM_Contatos!$B$5:$B$304,MATCH(A162,CRM_Contatos!$A$5:$A$304,0)),"ID não encontrado"))</f>
        <v/>
      </c>
      <c r="C162" s="1"/>
      <c r="D162" s="1"/>
      <c r="E162" s="1"/>
      <c r="F162" s="21"/>
      <c r="G162" s="34" t="str">
        <f aca="false">IF(E162="","",IFERROR(INDEX(Listas!$O$4:$O$10,MATCH(E162,Listas!$N$4:$N$10,0)),0))</f>
        <v/>
      </c>
      <c r="H162" s="22" t="str">
        <f aca="false">IF(OR(F162="",G162=""),"",F162*G162)</f>
        <v/>
      </c>
      <c r="I162" s="1"/>
      <c r="J162" s="1"/>
      <c r="K162" s="25"/>
      <c r="L162" s="35" t="str">
        <f aca="true">IF(K162="","",IF(LEFT(E162,7)="Fechado","Encerrada",IF(K162&lt;TODAY(),"Atrasada",IF(K162-TODAY()&lt;=3,"Esta semana","No prazo"))))</f>
        <v/>
      </c>
      <c r="M162" s="25"/>
    </row>
    <row r="163" customFormat="false" ht="15" hidden="false" customHeight="false" outlineLevel="0" collapsed="false">
      <c r="A163" s="1"/>
      <c r="B163" s="33" t="str">
        <f aca="false">IF(A163="","",IFERROR(INDEX(CRM_Contatos!$B$5:$B$304,MATCH(A163,CRM_Contatos!$A$5:$A$304,0)),"ID não encontrado"))</f>
        <v/>
      </c>
      <c r="C163" s="1"/>
      <c r="D163" s="1"/>
      <c r="E163" s="1"/>
      <c r="F163" s="21"/>
      <c r="G163" s="34" t="str">
        <f aca="false">IF(E163="","",IFERROR(INDEX(Listas!$O$4:$O$10,MATCH(E163,Listas!$N$4:$N$10,0)),0))</f>
        <v/>
      </c>
      <c r="H163" s="22" t="str">
        <f aca="false">IF(OR(F163="",G163=""),"",F163*G163)</f>
        <v/>
      </c>
      <c r="I163" s="1"/>
      <c r="J163" s="1"/>
      <c r="K163" s="25"/>
      <c r="L163" s="35" t="str">
        <f aca="true">IF(K163="","",IF(LEFT(E163,7)="Fechado","Encerrada",IF(K163&lt;TODAY(),"Atrasada",IF(K163-TODAY()&lt;=3,"Esta semana","No prazo"))))</f>
        <v/>
      </c>
      <c r="M163" s="25"/>
    </row>
    <row r="164" customFormat="false" ht="15" hidden="false" customHeight="false" outlineLevel="0" collapsed="false">
      <c r="A164" s="1"/>
      <c r="B164" s="33" t="str">
        <f aca="false">IF(A164="","",IFERROR(INDEX(CRM_Contatos!$B$5:$B$304,MATCH(A164,CRM_Contatos!$A$5:$A$304,0)),"ID não encontrado"))</f>
        <v/>
      </c>
      <c r="C164" s="1"/>
      <c r="D164" s="1"/>
      <c r="E164" s="1"/>
      <c r="F164" s="21"/>
      <c r="G164" s="34" t="str">
        <f aca="false">IF(E164="","",IFERROR(INDEX(Listas!$O$4:$O$10,MATCH(E164,Listas!$N$4:$N$10,0)),0))</f>
        <v/>
      </c>
      <c r="H164" s="22" t="str">
        <f aca="false">IF(OR(F164="",G164=""),"",F164*G164)</f>
        <v/>
      </c>
      <c r="I164" s="1"/>
      <c r="J164" s="1"/>
      <c r="K164" s="25"/>
      <c r="L164" s="35" t="str">
        <f aca="true">IF(K164="","",IF(LEFT(E164,7)="Fechado","Encerrada",IF(K164&lt;TODAY(),"Atrasada",IF(K164-TODAY()&lt;=3,"Esta semana","No prazo"))))</f>
        <v/>
      </c>
      <c r="M164" s="25"/>
    </row>
    <row r="165" customFormat="false" ht="15" hidden="false" customHeight="false" outlineLevel="0" collapsed="false">
      <c r="A165" s="1"/>
      <c r="B165" s="33" t="str">
        <f aca="false">IF(A165="","",IFERROR(INDEX(CRM_Contatos!$B$5:$B$304,MATCH(A165,CRM_Contatos!$A$5:$A$304,0)),"ID não encontrado"))</f>
        <v/>
      </c>
      <c r="C165" s="1"/>
      <c r="D165" s="1"/>
      <c r="E165" s="1"/>
      <c r="F165" s="21"/>
      <c r="G165" s="34" t="str">
        <f aca="false">IF(E165="","",IFERROR(INDEX(Listas!$O$4:$O$10,MATCH(E165,Listas!$N$4:$N$10,0)),0))</f>
        <v/>
      </c>
      <c r="H165" s="22" t="str">
        <f aca="false">IF(OR(F165="",G165=""),"",F165*G165)</f>
        <v/>
      </c>
      <c r="I165" s="1"/>
      <c r="J165" s="1"/>
      <c r="K165" s="25"/>
      <c r="L165" s="35" t="str">
        <f aca="true">IF(K165="","",IF(LEFT(E165,7)="Fechado","Encerrada",IF(K165&lt;TODAY(),"Atrasada",IF(K165-TODAY()&lt;=3,"Esta semana","No prazo"))))</f>
        <v/>
      </c>
      <c r="M165" s="25"/>
    </row>
    <row r="166" customFormat="false" ht="15" hidden="false" customHeight="false" outlineLevel="0" collapsed="false">
      <c r="A166" s="1"/>
      <c r="B166" s="33" t="str">
        <f aca="false">IF(A166="","",IFERROR(INDEX(CRM_Contatos!$B$5:$B$304,MATCH(A166,CRM_Contatos!$A$5:$A$304,0)),"ID não encontrado"))</f>
        <v/>
      </c>
      <c r="C166" s="1"/>
      <c r="D166" s="1"/>
      <c r="E166" s="1"/>
      <c r="F166" s="21"/>
      <c r="G166" s="34" t="str">
        <f aca="false">IF(E166="","",IFERROR(INDEX(Listas!$O$4:$O$10,MATCH(E166,Listas!$N$4:$N$10,0)),0))</f>
        <v/>
      </c>
      <c r="H166" s="22" t="str">
        <f aca="false">IF(OR(F166="",G166=""),"",F166*G166)</f>
        <v/>
      </c>
      <c r="I166" s="1"/>
      <c r="J166" s="1"/>
      <c r="K166" s="25"/>
      <c r="L166" s="35" t="str">
        <f aca="true">IF(K166="","",IF(LEFT(E166,7)="Fechado","Encerrada",IF(K166&lt;TODAY(),"Atrasada",IF(K166-TODAY()&lt;=3,"Esta semana","No prazo"))))</f>
        <v/>
      </c>
      <c r="M166" s="25"/>
    </row>
    <row r="167" customFormat="false" ht="15" hidden="false" customHeight="false" outlineLevel="0" collapsed="false">
      <c r="A167" s="1"/>
      <c r="B167" s="33" t="str">
        <f aca="false">IF(A167="","",IFERROR(INDEX(CRM_Contatos!$B$5:$B$304,MATCH(A167,CRM_Contatos!$A$5:$A$304,0)),"ID não encontrado"))</f>
        <v/>
      </c>
      <c r="C167" s="1"/>
      <c r="D167" s="1"/>
      <c r="E167" s="1"/>
      <c r="F167" s="21"/>
      <c r="G167" s="34" t="str">
        <f aca="false">IF(E167="","",IFERROR(INDEX(Listas!$O$4:$O$10,MATCH(E167,Listas!$N$4:$N$10,0)),0))</f>
        <v/>
      </c>
      <c r="H167" s="22" t="str">
        <f aca="false">IF(OR(F167="",G167=""),"",F167*G167)</f>
        <v/>
      </c>
      <c r="I167" s="1"/>
      <c r="J167" s="1"/>
      <c r="K167" s="25"/>
      <c r="L167" s="35" t="str">
        <f aca="true">IF(K167="","",IF(LEFT(E167,7)="Fechado","Encerrada",IF(K167&lt;TODAY(),"Atrasada",IF(K167-TODAY()&lt;=3,"Esta semana","No prazo"))))</f>
        <v/>
      </c>
      <c r="M167" s="25"/>
    </row>
    <row r="168" customFormat="false" ht="15" hidden="false" customHeight="false" outlineLevel="0" collapsed="false">
      <c r="A168" s="1"/>
      <c r="B168" s="33" t="str">
        <f aca="false">IF(A168="","",IFERROR(INDEX(CRM_Contatos!$B$5:$B$304,MATCH(A168,CRM_Contatos!$A$5:$A$304,0)),"ID não encontrado"))</f>
        <v/>
      </c>
      <c r="C168" s="1"/>
      <c r="D168" s="1"/>
      <c r="E168" s="1"/>
      <c r="F168" s="21"/>
      <c r="G168" s="34" t="str">
        <f aca="false">IF(E168="","",IFERROR(INDEX(Listas!$O$4:$O$10,MATCH(E168,Listas!$N$4:$N$10,0)),0))</f>
        <v/>
      </c>
      <c r="H168" s="22" t="str">
        <f aca="false">IF(OR(F168="",G168=""),"",F168*G168)</f>
        <v/>
      </c>
      <c r="I168" s="1"/>
      <c r="J168" s="1"/>
      <c r="K168" s="25"/>
      <c r="L168" s="35" t="str">
        <f aca="true">IF(K168="","",IF(LEFT(E168,7)="Fechado","Encerrada",IF(K168&lt;TODAY(),"Atrasada",IF(K168-TODAY()&lt;=3,"Esta semana","No prazo"))))</f>
        <v/>
      </c>
      <c r="M168" s="25"/>
    </row>
    <row r="169" customFormat="false" ht="15" hidden="false" customHeight="false" outlineLevel="0" collapsed="false">
      <c r="A169" s="1"/>
      <c r="B169" s="33" t="str">
        <f aca="false">IF(A169="","",IFERROR(INDEX(CRM_Contatos!$B$5:$B$304,MATCH(A169,CRM_Contatos!$A$5:$A$304,0)),"ID não encontrado"))</f>
        <v/>
      </c>
      <c r="C169" s="1"/>
      <c r="D169" s="1"/>
      <c r="E169" s="1"/>
      <c r="F169" s="21"/>
      <c r="G169" s="34" t="str">
        <f aca="false">IF(E169="","",IFERROR(INDEX(Listas!$O$4:$O$10,MATCH(E169,Listas!$N$4:$N$10,0)),0))</f>
        <v/>
      </c>
      <c r="H169" s="22" t="str">
        <f aca="false">IF(OR(F169="",G169=""),"",F169*G169)</f>
        <v/>
      </c>
      <c r="I169" s="1"/>
      <c r="J169" s="1"/>
      <c r="K169" s="25"/>
      <c r="L169" s="35" t="str">
        <f aca="true">IF(K169="","",IF(LEFT(E169,7)="Fechado","Encerrada",IF(K169&lt;TODAY(),"Atrasada",IF(K169-TODAY()&lt;=3,"Esta semana","No prazo"))))</f>
        <v/>
      </c>
      <c r="M169" s="25"/>
    </row>
    <row r="170" customFormat="false" ht="15" hidden="false" customHeight="false" outlineLevel="0" collapsed="false">
      <c r="A170" s="1"/>
      <c r="B170" s="33" t="str">
        <f aca="false">IF(A170="","",IFERROR(INDEX(CRM_Contatos!$B$5:$B$304,MATCH(A170,CRM_Contatos!$A$5:$A$304,0)),"ID não encontrado"))</f>
        <v/>
      </c>
      <c r="C170" s="1"/>
      <c r="D170" s="1"/>
      <c r="E170" s="1"/>
      <c r="F170" s="21"/>
      <c r="G170" s="34" t="str">
        <f aca="false">IF(E170="","",IFERROR(INDEX(Listas!$O$4:$O$10,MATCH(E170,Listas!$N$4:$N$10,0)),0))</f>
        <v/>
      </c>
      <c r="H170" s="22" t="str">
        <f aca="false">IF(OR(F170="",G170=""),"",F170*G170)</f>
        <v/>
      </c>
      <c r="I170" s="1"/>
      <c r="J170" s="1"/>
      <c r="K170" s="25"/>
      <c r="L170" s="35" t="str">
        <f aca="true">IF(K170="","",IF(LEFT(E170,7)="Fechado","Encerrada",IF(K170&lt;TODAY(),"Atrasada",IF(K170-TODAY()&lt;=3,"Esta semana","No prazo"))))</f>
        <v/>
      </c>
      <c r="M170" s="25"/>
    </row>
    <row r="171" customFormat="false" ht="15" hidden="false" customHeight="false" outlineLevel="0" collapsed="false">
      <c r="A171" s="1"/>
      <c r="B171" s="33" t="str">
        <f aca="false">IF(A171="","",IFERROR(INDEX(CRM_Contatos!$B$5:$B$304,MATCH(A171,CRM_Contatos!$A$5:$A$304,0)),"ID não encontrado"))</f>
        <v/>
      </c>
      <c r="C171" s="1"/>
      <c r="D171" s="1"/>
      <c r="E171" s="1"/>
      <c r="F171" s="21"/>
      <c r="G171" s="34" t="str">
        <f aca="false">IF(E171="","",IFERROR(INDEX(Listas!$O$4:$O$10,MATCH(E171,Listas!$N$4:$N$10,0)),0))</f>
        <v/>
      </c>
      <c r="H171" s="22" t="str">
        <f aca="false">IF(OR(F171="",G171=""),"",F171*G171)</f>
        <v/>
      </c>
      <c r="I171" s="1"/>
      <c r="J171" s="1"/>
      <c r="K171" s="25"/>
      <c r="L171" s="35" t="str">
        <f aca="true">IF(K171="","",IF(LEFT(E171,7)="Fechado","Encerrada",IF(K171&lt;TODAY(),"Atrasada",IF(K171-TODAY()&lt;=3,"Esta semana","No prazo"))))</f>
        <v/>
      </c>
      <c r="M171" s="25"/>
    </row>
    <row r="172" customFormat="false" ht="15" hidden="false" customHeight="false" outlineLevel="0" collapsed="false">
      <c r="A172" s="1"/>
      <c r="B172" s="33" t="str">
        <f aca="false">IF(A172="","",IFERROR(INDEX(CRM_Contatos!$B$5:$B$304,MATCH(A172,CRM_Contatos!$A$5:$A$304,0)),"ID não encontrado"))</f>
        <v/>
      </c>
      <c r="C172" s="1"/>
      <c r="D172" s="1"/>
      <c r="E172" s="1"/>
      <c r="F172" s="21"/>
      <c r="G172" s="34" t="str">
        <f aca="false">IF(E172="","",IFERROR(INDEX(Listas!$O$4:$O$10,MATCH(E172,Listas!$N$4:$N$10,0)),0))</f>
        <v/>
      </c>
      <c r="H172" s="22" t="str">
        <f aca="false">IF(OR(F172="",G172=""),"",F172*G172)</f>
        <v/>
      </c>
      <c r="I172" s="1"/>
      <c r="J172" s="1"/>
      <c r="K172" s="25"/>
      <c r="L172" s="35" t="str">
        <f aca="true">IF(K172="","",IF(LEFT(E172,7)="Fechado","Encerrada",IF(K172&lt;TODAY(),"Atrasada",IF(K172-TODAY()&lt;=3,"Esta semana","No prazo"))))</f>
        <v/>
      </c>
      <c r="M172" s="25"/>
    </row>
    <row r="173" customFormat="false" ht="15" hidden="false" customHeight="false" outlineLevel="0" collapsed="false">
      <c r="A173" s="1"/>
      <c r="B173" s="33" t="str">
        <f aca="false">IF(A173="","",IFERROR(INDEX(CRM_Contatos!$B$5:$B$304,MATCH(A173,CRM_Contatos!$A$5:$A$304,0)),"ID não encontrado"))</f>
        <v/>
      </c>
      <c r="C173" s="1"/>
      <c r="D173" s="1"/>
      <c r="E173" s="1"/>
      <c r="F173" s="21"/>
      <c r="G173" s="34" t="str">
        <f aca="false">IF(E173="","",IFERROR(INDEX(Listas!$O$4:$O$10,MATCH(E173,Listas!$N$4:$N$10,0)),0))</f>
        <v/>
      </c>
      <c r="H173" s="22" t="str">
        <f aca="false">IF(OR(F173="",G173=""),"",F173*G173)</f>
        <v/>
      </c>
      <c r="I173" s="1"/>
      <c r="J173" s="1"/>
      <c r="K173" s="25"/>
      <c r="L173" s="35" t="str">
        <f aca="true">IF(K173="","",IF(LEFT(E173,7)="Fechado","Encerrada",IF(K173&lt;TODAY(),"Atrasada",IF(K173-TODAY()&lt;=3,"Esta semana","No prazo"))))</f>
        <v/>
      </c>
      <c r="M173" s="25"/>
    </row>
    <row r="174" customFormat="false" ht="15" hidden="false" customHeight="false" outlineLevel="0" collapsed="false">
      <c r="A174" s="1"/>
      <c r="B174" s="33" t="str">
        <f aca="false">IF(A174="","",IFERROR(INDEX(CRM_Contatos!$B$5:$B$304,MATCH(A174,CRM_Contatos!$A$5:$A$304,0)),"ID não encontrado"))</f>
        <v/>
      </c>
      <c r="C174" s="1"/>
      <c r="D174" s="1"/>
      <c r="E174" s="1"/>
      <c r="F174" s="21"/>
      <c r="G174" s="34" t="str">
        <f aca="false">IF(E174="","",IFERROR(INDEX(Listas!$O$4:$O$10,MATCH(E174,Listas!$N$4:$N$10,0)),0))</f>
        <v/>
      </c>
      <c r="H174" s="22" t="str">
        <f aca="false">IF(OR(F174="",G174=""),"",F174*G174)</f>
        <v/>
      </c>
      <c r="I174" s="1"/>
      <c r="J174" s="1"/>
      <c r="K174" s="25"/>
      <c r="L174" s="35" t="str">
        <f aca="true">IF(K174="","",IF(LEFT(E174,7)="Fechado","Encerrada",IF(K174&lt;TODAY(),"Atrasada",IF(K174-TODAY()&lt;=3,"Esta semana","No prazo"))))</f>
        <v/>
      </c>
      <c r="M174" s="25"/>
    </row>
    <row r="175" customFormat="false" ht="15" hidden="false" customHeight="false" outlineLevel="0" collapsed="false">
      <c r="A175" s="1"/>
      <c r="B175" s="33" t="str">
        <f aca="false">IF(A175="","",IFERROR(INDEX(CRM_Contatos!$B$5:$B$304,MATCH(A175,CRM_Contatos!$A$5:$A$304,0)),"ID não encontrado"))</f>
        <v/>
      </c>
      <c r="C175" s="1"/>
      <c r="D175" s="1"/>
      <c r="E175" s="1"/>
      <c r="F175" s="21"/>
      <c r="G175" s="34" t="str">
        <f aca="false">IF(E175="","",IFERROR(INDEX(Listas!$O$4:$O$10,MATCH(E175,Listas!$N$4:$N$10,0)),0))</f>
        <v/>
      </c>
      <c r="H175" s="22" t="str">
        <f aca="false">IF(OR(F175="",G175=""),"",F175*G175)</f>
        <v/>
      </c>
      <c r="I175" s="1"/>
      <c r="J175" s="1"/>
      <c r="K175" s="25"/>
      <c r="L175" s="35" t="str">
        <f aca="true">IF(K175="","",IF(LEFT(E175,7)="Fechado","Encerrada",IF(K175&lt;TODAY(),"Atrasada",IF(K175-TODAY()&lt;=3,"Esta semana","No prazo"))))</f>
        <v/>
      </c>
      <c r="M175" s="25"/>
    </row>
    <row r="176" customFormat="false" ht="15" hidden="false" customHeight="false" outlineLevel="0" collapsed="false">
      <c r="A176" s="1"/>
      <c r="B176" s="33" t="str">
        <f aca="false">IF(A176="","",IFERROR(INDEX(CRM_Contatos!$B$5:$B$304,MATCH(A176,CRM_Contatos!$A$5:$A$304,0)),"ID não encontrado"))</f>
        <v/>
      </c>
      <c r="C176" s="1"/>
      <c r="D176" s="1"/>
      <c r="E176" s="1"/>
      <c r="F176" s="21"/>
      <c r="G176" s="34" t="str">
        <f aca="false">IF(E176="","",IFERROR(INDEX(Listas!$O$4:$O$10,MATCH(E176,Listas!$N$4:$N$10,0)),0))</f>
        <v/>
      </c>
      <c r="H176" s="22" t="str">
        <f aca="false">IF(OR(F176="",G176=""),"",F176*G176)</f>
        <v/>
      </c>
      <c r="I176" s="1"/>
      <c r="J176" s="1"/>
      <c r="K176" s="25"/>
      <c r="L176" s="35" t="str">
        <f aca="true">IF(K176="","",IF(LEFT(E176,7)="Fechado","Encerrada",IF(K176&lt;TODAY(),"Atrasada",IF(K176-TODAY()&lt;=3,"Esta semana","No prazo"))))</f>
        <v/>
      </c>
      <c r="M176" s="25"/>
    </row>
    <row r="177" customFormat="false" ht="15" hidden="false" customHeight="false" outlineLevel="0" collapsed="false">
      <c r="A177" s="1"/>
      <c r="B177" s="33" t="str">
        <f aca="false">IF(A177="","",IFERROR(INDEX(CRM_Contatos!$B$5:$B$304,MATCH(A177,CRM_Contatos!$A$5:$A$304,0)),"ID não encontrado"))</f>
        <v/>
      </c>
      <c r="C177" s="1"/>
      <c r="D177" s="1"/>
      <c r="E177" s="1"/>
      <c r="F177" s="21"/>
      <c r="G177" s="34" t="str">
        <f aca="false">IF(E177="","",IFERROR(INDEX(Listas!$O$4:$O$10,MATCH(E177,Listas!$N$4:$N$10,0)),0))</f>
        <v/>
      </c>
      <c r="H177" s="22" t="str">
        <f aca="false">IF(OR(F177="",G177=""),"",F177*G177)</f>
        <v/>
      </c>
      <c r="I177" s="1"/>
      <c r="J177" s="1"/>
      <c r="K177" s="25"/>
      <c r="L177" s="35" t="str">
        <f aca="true">IF(K177="","",IF(LEFT(E177,7)="Fechado","Encerrada",IF(K177&lt;TODAY(),"Atrasada",IF(K177-TODAY()&lt;=3,"Esta semana","No prazo"))))</f>
        <v/>
      </c>
      <c r="M177" s="25"/>
    </row>
    <row r="178" customFormat="false" ht="15" hidden="false" customHeight="false" outlineLevel="0" collapsed="false">
      <c r="A178" s="1"/>
      <c r="B178" s="33" t="str">
        <f aca="false">IF(A178="","",IFERROR(INDEX(CRM_Contatos!$B$5:$B$304,MATCH(A178,CRM_Contatos!$A$5:$A$304,0)),"ID não encontrado"))</f>
        <v/>
      </c>
      <c r="C178" s="1"/>
      <c r="D178" s="1"/>
      <c r="E178" s="1"/>
      <c r="F178" s="21"/>
      <c r="G178" s="34" t="str">
        <f aca="false">IF(E178="","",IFERROR(INDEX(Listas!$O$4:$O$10,MATCH(E178,Listas!$N$4:$N$10,0)),0))</f>
        <v/>
      </c>
      <c r="H178" s="22" t="str">
        <f aca="false">IF(OR(F178="",G178=""),"",F178*G178)</f>
        <v/>
      </c>
      <c r="I178" s="1"/>
      <c r="J178" s="1"/>
      <c r="K178" s="25"/>
      <c r="L178" s="35" t="str">
        <f aca="true">IF(K178="","",IF(LEFT(E178,7)="Fechado","Encerrada",IF(K178&lt;TODAY(),"Atrasada",IF(K178-TODAY()&lt;=3,"Esta semana","No prazo"))))</f>
        <v/>
      </c>
      <c r="M178" s="25"/>
    </row>
    <row r="179" customFormat="false" ht="15" hidden="false" customHeight="false" outlineLevel="0" collapsed="false">
      <c r="A179" s="1"/>
      <c r="B179" s="33" t="str">
        <f aca="false">IF(A179="","",IFERROR(INDEX(CRM_Contatos!$B$5:$B$304,MATCH(A179,CRM_Contatos!$A$5:$A$304,0)),"ID não encontrado"))</f>
        <v/>
      </c>
      <c r="C179" s="1"/>
      <c r="D179" s="1"/>
      <c r="E179" s="1"/>
      <c r="F179" s="21"/>
      <c r="G179" s="34" t="str">
        <f aca="false">IF(E179="","",IFERROR(INDEX(Listas!$O$4:$O$10,MATCH(E179,Listas!$N$4:$N$10,0)),0))</f>
        <v/>
      </c>
      <c r="H179" s="22" t="str">
        <f aca="false">IF(OR(F179="",G179=""),"",F179*G179)</f>
        <v/>
      </c>
      <c r="I179" s="1"/>
      <c r="J179" s="1"/>
      <c r="K179" s="25"/>
      <c r="L179" s="35" t="str">
        <f aca="true">IF(K179="","",IF(LEFT(E179,7)="Fechado","Encerrada",IF(K179&lt;TODAY(),"Atrasada",IF(K179-TODAY()&lt;=3,"Esta semana","No prazo"))))</f>
        <v/>
      </c>
      <c r="M179" s="25"/>
    </row>
    <row r="180" customFormat="false" ht="15" hidden="false" customHeight="false" outlineLevel="0" collapsed="false">
      <c r="A180" s="1"/>
      <c r="B180" s="33" t="str">
        <f aca="false">IF(A180="","",IFERROR(INDEX(CRM_Contatos!$B$5:$B$304,MATCH(A180,CRM_Contatos!$A$5:$A$304,0)),"ID não encontrado"))</f>
        <v/>
      </c>
      <c r="C180" s="1"/>
      <c r="D180" s="1"/>
      <c r="E180" s="1"/>
      <c r="F180" s="21"/>
      <c r="G180" s="34" t="str">
        <f aca="false">IF(E180="","",IFERROR(INDEX(Listas!$O$4:$O$10,MATCH(E180,Listas!$N$4:$N$10,0)),0))</f>
        <v/>
      </c>
      <c r="H180" s="22" t="str">
        <f aca="false">IF(OR(F180="",G180=""),"",F180*G180)</f>
        <v/>
      </c>
      <c r="I180" s="1"/>
      <c r="J180" s="1"/>
      <c r="K180" s="25"/>
      <c r="L180" s="35" t="str">
        <f aca="true">IF(K180="","",IF(LEFT(E180,7)="Fechado","Encerrada",IF(K180&lt;TODAY(),"Atrasada",IF(K180-TODAY()&lt;=3,"Esta semana","No prazo"))))</f>
        <v/>
      </c>
      <c r="M180" s="25"/>
    </row>
    <row r="181" customFormat="false" ht="15" hidden="false" customHeight="false" outlineLevel="0" collapsed="false">
      <c r="A181" s="1"/>
      <c r="B181" s="33" t="str">
        <f aca="false">IF(A181="","",IFERROR(INDEX(CRM_Contatos!$B$5:$B$304,MATCH(A181,CRM_Contatos!$A$5:$A$304,0)),"ID não encontrado"))</f>
        <v/>
      </c>
      <c r="C181" s="1"/>
      <c r="D181" s="1"/>
      <c r="E181" s="1"/>
      <c r="F181" s="21"/>
      <c r="G181" s="34" t="str">
        <f aca="false">IF(E181="","",IFERROR(INDEX(Listas!$O$4:$O$10,MATCH(E181,Listas!$N$4:$N$10,0)),0))</f>
        <v/>
      </c>
      <c r="H181" s="22" t="str">
        <f aca="false">IF(OR(F181="",G181=""),"",F181*G181)</f>
        <v/>
      </c>
      <c r="I181" s="1"/>
      <c r="J181" s="1"/>
      <c r="K181" s="25"/>
      <c r="L181" s="35" t="str">
        <f aca="true">IF(K181="","",IF(LEFT(E181,7)="Fechado","Encerrada",IF(K181&lt;TODAY(),"Atrasada",IF(K181-TODAY()&lt;=3,"Esta semana","No prazo"))))</f>
        <v/>
      </c>
      <c r="M181" s="25"/>
    </row>
    <row r="182" customFormat="false" ht="15" hidden="false" customHeight="false" outlineLevel="0" collapsed="false">
      <c r="A182" s="1"/>
      <c r="B182" s="33" t="str">
        <f aca="false">IF(A182="","",IFERROR(INDEX(CRM_Contatos!$B$5:$B$304,MATCH(A182,CRM_Contatos!$A$5:$A$304,0)),"ID não encontrado"))</f>
        <v/>
      </c>
      <c r="C182" s="1"/>
      <c r="D182" s="1"/>
      <c r="E182" s="1"/>
      <c r="F182" s="21"/>
      <c r="G182" s="34" t="str">
        <f aca="false">IF(E182="","",IFERROR(INDEX(Listas!$O$4:$O$10,MATCH(E182,Listas!$N$4:$N$10,0)),0))</f>
        <v/>
      </c>
      <c r="H182" s="22" t="str">
        <f aca="false">IF(OR(F182="",G182=""),"",F182*G182)</f>
        <v/>
      </c>
      <c r="I182" s="1"/>
      <c r="J182" s="1"/>
      <c r="K182" s="25"/>
      <c r="L182" s="35" t="str">
        <f aca="true">IF(K182="","",IF(LEFT(E182,7)="Fechado","Encerrada",IF(K182&lt;TODAY(),"Atrasada",IF(K182-TODAY()&lt;=3,"Esta semana","No prazo"))))</f>
        <v/>
      </c>
      <c r="M182" s="25"/>
    </row>
    <row r="183" customFormat="false" ht="15" hidden="false" customHeight="false" outlineLevel="0" collapsed="false">
      <c r="A183" s="1"/>
      <c r="B183" s="33" t="str">
        <f aca="false">IF(A183="","",IFERROR(INDEX(CRM_Contatos!$B$5:$B$304,MATCH(A183,CRM_Contatos!$A$5:$A$304,0)),"ID não encontrado"))</f>
        <v/>
      </c>
      <c r="C183" s="1"/>
      <c r="D183" s="1"/>
      <c r="E183" s="1"/>
      <c r="F183" s="21"/>
      <c r="G183" s="34" t="str">
        <f aca="false">IF(E183="","",IFERROR(INDEX(Listas!$O$4:$O$10,MATCH(E183,Listas!$N$4:$N$10,0)),0))</f>
        <v/>
      </c>
      <c r="H183" s="22" t="str">
        <f aca="false">IF(OR(F183="",G183=""),"",F183*G183)</f>
        <v/>
      </c>
      <c r="I183" s="1"/>
      <c r="J183" s="1"/>
      <c r="K183" s="25"/>
      <c r="L183" s="35" t="str">
        <f aca="true">IF(K183="","",IF(LEFT(E183,7)="Fechado","Encerrada",IF(K183&lt;TODAY(),"Atrasada",IF(K183-TODAY()&lt;=3,"Esta semana","No prazo"))))</f>
        <v/>
      </c>
      <c r="M183" s="25"/>
    </row>
    <row r="184" customFormat="false" ht="15" hidden="false" customHeight="false" outlineLevel="0" collapsed="false">
      <c r="A184" s="1"/>
      <c r="B184" s="33" t="str">
        <f aca="false">IF(A184="","",IFERROR(INDEX(CRM_Contatos!$B$5:$B$304,MATCH(A184,CRM_Contatos!$A$5:$A$304,0)),"ID não encontrado"))</f>
        <v/>
      </c>
      <c r="C184" s="1"/>
      <c r="D184" s="1"/>
      <c r="E184" s="1"/>
      <c r="F184" s="21"/>
      <c r="G184" s="34" t="str">
        <f aca="false">IF(E184="","",IFERROR(INDEX(Listas!$O$4:$O$10,MATCH(E184,Listas!$N$4:$N$10,0)),0))</f>
        <v/>
      </c>
      <c r="H184" s="22" t="str">
        <f aca="false">IF(OR(F184="",G184=""),"",F184*G184)</f>
        <v/>
      </c>
      <c r="I184" s="1"/>
      <c r="J184" s="1"/>
      <c r="K184" s="25"/>
      <c r="L184" s="35" t="str">
        <f aca="true">IF(K184="","",IF(LEFT(E184,7)="Fechado","Encerrada",IF(K184&lt;TODAY(),"Atrasada",IF(K184-TODAY()&lt;=3,"Esta semana","No prazo"))))</f>
        <v/>
      </c>
      <c r="M184" s="25"/>
    </row>
    <row r="185" customFormat="false" ht="15" hidden="false" customHeight="false" outlineLevel="0" collapsed="false">
      <c r="A185" s="1"/>
      <c r="B185" s="33" t="str">
        <f aca="false">IF(A185="","",IFERROR(INDEX(CRM_Contatos!$B$5:$B$304,MATCH(A185,CRM_Contatos!$A$5:$A$304,0)),"ID não encontrado"))</f>
        <v/>
      </c>
      <c r="C185" s="1"/>
      <c r="D185" s="1"/>
      <c r="E185" s="1"/>
      <c r="F185" s="21"/>
      <c r="G185" s="34" t="str">
        <f aca="false">IF(E185="","",IFERROR(INDEX(Listas!$O$4:$O$10,MATCH(E185,Listas!$N$4:$N$10,0)),0))</f>
        <v/>
      </c>
      <c r="H185" s="22" t="str">
        <f aca="false">IF(OR(F185="",G185=""),"",F185*G185)</f>
        <v/>
      </c>
      <c r="I185" s="1"/>
      <c r="J185" s="1"/>
      <c r="K185" s="25"/>
      <c r="L185" s="35" t="str">
        <f aca="true">IF(K185="","",IF(LEFT(E185,7)="Fechado","Encerrada",IF(K185&lt;TODAY(),"Atrasada",IF(K185-TODAY()&lt;=3,"Esta semana","No prazo"))))</f>
        <v/>
      </c>
      <c r="M185" s="25"/>
    </row>
    <row r="186" customFormat="false" ht="15" hidden="false" customHeight="false" outlineLevel="0" collapsed="false">
      <c r="A186" s="1"/>
      <c r="B186" s="33" t="str">
        <f aca="false">IF(A186="","",IFERROR(INDEX(CRM_Contatos!$B$5:$B$304,MATCH(A186,CRM_Contatos!$A$5:$A$304,0)),"ID não encontrado"))</f>
        <v/>
      </c>
      <c r="C186" s="1"/>
      <c r="D186" s="1"/>
      <c r="E186" s="1"/>
      <c r="F186" s="21"/>
      <c r="G186" s="34" t="str">
        <f aca="false">IF(E186="","",IFERROR(INDEX(Listas!$O$4:$O$10,MATCH(E186,Listas!$N$4:$N$10,0)),0))</f>
        <v/>
      </c>
      <c r="H186" s="22" t="str">
        <f aca="false">IF(OR(F186="",G186=""),"",F186*G186)</f>
        <v/>
      </c>
      <c r="I186" s="1"/>
      <c r="J186" s="1"/>
      <c r="K186" s="25"/>
      <c r="L186" s="35" t="str">
        <f aca="true">IF(K186="","",IF(LEFT(E186,7)="Fechado","Encerrada",IF(K186&lt;TODAY(),"Atrasada",IF(K186-TODAY()&lt;=3,"Esta semana","No prazo"))))</f>
        <v/>
      </c>
      <c r="M186" s="25"/>
    </row>
    <row r="187" customFormat="false" ht="15" hidden="false" customHeight="false" outlineLevel="0" collapsed="false">
      <c r="A187" s="1"/>
      <c r="B187" s="33" t="str">
        <f aca="false">IF(A187="","",IFERROR(INDEX(CRM_Contatos!$B$5:$B$304,MATCH(A187,CRM_Contatos!$A$5:$A$304,0)),"ID não encontrado"))</f>
        <v/>
      </c>
      <c r="C187" s="1"/>
      <c r="D187" s="1"/>
      <c r="E187" s="1"/>
      <c r="F187" s="21"/>
      <c r="G187" s="34" t="str">
        <f aca="false">IF(E187="","",IFERROR(INDEX(Listas!$O$4:$O$10,MATCH(E187,Listas!$N$4:$N$10,0)),0))</f>
        <v/>
      </c>
      <c r="H187" s="22" t="str">
        <f aca="false">IF(OR(F187="",G187=""),"",F187*G187)</f>
        <v/>
      </c>
      <c r="I187" s="1"/>
      <c r="J187" s="1"/>
      <c r="K187" s="25"/>
      <c r="L187" s="35" t="str">
        <f aca="true">IF(K187="","",IF(LEFT(E187,7)="Fechado","Encerrada",IF(K187&lt;TODAY(),"Atrasada",IF(K187-TODAY()&lt;=3,"Esta semana","No prazo"))))</f>
        <v/>
      </c>
      <c r="M187" s="25"/>
    </row>
    <row r="188" customFormat="false" ht="15" hidden="false" customHeight="false" outlineLevel="0" collapsed="false">
      <c r="A188" s="1"/>
      <c r="B188" s="33" t="str">
        <f aca="false">IF(A188="","",IFERROR(INDEX(CRM_Contatos!$B$5:$B$304,MATCH(A188,CRM_Contatos!$A$5:$A$304,0)),"ID não encontrado"))</f>
        <v/>
      </c>
      <c r="C188" s="1"/>
      <c r="D188" s="1"/>
      <c r="E188" s="1"/>
      <c r="F188" s="21"/>
      <c r="G188" s="34" t="str">
        <f aca="false">IF(E188="","",IFERROR(INDEX(Listas!$O$4:$O$10,MATCH(E188,Listas!$N$4:$N$10,0)),0))</f>
        <v/>
      </c>
      <c r="H188" s="22" t="str">
        <f aca="false">IF(OR(F188="",G188=""),"",F188*G188)</f>
        <v/>
      </c>
      <c r="I188" s="1"/>
      <c r="J188" s="1"/>
      <c r="K188" s="25"/>
      <c r="L188" s="35" t="str">
        <f aca="true">IF(K188="","",IF(LEFT(E188,7)="Fechado","Encerrada",IF(K188&lt;TODAY(),"Atrasada",IF(K188-TODAY()&lt;=3,"Esta semana","No prazo"))))</f>
        <v/>
      </c>
      <c r="M188" s="25"/>
    </row>
    <row r="189" customFormat="false" ht="15" hidden="false" customHeight="false" outlineLevel="0" collapsed="false">
      <c r="A189" s="1"/>
      <c r="B189" s="33" t="str">
        <f aca="false">IF(A189="","",IFERROR(INDEX(CRM_Contatos!$B$5:$B$304,MATCH(A189,CRM_Contatos!$A$5:$A$304,0)),"ID não encontrado"))</f>
        <v/>
      </c>
      <c r="C189" s="1"/>
      <c r="D189" s="1"/>
      <c r="E189" s="1"/>
      <c r="F189" s="21"/>
      <c r="G189" s="34" t="str">
        <f aca="false">IF(E189="","",IFERROR(INDEX(Listas!$O$4:$O$10,MATCH(E189,Listas!$N$4:$N$10,0)),0))</f>
        <v/>
      </c>
      <c r="H189" s="22" t="str">
        <f aca="false">IF(OR(F189="",G189=""),"",F189*G189)</f>
        <v/>
      </c>
      <c r="I189" s="1"/>
      <c r="J189" s="1"/>
      <c r="K189" s="25"/>
      <c r="L189" s="35" t="str">
        <f aca="true">IF(K189="","",IF(LEFT(E189,7)="Fechado","Encerrada",IF(K189&lt;TODAY(),"Atrasada",IF(K189-TODAY()&lt;=3,"Esta semana","No prazo"))))</f>
        <v/>
      </c>
      <c r="M189" s="25"/>
    </row>
    <row r="190" customFormat="false" ht="15" hidden="false" customHeight="false" outlineLevel="0" collapsed="false">
      <c r="A190" s="1"/>
      <c r="B190" s="33" t="str">
        <f aca="false">IF(A190="","",IFERROR(INDEX(CRM_Contatos!$B$5:$B$304,MATCH(A190,CRM_Contatos!$A$5:$A$304,0)),"ID não encontrado"))</f>
        <v/>
      </c>
      <c r="C190" s="1"/>
      <c r="D190" s="1"/>
      <c r="E190" s="1"/>
      <c r="F190" s="21"/>
      <c r="G190" s="34" t="str">
        <f aca="false">IF(E190="","",IFERROR(INDEX(Listas!$O$4:$O$10,MATCH(E190,Listas!$N$4:$N$10,0)),0))</f>
        <v/>
      </c>
      <c r="H190" s="22" t="str">
        <f aca="false">IF(OR(F190="",G190=""),"",F190*G190)</f>
        <v/>
      </c>
      <c r="I190" s="1"/>
      <c r="J190" s="1"/>
      <c r="K190" s="25"/>
      <c r="L190" s="35" t="str">
        <f aca="true">IF(K190="","",IF(LEFT(E190,7)="Fechado","Encerrada",IF(K190&lt;TODAY(),"Atrasada",IF(K190-TODAY()&lt;=3,"Esta semana","No prazo"))))</f>
        <v/>
      </c>
      <c r="M190" s="25"/>
    </row>
    <row r="191" customFormat="false" ht="15" hidden="false" customHeight="false" outlineLevel="0" collapsed="false">
      <c r="A191" s="1"/>
      <c r="B191" s="33" t="str">
        <f aca="false">IF(A191="","",IFERROR(INDEX(CRM_Contatos!$B$5:$B$304,MATCH(A191,CRM_Contatos!$A$5:$A$304,0)),"ID não encontrado"))</f>
        <v/>
      </c>
      <c r="C191" s="1"/>
      <c r="D191" s="1"/>
      <c r="E191" s="1"/>
      <c r="F191" s="21"/>
      <c r="G191" s="34" t="str">
        <f aca="false">IF(E191="","",IFERROR(INDEX(Listas!$O$4:$O$10,MATCH(E191,Listas!$N$4:$N$10,0)),0))</f>
        <v/>
      </c>
      <c r="H191" s="22" t="str">
        <f aca="false">IF(OR(F191="",G191=""),"",F191*G191)</f>
        <v/>
      </c>
      <c r="I191" s="1"/>
      <c r="J191" s="1"/>
      <c r="K191" s="25"/>
      <c r="L191" s="35" t="str">
        <f aca="true">IF(K191="","",IF(LEFT(E191,7)="Fechado","Encerrada",IF(K191&lt;TODAY(),"Atrasada",IF(K191-TODAY()&lt;=3,"Esta semana","No prazo"))))</f>
        <v/>
      </c>
      <c r="M191" s="25"/>
    </row>
    <row r="192" customFormat="false" ht="15" hidden="false" customHeight="false" outlineLevel="0" collapsed="false">
      <c r="A192" s="1"/>
      <c r="B192" s="33" t="str">
        <f aca="false">IF(A192="","",IFERROR(INDEX(CRM_Contatos!$B$5:$B$304,MATCH(A192,CRM_Contatos!$A$5:$A$304,0)),"ID não encontrado"))</f>
        <v/>
      </c>
      <c r="C192" s="1"/>
      <c r="D192" s="1"/>
      <c r="E192" s="1"/>
      <c r="F192" s="21"/>
      <c r="G192" s="34" t="str">
        <f aca="false">IF(E192="","",IFERROR(INDEX(Listas!$O$4:$O$10,MATCH(E192,Listas!$N$4:$N$10,0)),0))</f>
        <v/>
      </c>
      <c r="H192" s="22" t="str">
        <f aca="false">IF(OR(F192="",G192=""),"",F192*G192)</f>
        <v/>
      </c>
      <c r="I192" s="1"/>
      <c r="J192" s="1"/>
      <c r="K192" s="25"/>
      <c r="L192" s="35" t="str">
        <f aca="true">IF(K192="","",IF(LEFT(E192,7)="Fechado","Encerrada",IF(K192&lt;TODAY(),"Atrasada",IF(K192-TODAY()&lt;=3,"Esta semana","No prazo"))))</f>
        <v/>
      </c>
      <c r="M192" s="25"/>
    </row>
    <row r="193" customFormat="false" ht="15" hidden="false" customHeight="false" outlineLevel="0" collapsed="false">
      <c r="A193" s="1"/>
      <c r="B193" s="33" t="str">
        <f aca="false">IF(A193="","",IFERROR(INDEX(CRM_Contatos!$B$5:$B$304,MATCH(A193,CRM_Contatos!$A$5:$A$304,0)),"ID não encontrado"))</f>
        <v/>
      </c>
      <c r="C193" s="1"/>
      <c r="D193" s="1"/>
      <c r="E193" s="1"/>
      <c r="F193" s="21"/>
      <c r="G193" s="34" t="str">
        <f aca="false">IF(E193="","",IFERROR(INDEX(Listas!$O$4:$O$10,MATCH(E193,Listas!$N$4:$N$10,0)),0))</f>
        <v/>
      </c>
      <c r="H193" s="22" t="str">
        <f aca="false">IF(OR(F193="",G193=""),"",F193*G193)</f>
        <v/>
      </c>
      <c r="I193" s="1"/>
      <c r="J193" s="1"/>
      <c r="K193" s="25"/>
      <c r="L193" s="35" t="str">
        <f aca="true">IF(K193="","",IF(LEFT(E193,7)="Fechado","Encerrada",IF(K193&lt;TODAY(),"Atrasada",IF(K193-TODAY()&lt;=3,"Esta semana","No prazo"))))</f>
        <v/>
      </c>
      <c r="M193" s="25"/>
    </row>
    <row r="194" customFormat="false" ht="15" hidden="false" customHeight="false" outlineLevel="0" collapsed="false">
      <c r="A194" s="1"/>
      <c r="B194" s="33" t="str">
        <f aca="false">IF(A194="","",IFERROR(INDEX(CRM_Contatos!$B$5:$B$304,MATCH(A194,CRM_Contatos!$A$5:$A$304,0)),"ID não encontrado"))</f>
        <v/>
      </c>
      <c r="C194" s="1"/>
      <c r="D194" s="1"/>
      <c r="E194" s="1"/>
      <c r="F194" s="21"/>
      <c r="G194" s="34" t="str">
        <f aca="false">IF(E194="","",IFERROR(INDEX(Listas!$O$4:$O$10,MATCH(E194,Listas!$N$4:$N$10,0)),0))</f>
        <v/>
      </c>
      <c r="H194" s="22" t="str">
        <f aca="false">IF(OR(F194="",G194=""),"",F194*G194)</f>
        <v/>
      </c>
      <c r="I194" s="1"/>
      <c r="J194" s="1"/>
      <c r="K194" s="25"/>
      <c r="L194" s="35" t="str">
        <f aca="true">IF(K194="","",IF(LEFT(E194,7)="Fechado","Encerrada",IF(K194&lt;TODAY(),"Atrasada",IF(K194-TODAY()&lt;=3,"Esta semana","No prazo"))))</f>
        <v/>
      </c>
      <c r="M194" s="25"/>
    </row>
    <row r="195" customFormat="false" ht="15" hidden="false" customHeight="false" outlineLevel="0" collapsed="false">
      <c r="A195" s="1"/>
      <c r="B195" s="33" t="str">
        <f aca="false">IF(A195="","",IFERROR(INDEX(CRM_Contatos!$B$5:$B$304,MATCH(A195,CRM_Contatos!$A$5:$A$304,0)),"ID não encontrado"))</f>
        <v/>
      </c>
      <c r="C195" s="1"/>
      <c r="D195" s="1"/>
      <c r="E195" s="1"/>
      <c r="F195" s="21"/>
      <c r="G195" s="34" t="str">
        <f aca="false">IF(E195="","",IFERROR(INDEX(Listas!$O$4:$O$10,MATCH(E195,Listas!$N$4:$N$10,0)),0))</f>
        <v/>
      </c>
      <c r="H195" s="22" t="str">
        <f aca="false">IF(OR(F195="",G195=""),"",F195*G195)</f>
        <v/>
      </c>
      <c r="I195" s="1"/>
      <c r="J195" s="1"/>
      <c r="K195" s="25"/>
      <c r="L195" s="35" t="str">
        <f aca="true">IF(K195="","",IF(LEFT(E195,7)="Fechado","Encerrada",IF(K195&lt;TODAY(),"Atrasada",IF(K195-TODAY()&lt;=3,"Esta semana","No prazo"))))</f>
        <v/>
      </c>
      <c r="M195" s="25"/>
    </row>
    <row r="196" customFormat="false" ht="15" hidden="false" customHeight="false" outlineLevel="0" collapsed="false">
      <c r="A196" s="1"/>
      <c r="B196" s="33" t="str">
        <f aca="false">IF(A196="","",IFERROR(INDEX(CRM_Contatos!$B$5:$B$304,MATCH(A196,CRM_Contatos!$A$5:$A$304,0)),"ID não encontrado"))</f>
        <v/>
      </c>
      <c r="C196" s="1"/>
      <c r="D196" s="1"/>
      <c r="E196" s="1"/>
      <c r="F196" s="21"/>
      <c r="G196" s="34" t="str">
        <f aca="false">IF(E196="","",IFERROR(INDEX(Listas!$O$4:$O$10,MATCH(E196,Listas!$N$4:$N$10,0)),0))</f>
        <v/>
      </c>
      <c r="H196" s="22" t="str">
        <f aca="false">IF(OR(F196="",G196=""),"",F196*G196)</f>
        <v/>
      </c>
      <c r="I196" s="1"/>
      <c r="J196" s="1"/>
      <c r="K196" s="25"/>
      <c r="L196" s="35" t="str">
        <f aca="true">IF(K196="","",IF(LEFT(E196,7)="Fechado","Encerrada",IF(K196&lt;TODAY(),"Atrasada",IF(K196-TODAY()&lt;=3,"Esta semana","No prazo"))))</f>
        <v/>
      </c>
      <c r="M196" s="25"/>
    </row>
    <row r="197" customFormat="false" ht="15" hidden="false" customHeight="false" outlineLevel="0" collapsed="false">
      <c r="A197" s="1"/>
      <c r="B197" s="33" t="str">
        <f aca="false">IF(A197="","",IFERROR(INDEX(CRM_Contatos!$B$5:$B$304,MATCH(A197,CRM_Contatos!$A$5:$A$304,0)),"ID não encontrado"))</f>
        <v/>
      </c>
      <c r="C197" s="1"/>
      <c r="D197" s="1"/>
      <c r="E197" s="1"/>
      <c r="F197" s="21"/>
      <c r="G197" s="34" t="str">
        <f aca="false">IF(E197="","",IFERROR(INDEX(Listas!$O$4:$O$10,MATCH(E197,Listas!$N$4:$N$10,0)),0))</f>
        <v/>
      </c>
      <c r="H197" s="22" t="str">
        <f aca="false">IF(OR(F197="",G197=""),"",F197*G197)</f>
        <v/>
      </c>
      <c r="I197" s="1"/>
      <c r="J197" s="1"/>
      <c r="K197" s="25"/>
      <c r="L197" s="35" t="str">
        <f aca="true">IF(K197="","",IF(LEFT(E197,7)="Fechado","Encerrada",IF(K197&lt;TODAY(),"Atrasada",IF(K197-TODAY()&lt;=3,"Esta semana","No prazo"))))</f>
        <v/>
      </c>
      <c r="M197" s="25"/>
    </row>
    <row r="198" customFormat="false" ht="15" hidden="false" customHeight="false" outlineLevel="0" collapsed="false">
      <c r="A198" s="1"/>
      <c r="B198" s="33" t="str">
        <f aca="false">IF(A198="","",IFERROR(INDEX(CRM_Contatos!$B$5:$B$304,MATCH(A198,CRM_Contatos!$A$5:$A$304,0)),"ID não encontrado"))</f>
        <v/>
      </c>
      <c r="C198" s="1"/>
      <c r="D198" s="1"/>
      <c r="E198" s="1"/>
      <c r="F198" s="21"/>
      <c r="G198" s="34" t="str">
        <f aca="false">IF(E198="","",IFERROR(INDEX(Listas!$O$4:$O$10,MATCH(E198,Listas!$N$4:$N$10,0)),0))</f>
        <v/>
      </c>
      <c r="H198" s="22" t="str">
        <f aca="false">IF(OR(F198="",G198=""),"",F198*G198)</f>
        <v/>
      </c>
      <c r="I198" s="1"/>
      <c r="J198" s="1"/>
      <c r="K198" s="25"/>
      <c r="L198" s="35" t="str">
        <f aca="true">IF(K198="","",IF(LEFT(E198,7)="Fechado","Encerrada",IF(K198&lt;TODAY(),"Atrasada",IF(K198-TODAY()&lt;=3,"Esta semana","No prazo"))))</f>
        <v/>
      </c>
      <c r="M198" s="25"/>
    </row>
    <row r="199" customFormat="false" ht="15" hidden="false" customHeight="false" outlineLevel="0" collapsed="false">
      <c r="A199" s="1"/>
      <c r="B199" s="33" t="str">
        <f aca="false">IF(A199="","",IFERROR(INDEX(CRM_Contatos!$B$5:$B$304,MATCH(A199,CRM_Contatos!$A$5:$A$304,0)),"ID não encontrado"))</f>
        <v/>
      </c>
      <c r="C199" s="1"/>
      <c r="D199" s="1"/>
      <c r="E199" s="1"/>
      <c r="F199" s="21"/>
      <c r="G199" s="34" t="str">
        <f aca="false">IF(E199="","",IFERROR(INDEX(Listas!$O$4:$O$10,MATCH(E199,Listas!$N$4:$N$10,0)),0))</f>
        <v/>
      </c>
      <c r="H199" s="22" t="str">
        <f aca="false">IF(OR(F199="",G199=""),"",F199*G199)</f>
        <v/>
      </c>
      <c r="I199" s="1"/>
      <c r="J199" s="1"/>
      <c r="K199" s="25"/>
      <c r="L199" s="35" t="str">
        <f aca="true">IF(K199="","",IF(LEFT(E199,7)="Fechado","Encerrada",IF(K199&lt;TODAY(),"Atrasada",IF(K199-TODAY()&lt;=3,"Esta semana","No prazo"))))</f>
        <v/>
      </c>
      <c r="M199" s="25"/>
    </row>
    <row r="200" customFormat="false" ht="15" hidden="false" customHeight="false" outlineLevel="0" collapsed="false">
      <c r="A200" s="1"/>
      <c r="B200" s="33" t="str">
        <f aca="false">IF(A200="","",IFERROR(INDEX(CRM_Contatos!$B$5:$B$304,MATCH(A200,CRM_Contatos!$A$5:$A$304,0)),"ID não encontrado"))</f>
        <v/>
      </c>
      <c r="C200" s="1"/>
      <c r="D200" s="1"/>
      <c r="E200" s="1"/>
      <c r="F200" s="21"/>
      <c r="G200" s="34" t="str">
        <f aca="false">IF(E200="","",IFERROR(INDEX(Listas!$O$4:$O$10,MATCH(E200,Listas!$N$4:$N$10,0)),0))</f>
        <v/>
      </c>
      <c r="H200" s="22" t="str">
        <f aca="false">IF(OR(F200="",G200=""),"",F200*G200)</f>
        <v/>
      </c>
      <c r="I200" s="1"/>
      <c r="J200" s="1"/>
      <c r="K200" s="25"/>
      <c r="L200" s="35" t="str">
        <f aca="true">IF(K200="","",IF(LEFT(E200,7)="Fechado","Encerrada",IF(K200&lt;TODAY(),"Atrasada",IF(K200-TODAY()&lt;=3,"Esta semana","No prazo"))))</f>
        <v/>
      </c>
      <c r="M200" s="25"/>
    </row>
    <row r="201" customFormat="false" ht="15" hidden="false" customHeight="false" outlineLevel="0" collapsed="false">
      <c r="A201" s="1"/>
      <c r="B201" s="33" t="str">
        <f aca="false">IF(A201="","",IFERROR(INDEX(CRM_Contatos!$B$5:$B$304,MATCH(A201,CRM_Contatos!$A$5:$A$304,0)),"ID não encontrado"))</f>
        <v/>
      </c>
      <c r="C201" s="1"/>
      <c r="D201" s="1"/>
      <c r="E201" s="1"/>
      <c r="F201" s="21"/>
      <c r="G201" s="34" t="str">
        <f aca="false">IF(E201="","",IFERROR(INDEX(Listas!$O$4:$O$10,MATCH(E201,Listas!$N$4:$N$10,0)),0))</f>
        <v/>
      </c>
      <c r="H201" s="22" t="str">
        <f aca="false">IF(OR(F201="",G201=""),"",F201*G201)</f>
        <v/>
      </c>
      <c r="I201" s="1"/>
      <c r="J201" s="1"/>
      <c r="K201" s="25"/>
      <c r="L201" s="35" t="str">
        <f aca="true">IF(K201="","",IF(LEFT(E201,7)="Fechado","Encerrada",IF(K201&lt;TODAY(),"Atrasada",IF(K201-TODAY()&lt;=3,"Esta semana","No prazo"))))</f>
        <v/>
      </c>
      <c r="M201" s="25"/>
    </row>
    <row r="202" customFormat="false" ht="15" hidden="false" customHeight="false" outlineLevel="0" collapsed="false">
      <c r="A202" s="1"/>
      <c r="B202" s="33" t="str">
        <f aca="false">IF(A202="","",IFERROR(INDEX(CRM_Contatos!$B$5:$B$304,MATCH(A202,CRM_Contatos!$A$5:$A$304,0)),"ID não encontrado"))</f>
        <v/>
      </c>
      <c r="C202" s="1"/>
      <c r="D202" s="1"/>
      <c r="E202" s="1"/>
      <c r="F202" s="21"/>
      <c r="G202" s="34" t="str">
        <f aca="false">IF(E202="","",IFERROR(INDEX(Listas!$O$4:$O$10,MATCH(E202,Listas!$N$4:$N$10,0)),0))</f>
        <v/>
      </c>
      <c r="H202" s="22" t="str">
        <f aca="false">IF(OR(F202="",G202=""),"",F202*G202)</f>
        <v/>
      </c>
      <c r="I202" s="1"/>
      <c r="J202" s="1"/>
      <c r="K202" s="25"/>
      <c r="L202" s="35" t="str">
        <f aca="true">IF(K202="","",IF(LEFT(E202,7)="Fechado","Encerrada",IF(K202&lt;TODAY(),"Atrasada",IF(K202-TODAY()&lt;=3,"Esta semana","No prazo"))))</f>
        <v/>
      </c>
      <c r="M202" s="25"/>
    </row>
    <row r="203" customFormat="false" ht="15" hidden="false" customHeight="false" outlineLevel="0" collapsed="false">
      <c r="A203" s="1"/>
      <c r="B203" s="33" t="str">
        <f aca="false">IF(A203="","",IFERROR(INDEX(CRM_Contatos!$B$5:$B$304,MATCH(A203,CRM_Contatos!$A$5:$A$304,0)),"ID não encontrado"))</f>
        <v/>
      </c>
      <c r="C203" s="1"/>
      <c r="D203" s="1"/>
      <c r="E203" s="1"/>
      <c r="F203" s="21"/>
      <c r="G203" s="34" t="str">
        <f aca="false">IF(E203="","",IFERROR(INDEX(Listas!$O$4:$O$10,MATCH(E203,Listas!$N$4:$N$10,0)),0))</f>
        <v/>
      </c>
      <c r="H203" s="22" t="str">
        <f aca="false">IF(OR(F203="",G203=""),"",F203*G203)</f>
        <v/>
      </c>
      <c r="I203" s="1"/>
      <c r="J203" s="1"/>
      <c r="K203" s="25"/>
      <c r="L203" s="35" t="str">
        <f aca="true">IF(K203="","",IF(LEFT(E203,7)="Fechado","Encerrada",IF(K203&lt;TODAY(),"Atrasada",IF(K203-TODAY()&lt;=3,"Esta semana","No prazo"))))</f>
        <v/>
      </c>
      <c r="M203" s="25"/>
    </row>
    <row r="204" customFormat="false" ht="15" hidden="false" customHeight="false" outlineLevel="0" collapsed="false">
      <c r="A204" s="1"/>
      <c r="B204" s="33" t="str">
        <f aca="false">IF(A204="","",IFERROR(INDEX(CRM_Contatos!$B$5:$B$304,MATCH(A204,CRM_Contatos!$A$5:$A$304,0)),"ID não encontrado"))</f>
        <v/>
      </c>
      <c r="C204" s="1"/>
      <c r="D204" s="1"/>
      <c r="E204" s="1"/>
      <c r="F204" s="21"/>
      <c r="G204" s="34" t="str">
        <f aca="false">IF(E204="","",IFERROR(INDEX(Listas!$O$4:$O$10,MATCH(E204,Listas!$N$4:$N$10,0)),0))</f>
        <v/>
      </c>
      <c r="H204" s="22" t="str">
        <f aca="false">IF(OR(F204="",G204=""),"",F204*G204)</f>
        <v/>
      </c>
      <c r="I204" s="1"/>
      <c r="J204" s="1"/>
      <c r="K204" s="25"/>
      <c r="L204" s="35" t="str">
        <f aca="true">IF(K204="","",IF(LEFT(E204,7)="Fechado","Encerrada",IF(K204&lt;TODAY(),"Atrasada",IF(K204-TODAY()&lt;=3,"Esta semana","No prazo"))))</f>
        <v/>
      </c>
      <c r="M204" s="25"/>
    </row>
    <row r="205" customFormat="false" ht="15" hidden="false" customHeight="false" outlineLevel="0" collapsed="false">
      <c r="A205" s="1"/>
      <c r="B205" s="33" t="str">
        <f aca="false">IF(A205="","",IFERROR(INDEX(CRM_Contatos!$B$5:$B$304,MATCH(A205,CRM_Contatos!$A$5:$A$304,0)),"ID não encontrado"))</f>
        <v/>
      </c>
      <c r="C205" s="1"/>
      <c r="D205" s="1"/>
      <c r="E205" s="1"/>
      <c r="F205" s="21"/>
      <c r="G205" s="34" t="str">
        <f aca="false">IF(E205="","",IFERROR(INDEX(Listas!$O$4:$O$10,MATCH(E205,Listas!$N$4:$N$10,0)),0))</f>
        <v/>
      </c>
      <c r="H205" s="22" t="str">
        <f aca="false">IF(OR(F205="",G205=""),"",F205*G205)</f>
        <v/>
      </c>
      <c r="I205" s="1"/>
      <c r="J205" s="1"/>
      <c r="K205" s="25"/>
      <c r="L205" s="35" t="str">
        <f aca="true">IF(K205="","",IF(LEFT(E205,7)="Fechado","Encerrada",IF(K205&lt;TODAY(),"Atrasada",IF(K205-TODAY()&lt;=3,"Esta semana","No prazo"))))</f>
        <v/>
      </c>
      <c r="M205" s="25"/>
    </row>
    <row r="206" customFormat="false" ht="15" hidden="false" customHeight="false" outlineLevel="0" collapsed="false">
      <c r="A206" s="1"/>
      <c r="B206" s="33" t="str">
        <f aca="false">IF(A206="","",IFERROR(INDEX(CRM_Contatos!$B$5:$B$304,MATCH(A206,CRM_Contatos!$A$5:$A$304,0)),"ID não encontrado"))</f>
        <v/>
      </c>
      <c r="C206" s="1"/>
      <c r="D206" s="1"/>
      <c r="E206" s="1"/>
      <c r="F206" s="21"/>
      <c r="G206" s="34" t="str">
        <f aca="false">IF(E206="","",IFERROR(INDEX(Listas!$O$4:$O$10,MATCH(E206,Listas!$N$4:$N$10,0)),0))</f>
        <v/>
      </c>
      <c r="H206" s="22" t="str">
        <f aca="false">IF(OR(F206="",G206=""),"",F206*G206)</f>
        <v/>
      </c>
      <c r="I206" s="1"/>
      <c r="J206" s="1"/>
      <c r="K206" s="25"/>
      <c r="L206" s="35" t="str">
        <f aca="true">IF(K206="","",IF(LEFT(E206,7)="Fechado","Encerrada",IF(K206&lt;TODAY(),"Atrasada",IF(K206-TODAY()&lt;=3,"Esta semana","No prazo"))))</f>
        <v/>
      </c>
      <c r="M206" s="25"/>
    </row>
    <row r="207" customFormat="false" ht="15" hidden="false" customHeight="false" outlineLevel="0" collapsed="false">
      <c r="A207" s="1"/>
      <c r="B207" s="33" t="str">
        <f aca="false">IF(A207="","",IFERROR(INDEX(CRM_Contatos!$B$5:$B$304,MATCH(A207,CRM_Contatos!$A$5:$A$304,0)),"ID não encontrado"))</f>
        <v/>
      </c>
      <c r="C207" s="1"/>
      <c r="D207" s="1"/>
      <c r="E207" s="1"/>
      <c r="F207" s="21"/>
      <c r="G207" s="34" t="str">
        <f aca="false">IF(E207="","",IFERROR(INDEX(Listas!$O$4:$O$10,MATCH(E207,Listas!$N$4:$N$10,0)),0))</f>
        <v/>
      </c>
      <c r="H207" s="22" t="str">
        <f aca="false">IF(OR(F207="",G207=""),"",F207*G207)</f>
        <v/>
      </c>
      <c r="I207" s="1"/>
      <c r="J207" s="1"/>
      <c r="K207" s="25"/>
      <c r="L207" s="35" t="str">
        <f aca="true">IF(K207="","",IF(LEFT(E207,7)="Fechado","Encerrada",IF(K207&lt;TODAY(),"Atrasada",IF(K207-TODAY()&lt;=3,"Esta semana","No prazo"))))</f>
        <v/>
      </c>
      <c r="M207" s="25"/>
    </row>
    <row r="208" customFormat="false" ht="15" hidden="false" customHeight="false" outlineLevel="0" collapsed="false">
      <c r="A208" s="1"/>
      <c r="B208" s="33" t="str">
        <f aca="false">IF(A208="","",IFERROR(INDEX(CRM_Contatos!$B$5:$B$304,MATCH(A208,CRM_Contatos!$A$5:$A$304,0)),"ID não encontrado"))</f>
        <v/>
      </c>
      <c r="C208" s="1"/>
      <c r="D208" s="1"/>
      <c r="E208" s="1"/>
      <c r="F208" s="21"/>
      <c r="G208" s="34" t="str">
        <f aca="false">IF(E208="","",IFERROR(INDEX(Listas!$O$4:$O$10,MATCH(E208,Listas!$N$4:$N$10,0)),0))</f>
        <v/>
      </c>
      <c r="H208" s="22" t="str">
        <f aca="false">IF(OR(F208="",G208=""),"",F208*G208)</f>
        <v/>
      </c>
      <c r="I208" s="1"/>
      <c r="J208" s="1"/>
      <c r="K208" s="25"/>
      <c r="L208" s="35" t="str">
        <f aca="true">IF(K208="","",IF(LEFT(E208,7)="Fechado","Encerrada",IF(K208&lt;TODAY(),"Atrasada",IF(K208-TODAY()&lt;=3,"Esta semana","No prazo"))))</f>
        <v/>
      </c>
      <c r="M208" s="25"/>
    </row>
    <row r="209" customFormat="false" ht="15" hidden="false" customHeight="false" outlineLevel="0" collapsed="false">
      <c r="A209" s="1"/>
      <c r="B209" s="33" t="str">
        <f aca="false">IF(A209="","",IFERROR(INDEX(CRM_Contatos!$B$5:$B$304,MATCH(A209,CRM_Contatos!$A$5:$A$304,0)),"ID não encontrado"))</f>
        <v/>
      </c>
      <c r="C209" s="1"/>
      <c r="D209" s="1"/>
      <c r="E209" s="1"/>
      <c r="F209" s="21"/>
      <c r="G209" s="34" t="str">
        <f aca="false">IF(E209="","",IFERROR(INDEX(Listas!$O$4:$O$10,MATCH(E209,Listas!$N$4:$N$10,0)),0))</f>
        <v/>
      </c>
      <c r="H209" s="22" t="str">
        <f aca="false">IF(OR(F209="",G209=""),"",F209*G209)</f>
        <v/>
      </c>
      <c r="I209" s="1"/>
      <c r="J209" s="1"/>
      <c r="K209" s="25"/>
      <c r="L209" s="35" t="str">
        <f aca="true">IF(K209="","",IF(LEFT(E209,7)="Fechado","Encerrada",IF(K209&lt;TODAY(),"Atrasada",IF(K209-TODAY()&lt;=3,"Esta semana","No prazo"))))</f>
        <v/>
      </c>
      <c r="M209" s="25"/>
    </row>
    <row r="210" customFormat="false" ht="15" hidden="false" customHeight="false" outlineLevel="0" collapsed="false">
      <c r="A210" s="1"/>
      <c r="B210" s="33" t="str">
        <f aca="false">IF(A210="","",IFERROR(INDEX(CRM_Contatos!$B$5:$B$304,MATCH(A210,CRM_Contatos!$A$5:$A$304,0)),"ID não encontrado"))</f>
        <v/>
      </c>
      <c r="C210" s="1"/>
      <c r="D210" s="1"/>
      <c r="E210" s="1"/>
      <c r="F210" s="21"/>
      <c r="G210" s="34" t="str">
        <f aca="false">IF(E210="","",IFERROR(INDEX(Listas!$O$4:$O$10,MATCH(E210,Listas!$N$4:$N$10,0)),0))</f>
        <v/>
      </c>
      <c r="H210" s="22" t="str">
        <f aca="false">IF(OR(F210="",G210=""),"",F210*G210)</f>
        <v/>
      </c>
      <c r="I210" s="1"/>
      <c r="J210" s="1"/>
      <c r="K210" s="25"/>
      <c r="L210" s="35" t="str">
        <f aca="true">IF(K210="","",IF(LEFT(E210,7)="Fechado","Encerrada",IF(K210&lt;TODAY(),"Atrasada",IF(K210-TODAY()&lt;=3,"Esta semana","No prazo"))))</f>
        <v/>
      </c>
      <c r="M210" s="25"/>
    </row>
    <row r="211" customFormat="false" ht="15" hidden="false" customHeight="false" outlineLevel="0" collapsed="false">
      <c r="A211" s="1"/>
      <c r="B211" s="33" t="str">
        <f aca="false">IF(A211="","",IFERROR(INDEX(CRM_Contatos!$B$5:$B$304,MATCH(A211,CRM_Contatos!$A$5:$A$304,0)),"ID não encontrado"))</f>
        <v/>
      </c>
      <c r="C211" s="1"/>
      <c r="D211" s="1"/>
      <c r="E211" s="1"/>
      <c r="F211" s="21"/>
      <c r="G211" s="34" t="str">
        <f aca="false">IF(E211="","",IFERROR(INDEX(Listas!$O$4:$O$10,MATCH(E211,Listas!$N$4:$N$10,0)),0))</f>
        <v/>
      </c>
      <c r="H211" s="22" t="str">
        <f aca="false">IF(OR(F211="",G211=""),"",F211*G211)</f>
        <v/>
      </c>
      <c r="I211" s="1"/>
      <c r="J211" s="1"/>
      <c r="K211" s="25"/>
      <c r="L211" s="35" t="str">
        <f aca="true">IF(K211="","",IF(LEFT(E211,7)="Fechado","Encerrada",IF(K211&lt;TODAY(),"Atrasada",IF(K211-TODAY()&lt;=3,"Esta semana","No prazo"))))</f>
        <v/>
      </c>
      <c r="M211" s="25"/>
    </row>
    <row r="212" customFormat="false" ht="15" hidden="false" customHeight="false" outlineLevel="0" collapsed="false">
      <c r="A212" s="1"/>
      <c r="B212" s="33" t="str">
        <f aca="false">IF(A212="","",IFERROR(INDEX(CRM_Contatos!$B$5:$B$304,MATCH(A212,CRM_Contatos!$A$5:$A$304,0)),"ID não encontrado"))</f>
        <v/>
      </c>
      <c r="C212" s="1"/>
      <c r="D212" s="1"/>
      <c r="E212" s="1"/>
      <c r="F212" s="21"/>
      <c r="G212" s="34" t="str">
        <f aca="false">IF(E212="","",IFERROR(INDEX(Listas!$O$4:$O$10,MATCH(E212,Listas!$N$4:$N$10,0)),0))</f>
        <v/>
      </c>
      <c r="H212" s="22" t="str">
        <f aca="false">IF(OR(F212="",G212=""),"",F212*G212)</f>
        <v/>
      </c>
      <c r="I212" s="1"/>
      <c r="J212" s="1"/>
      <c r="K212" s="25"/>
      <c r="L212" s="35" t="str">
        <f aca="true">IF(K212="","",IF(LEFT(E212,7)="Fechado","Encerrada",IF(K212&lt;TODAY(),"Atrasada",IF(K212-TODAY()&lt;=3,"Esta semana","No prazo"))))</f>
        <v/>
      </c>
      <c r="M212" s="25"/>
    </row>
    <row r="213" customFormat="false" ht="15" hidden="false" customHeight="false" outlineLevel="0" collapsed="false">
      <c r="A213" s="1"/>
      <c r="B213" s="33" t="str">
        <f aca="false">IF(A213="","",IFERROR(INDEX(CRM_Contatos!$B$5:$B$304,MATCH(A213,CRM_Contatos!$A$5:$A$304,0)),"ID não encontrado"))</f>
        <v/>
      </c>
      <c r="C213" s="1"/>
      <c r="D213" s="1"/>
      <c r="E213" s="1"/>
      <c r="F213" s="21"/>
      <c r="G213" s="34" t="str">
        <f aca="false">IF(E213="","",IFERROR(INDEX(Listas!$O$4:$O$10,MATCH(E213,Listas!$N$4:$N$10,0)),0))</f>
        <v/>
      </c>
      <c r="H213" s="22" t="str">
        <f aca="false">IF(OR(F213="",G213=""),"",F213*G213)</f>
        <v/>
      </c>
      <c r="I213" s="1"/>
      <c r="J213" s="1"/>
      <c r="K213" s="25"/>
      <c r="L213" s="35" t="str">
        <f aca="true">IF(K213="","",IF(LEFT(E213,7)="Fechado","Encerrada",IF(K213&lt;TODAY(),"Atrasada",IF(K213-TODAY()&lt;=3,"Esta semana","No prazo"))))</f>
        <v/>
      </c>
      <c r="M213" s="25"/>
    </row>
    <row r="214" customFormat="false" ht="15" hidden="false" customHeight="false" outlineLevel="0" collapsed="false">
      <c r="A214" s="1"/>
      <c r="B214" s="33" t="str">
        <f aca="false">IF(A214="","",IFERROR(INDEX(CRM_Contatos!$B$5:$B$304,MATCH(A214,CRM_Contatos!$A$5:$A$304,0)),"ID não encontrado"))</f>
        <v/>
      </c>
      <c r="C214" s="1"/>
      <c r="D214" s="1"/>
      <c r="E214" s="1"/>
      <c r="F214" s="21"/>
      <c r="G214" s="34" t="str">
        <f aca="false">IF(E214="","",IFERROR(INDEX(Listas!$O$4:$O$10,MATCH(E214,Listas!$N$4:$N$10,0)),0))</f>
        <v/>
      </c>
      <c r="H214" s="22" t="str">
        <f aca="false">IF(OR(F214="",G214=""),"",F214*G214)</f>
        <v/>
      </c>
      <c r="I214" s="1"/>
      <c r="J214" s="1"/>
      <c r="K214" s="25"/>
      <c r="L214" s="35" t="str">
        <f aca="true">IF(K214="","",IF(LEFT(E214,7)="Fechado","Encerrada",IF(K214&lt;TODAY(),"Atrasada",IF(K214-TODAY()&lt;=3,"Esta semana","No prazo"))))</f>
        <v/>
      </c>
      <c r="M214" s="25"/>
    </row>
    <row r="215" customFormat="false" ht="15" hidden="false" customHeight="false" outlineLevel="0" collapsed="false">
      <c r="A215" s="1"/>
      <c r="B215" s="33" t="str">
        <f aca="false">IF(A215="","",IFERROR(INDEX(CRM_Contatos!$B$5:$B$304,MATCH(A215,CRM_Contatos!$A$5:$A$304,0)),"ID não encontrado"))</f>
        <v/>
      </c>
      <c r="C215" s="1"/>
      <c r="D215" s="1"/>
      <c r="E215" s="1"/>
      <c r="F215" s="21"/>
      <c r="G215" s="34" t="str">
        <f aca="false">IF(E215="","",IFERROR(INDEX(Listas!$O$4:$O$10,MATCH(E215,Listas!$N$4:$N$10,0)),0))</f>
        <v/>
      </c>
      <c r="H215" s="22" t="str">
        <f aca="false">IF(OR(F215="",G215=""),"",F215*G215)</f>
        <v/>
      </c>
      <c r="I215" s="1"/>
      <c r="J215" s="1"/>
      <c r="K215" s="25"/>
      <c r="L215" s="35" t="str">
        <f aca="true">IF(K215="","",IF(LEFT(E215,7)="Fechado","Encerrada",IF(K215&lt;TODAY(),"Atrasada",IF(K215-TODAY()&lt;=3,"Esta semana","No prazo"))))</f>
        <v/>
      </c>
      <c r="M215" s="25"/>
    </row>
    <row r="216" customFormat="false" ht="15" hidden="false" customHeight="false" outlineLevel="0" collapsed="false">
      <c r="A216" s="1"/>
      <c r="B216" s="33" t="str">
        <f aca="false">IF(A216="","",IFERROR(INDEX(CRM_Contatos!$B$5:$B$304,MATCH(A216,CRM_Contatos!$A$5:$A$304,0)),"ID não encontrado"))</f>
        <v/>
      </c>
      <c r="C216" s="1"/>
      <c r="D216" s="1"/>
      <c r="E216" s="1"/>
      <c r="F216" s="21"/>
      <c r="G216" s="34" t="str">
        <f aca="false">IF(E216="","",IFERROR(INDEX(Listas!$O$4:$O$10,MATCH(E216,Listas!$N$4:$N$10,0)),0))</f>
        <v/>
      </c>
      <c r="H216" s="22" t="str">
        <f aca="false">IF(OR(F216="",G216=""),"",F216*G216)</f>
        <v/>
      </c>
      <c r="I216" s="1"/>
      <c r="J216" s="1"/>
      <c r="K216" s="25"/>
      <c r="L216" s="35" t="str">
        <f aca="true">IF(K216="","",IF(LEFT(E216,7)="Fechado","Encerrada",IF(K216&lt;TODAY(),"Atrasada",IF(K216-TODAY()&lt;=3,"Esta semana","No prazo"))))</f>
        <v/>
      </c>
      <c r="M216" s="25"/>
    </row>
    <row r="217" customFormat="false" ht="15" hidden="false" customHeight="false" outlineLevel="0" collapsed="false">
      <c r="A217" s="1"/>
      <c r="B217" s="33" t="str">
        <f aca="false">IF(A217="","",IFERROR(INDEX(CRM_Contatos!$B$5:$B$304,MATCH(A217,CRM_Contatos!$A$5:$A$304,0)),"ID não encontrado"))</f>
        <v/>
      </c>
      <c r="C217" s="1"/>
      <c r="D217" s="1"/>
      <c r="E217" s="1"/>
      <c r="F217" s="21"/>
      <c r="G217" s="34" t="str">
        <f aca="false">IF(E217="","",IFERROR(INDEX(Listas!$O$4:$O$10,MATCH(E217,Listas!$N$4:$N$10,0)),0))</f>
        <v/>
      </c>
      <c r="H217" s="22" t="str">
        <f aca="false">IF(OR(F217="",G217=""),"",F217*G217)</f>
        <v/>
      </c>
      <c r="I217" s="1"/>
      <c r="J217" s="1"/>
      <c r="K217" s="25"/>
      <c r="L217" s="35" t="str">
        <f aca="true">IF(K217="","",IF(LEFT(E217,7)="Fechado","Encerrada",IF(K217&lt;TODAY(),"Atrasada",IF(K217-TODAY()&lt;=3,"Esta semana","No prazo"))))</f>
        <v/>
      </c>
      <c r="M217" s="25"/>
    </row>
    <row r="218" customFormat="false" ht="15" hidden="false" customHeight="false" outlineLevel="0" collapsed="false">
      <c r="A218" s="1"/>
      <c r="B218" s="33" t="str">
        <f aca="false">IF(A218="","",IFERROR(INDEX(CRM_Contatos!$B$5:$B$304,MATCH(A218,CRM_Contatos!$A$5:$A$304,0)),"ID não encontrado"))</f>
        <v/>
      </c>
      <c r="C218" s="1"/>
      <c r="D218" s="1"/>
      <c r="E218" s="1"/>
      <c r="F218" s="21"/>
      <c r="G218" s="34" t="str">
        <f aca="false">IF(E218="","",IFERROR(INDEX(Listas!$O$4:$O$10,MATCH(E218,Listas!$N$4:$N$10,0)),0))</f>
        <v/>
      </c>
      <c r="H218" s="22" t="str">
        <f aca="false">IF(OR(F218="",G218=""),"",F218*G218)</f>
        <v/>
      </c>
      <c r="I218" s="1"/>
      <c r="J218" s="1"/>
      <c r="K218" s="25"/>
      <c r="L218" s="35" t="str">
        <f aca="true">IF(K218="","",IF(LEFT(E218,7)="Fechado","Encerrada",IF(K218&lt;TODAY(),"Atrasada",IF(K218-TODAY()&lt;=3,"Esta semana","No prazo"))))</f>
        <v/>
      </c>
      <c r="M218" s="25"/>
    </row>
    <row r="219" customFormat="false" ht="15" hidden="false" customHeight="false" outlineLevel="0" collapsed="false">
      <c r="A219" s="1"/>
      <c r="B219" s="33" t="str">
        <f aca="false">IF(A219="","",IFERROR(INDEX(CRM_Contatos!$B$5:$B$304,MATCH(A219,CRM_Contatos!$A$5:$A$304,0)),"ID não encontrado"))</f>
        <v/>
      </c>
      <c r="C219" s="1"/>
      <c r="D219" s="1"/>
      <c r="E219" s="1"/>
      <c r="F219" s="21"/>
      <c r="G219" s="34" t="str">
        <f aca="false">IF(E219="","",IFERROR(INDEX(Listas!$O$4:$O$10,MATCH(E219,Listas!$N$4:$N$10,0)),0))</f>
        <v/>
      </c>
      <c r="H219" s="22" t="str">
        <f aca="false">IF(OR(F219="",G219=""),"",F219*G219)</f>
        <v/>
      </c>
      <c r="I219" s="1"/>
      <c r="J219" s="1"/>
      <c r="K219" s="25"/>
      <c r="L219" s="35" t="str">
        <f aca="true">IF(K219="","",IF(LEFT(E219,7)="Fechado","Encerrada",IF(K219&lt;TODAY(),"Atrasada",IF(K219-TODAY()&lt;=3,"Esta semana","No prazo"))))</f>
        <v/>
      </c>
      <c r="M219" s="25"/>
    </row>
    <row r="220" customFormat="false" ht="15" hidden="false" customHeight="false" outlineLevel="0" collapsed="false">
      <c r="A220" s="1"/>
      <c r="B220" s="33" t="str">
        <f aca="false">IF(A220="","",IFERROR(INDEX(CRM_Contatos!$B$5:$B$304,MATCH(A220,CRM_Contatos!$A$5:$A$304,0)),"ID não encontrado"))</f>
        <v/>
      </c>
      <c r="C220" s="1"/>
      <c r="D220" s="1"/>
      <c r="E220" s="1"/>
      <c r="F220" s="21"/>
      <c r="G220" s="34" t="str">
        <f aca="false">IF(E220="","",IFERROR(INDEX(Listas!$O$4:$O$10,MATCH(E220,Listas!$N$4:$N$10,0)),0))</f>
        <v/>
      </c>
      <c r="H220" s="22" t="str">
        <f aca="false">IF(OR(F220="",G220=""),"",F220*G220)</f>
        <v/>
      </c>
      <c r="I220" s="1"/>
      <c r="J220" s="1"/>
      <c r="K220" s="25"/>
      <c r="L220" s="35" t="str">
        <f aca="true">IF(K220="","",IF(LEFT(E220,7)="Fechado","Encerrada",IF(K220&lt;TODAY(),"Atrasada",IF(K220-TODAY()&lt;=3,"Esta semana","No prazo"))))</f>
        <v/>
      </c>
      <c r="M220" s="25"/>
    </row>
    <row r="221" customFormat="false" ht="15" hidden="false" customHeight="false" outlineLevel="0" collapsed="false">
      <c r="A221" s="1"/>
      <c r="B221" s="33" t="str">
        <f aca="false">IF(A221="","",IFERROR(INDEX(CRM_Contatos!$B$5:$B$304,MATCH(A221,CRM_Contatos!$A$5:$A$304,0)),"ID não encontrado"))</f>
        <v/>
      </c>
      <c r="C221" s="1"/>
      <c r="D221" s="1"/>
      <c r="E221" s="1"/>
      <c r="F221" s="21"/>
      <c r="G221" s="34" t="str">
        <f aca="false">IF(E221="","",IFERROR(INDEX(Listas!$O$4:$O$10,MATCH(E221,Listas!$N$4:$N$10,0)),0))</f>
        <v/>
      </c>
      <c r="H221" s="22" t="str">
        <f aca="false">IF(OR(F221="",G221=""),"",F221*G221)</f>
        <v/>
      </c>
      <c r="I221" s="1"/>
      <c r="J221" s="1"/>
      <c r="K221" s="25"/>
      <c r="L221" s="35" t="str">
        <f aca="true">IF(K221="","",IF(LEFT(E221,7)="Fechado","Encerrada",IF(K221&lt;TODAY(),"Atrasada",IF(K221-TODAY()&lt;=3,"Esta semana","No prazo"))))</f>
        <v/>
      </c>
      <c r="M221" s="25"/>
    </row>
    <row r="222" customFormat="false" ht="15" hidden="false" customHeight="false" outlineLevel="0" collapsed="false">
      <c r="A222" s="1"/>
      <c r="B222" s="33" t="str">
        <f aca="false">IF(A222="","",IFERROR(INDEX(CRM_Contatos!$B$5:$B$304,MATCH(A222,CRM_Contatos!$A$5:$A$304,0)),"ID não encontrado"))</f>
        <v/>
      </c>
      <c r="C222" s="1"/>
      <c r="D222" s="1"/>
      <c r="E222" s="1"/>
      <c r="F222" s="21"/>
      <c r="G222" s="34" t="str">
        <f aca="false">IF(E222="","",IFERROR(INDEX(Listas!$O$4:$O$10,MATCH(E222,Listas!$N$4:$N$10,0)),0))</f>
        <v/>
      </c>
      <c r="H222" s="22" t="str">
        <f aca="false">IF(OR(F222="",G222=""),"",F222*G222)</f>
        <v/>
      </c>
      <c r="I222" s="1"/>
      <c r="J222" s="1"/>
      <c r="K222" s="25"/>
      <c r="L222" s="35" t="str">
        <f aca="true">IF(K222="","",IF(LEFT(E222,7)="Fechado","Encerrada",IF(K222&lt;TODAY(),"Atrasada",IF(K222-TODAY()&lt;=3,"Esta semana","No prazo"))))</f>
        <v/>
      </c>
      <c r="M222" s="25"/>
    </row>
    <row r="223" customFormat="false" ht="15" hidden="false" customHeight="false" outlineLevel="0" collapsed="false">
      <c r="A223" s="1"/>
      <c r="B223" s="33" t="str">
        <f aca="false">IF(A223="","",IFERROR(INDEX(CRM_Contatos!$B$5:$B$304,MATCH(A223,CRM_Contatos!$A$5:$A$304,0)),"ID não encontrado"))</f>
        <v/>
      </c>
      <c r="C223" s="1"/>
      <c r="D223" s="1"/>
      <c r="E223" s="1"/>
      <c r="F223" s="21"/>
      <c r="G223" s="34" t="str">
        <f aca="false">IF(E223="","",IFERROR(INDEX(Listas!$O$4:$O$10,MATCH(E223,Listas!$N$4:$N$10,0)),0))</f>
        <v/>
      </c>
      <c r="H223" s="22" t="str">
        <f aca="false">IF(OR(F223="",G223=""),"",F223*G223)</f>
        <v/>
      </c>
      <c r="I223" s="1"/>
      <c r="J223" s="1"/>
      <c r="K223" s="25"/>
      <c r="L223" s="35" t="str">
        <f aca="true">IF(K223="","",IF(LEFT(E223,7)="Fechado","Encerrada",IF(K223&lt;TODAY(),"Atrasada",IF(K223-TODAY()&lt;=3,"Esta semana","No prazo"))))</f>
        <v/>
      </c>
      <c r="M223" s="25"/>
    </row>
    <row r="224" customFormat="false" ht="15" hidden="false" customHeight="false" outlineLevel="0" collapsed="false">
      <c r="A224" s="1"/>
      <c r="B224" s="33" t="str">
        <f aca="false">IF(A224="","",IFERROR(INDEX(CRM_Contatos!$B$5:$B$304,MATCH(A224,CRM_Contatos!$A$5:$A$304,0)),"ID não encontrado"))</f>
        <v/>
      </c>
      <c r="C224" s="1"/>
      <c r="D224" s="1"/>
      <c r="E224" s="1"/>
      <c r="F224" s="21"/>
      <c r="G224" s="34" t="str">
        <f aca="false">IF(E224="","",IFERROR(INDEX(Listas!$O$4:$O$10,MATCH(E224,Listas!$N$4:$N$10,0)),0))</f>
        <v/>
      </c>
      <c r="H224" s="22" t="str">
        <f aca="false">IF(OR(F224="",G224=""),"",F224*G224)</f>
        <v/>
      </c>
      <c r="I224" s="1"/>
      <c r="J224" s="1"/>
      <c r="K224" s="25"/>
      <c r="L224" s="35" t="str">
        <f aca="true">IF(K224="","",IF(LEFT(E224,7)="Fechado","Encerrada",IF(K224&lt;TODAY(),"Atrasada",IF(K224-TODAY()&lt;=3,"Esta semana","No prazo"))))</f>
        <v/>
      </c>
      <c r="M224" s="25"/>
    </row>
    <row r="225" customFormat="false" ht="15" hidden="false" customHeight="false" outlineLevel="0" collapsed="false">
      <c r="A225" s="1"/>
      <c r="B225" s="33" t="str">
        <f aca="false">IF(A225="","",IFERROR(INDEX(CRM_Contatos!$B$5:$B$304,MATCH(A225,CRM_Contatos!$A$5:$A$304,0)),"ID não encontrado"))</f>
        <v/>
      </c>
      <c r="C225" s="1"/>
      <c r="D225" s="1"/>
      <c r="E225" s="1"/>
      <c r="F225" s="21"/>
      <c r="G225" s="34" t="str">
        <f aca="false">IF(E225="","",IFERROR(INDEX(Listas!$O$4:$O$10,MATCH(E225,Listas!$N$4:$N$10,0)),0))</f>
        <v/>
      </c>
      <c r="H225" s="22" t="str">
        <f aca="false">IF(OR(F225="",G225=""),"",F225*G225)</f>
        <v/>
      </c>
      <c r="I225" s="1"/>
      <c r="J225" s="1"/>
      <c r="K225" s="25"/>
      <c r="L225" s="35" t="str">
        <f aca="true">IF(K225="","",IF(LEFT(E225,7)="Fechado","Encerrada",IF(K225&lt;TODAY(),"Atrasada",IF(K225-TODAY()&lt;=3,"Esta semana","No prazo"))))</f>
        <v/>
      </c>
      <c r="M225" s="25"/>
    </row>
    <row r="226" customFormat="false" ht="15" hidden="false" customHeight="false" outlineLevel="0" collapsed="false">
      <c r="A226" s="1"/>
      <c r="B226" s="33" t="str">
        <f aca="false">IF(A226="","",IFERROR(INDEX(CRM_Contatos!$B$5:$B$304,MATCH(A226,CRM_Contatos!$A$5:$A$304,0)),"ID não encontrado"))</f>
        <v/>
      </c>
      <c r="C226" s="1"/>
      <c r="D226" s="1"/>
      <c r="E226" s="1"/>
      <c r="F226" s="21"/>
      <c r="G226" s="34" t="str">
        <f aca="false">IF(E226="","",IFERROR(INDEX(Listas!$O$4:$O$10,MATCH(E226,Listas!$N$4:$N$10,0)),0))</f>
        <v/>
      </c>
      <c r="H226" s="22" t="str">
        <f aca="false">IF(OR(F226="",G226=""),"",F226*G226)</f>
        <v/>
      </c>
      <c r="I226" s="1"/>
      <c r="J226" s="1"/>
      <c r="K226" s="25"/>
      <c r="L226" s="35" t="str">
        <f aca="true">IF(K226="","",IF(LEFT(E226,7)="Fechado","Encerrada",IF(K226&lt;TODAY(),"Atrasada",IF(K226-TODAY()&lt;=3,"Esta semana","No prazo"))))</f>
        <v/>
      </c>
      <c r="M226" s="25"/>
    </row>
    <row r="227" customFormat="false" ht="15" hidden="false" customHeight="false" outlineLevel="0" collapsed="false">
      <c r="A227" s="1"/>
      <c r="B227" s="33" t="str">
        <f aca="false">IF(A227="","",IFERROR(INDEX(CRM_Contatos!$B$5:$B$304,MATCH(A227,CRM_Contatos!$A$5:$A$304,0)),"ID não encontrado"))</f>
        <v/>
      </c>
      <c r="C227" s="1"/>
      <c r="D227" s="1"/>
      <c r="E227" s="1"/>
      <c r="F227" s="21"/>
      <c r="G227" s="34" t="str">
        <f aca="false">IF(E227="","",IFERROR(INDEX(Listas!$O$4:$O$10,MATCH(E227,Listas!$N$4:$N$10,0)),0))</f>
        <v/>
      </c>
      <c r="H227" s="22" t="str">
        <f aca="false">IF(OR(F227="",G227=""),"",F227*G227)</f>
        <v/>
      </c>
      <c r="I227" s="1"/>
      <c r="J227" s="1"/>
      <c r="K227" s="25"/>
      <c r="L227" s="35" t="str">
        <f aca="true">IF(K227="","",IF(LEFT(E227,7)="Fechado","Encerrada",IF(K227&lt;TODAY(),"Atrasada",IF(K227-TODAY()&lt;=3,"Esta semana","No prazo"))))</f>
        <v/>
      </c>
      <c r="M227" s="25"/>
    </row>
    <row r="228" customFormat="false" ht="15" hidden="false" customHeight="false" outlineLevel="0" collapsed="false">
      <c r="A228" s="1"/>
      <c r="B228" s="33" t="str">
        <f aca="false">IF(A228="","",IFERROR(INDEX(CRM_Contatos!$B$5:$B$304,MATCH(A228,CRM_Contatos!$A$5:$A$304,0)),"ID não encontrado"))</f>
        <v/>
      </c>
      <c r="C228" s="1"/>
      <c r="D228" s="1"/>
      <c r="E228" s="1"/>
      <c r="F228" s="21"/>
      <c r="G228" s="34" t="str">
        <f aca="false">IF(E228="","",IFERROR(INDEX(Listas!$O$4:$O$10,MATCH(E228,Listas!$N$4:$N$10,0)),0))</f>
        <v/>
      </c>
      <c r="H228" s="22" t="str">
        <f aca="false">IF(OR(F228="",G228=""),"",F228*G228)</f>
        <v/>
      </c>
      <c r="I228" s="1"/>
      <c r="J228" s="1"/>
      <c r="K228" s="25"/>
      <c r="L228" s="35" t="str">
        <f aca="true">IF(K228="","",IF(LEFT(E228,7)="Fechado","Encerrada",IF(K228&lt;TODAY(),"Atrasada",IF(K228-TODAY()&lt;=3,"Esta semana","No prazo"))))</f>
        <v/>
      </c>
      <c r="M228" s="25"/>
    </row>
    <row r="229" customFormat="false" ht="15" hidden="false" customHeight="false" outlineLevel="0" collapsed="false">
      <c r="A229" s="1"/>
      <c r="B229" s="33" t="str">
        <f aca="false">IF(A229="","",IFERROR(INDEX(CRM_Contatos!$B$5:$B$304,MATCH(A229,CRM_Contatos!$A$5:$A$304,0)),"ID não encontrado"))</f>
        <v/>
      </c>
      <c r="C229" s="1"/>
      <c r="D229" s="1"/>
      <c r="E229" s="1"/>
      <c r="F229" s="21"/>
      <c r="G229" s="34" t="str">
        <f aca="false">IF(E229="","",IFERROR(INDEX(Listas!$O$4:$O$10,MATCH(E229,Listas!$N$4:$N$10,0)),0))</f>
        <v/>
      </c>
      <c r="H229" s="22" t="str">
        <f aca="false">IF(OR(F229="",G229=""),"",F229*G229)</f>
        <v/>
      </c>
      <c r="I229" s="1"/>
      <c r="J229" s="1"/>
      <c r="K229" s="25"/>
      <c r="L229" s="35" t="str">
        <f aca="true">IF(K229="","",IF(LEFT(E229,7)="Fechado","Encerrada",IF(K229&lt;TODAY(),"Atrasada",IF(K229-TODAY()&lt;=3,"Esta semana","No prazo"))))</f>
        <v/>
      </c>
      <c r="M229" s="25"/>
    </row>
    <row r="230" customFormat="false" ht="15" hidden="false" customHeight="false" outlineLevel="0" collapsed="false">
      <c r="A230" s="1"/>
      <c r="B230" s="33" t="str">
        <f aca="false">IF(A230="","",IFERROR(INDEX(CRM_Contatos!$B$5:$B$304,MATCH(A230,CRM_Contatos!$A$5:$A$304,0)),"ID não encontrado"))</f>
        <v/>
      </c>
      <c r="C230" s="1"/>
      <c r="D230" s="1"/>
      <c r="E230" s="1"/>
      <c r="F230" s="21"/>
      <c r="G230" s="34" t="str">
        <f aca="false">IF(E230="","",IFERROR(INDEX(Listas!$O$4:$O$10,MATCH(E230,Listas!$N$4:$N$10,0)),0))</f>
        <v/>
      </c>
      <c r="H230" s="22" t="str">
        <f aca="false">IF(OR(F230="",G230=""),"",F230*G230)</f>
        <v/>
      </c>
      <c r="I230" s="1"/>
      <c r="J230" s="1"/>
      <c r="K230" s="25"/>
      <c r="L230" s="35" t="str">
        <f aca="true">IF(K230="","",IF(LEFT(E230,7)="Fechado","Encerrada",IF(K230&lt;TODAY(),"Atrasada",IF(K230-TODAY()&lt;=3,"Esta semana","No prazo"))))</f>
        <v/>
      </c>
      <c r="M230" s="25"/>
    </row>
    <row r="231" customFormat="false" ht="15" hidden="false" customHeight="false" outlineLevel="0" collapsed="false">
      <c r="A231" s="1"/>
      <c r="B231" s="33" t="str">
        <f aca="false">IF(A231="","",IFERROR(INDEX(CRM_Contatos!$B$5:$B$304,MATCH(A231,CRM_Contatos!$A$5:$A$304,0)),"ID não encontrado"))</f>
        <v/>
      </c>
      <c r="C231" s="1"/>
      <c r="D231" s="1"/>
      <c r="E231" s="1"/>
      <c r="F231" s="21"/>
      <c r="G231" s="34" t="str">
        <f aca="false">IF(E231="","",IFERROR(INDEX(Listas!$O$4:$O$10,MATCH(E231,Listas!$N$4:$N$10,0)),0))</f>
        <v/>
      </c>
      <c r="H231" s="22" t="str">
        <f aca="false">IF(OR(F231="",G231=""),"",F231*G231)</f>
        <v/>
      </c>
      <c r="I231" s="1"/>
      <c r="J231" s="1"/>
      <c r="K231" s="25"/>
      <c r="L231" s="35" t="str">
        <f aca="true">IF(K231="","",IF(LEFT(E231,7)="Fechado","Encerrada",IF(K231&lt;TODAY(),"Atrasada",IF(K231-TODAY()&lt;=3,"Esta semana","No prazo"))))</f>
        <v/>
      </c>
      <c r="M231" s="25"/>
    </row>
    <row r="232" customFormat="false" ht="15" hidden="false" customHeight="false" outlineLevel="0" collapsed="false">
      <c r="A232" s="1"/>
      <c r="B232" s="33" t="str">
        <f aca="false">IF(A232="","",IFERROR(INDEX(CRM_Contatos!$B$5:$B$304,MATCH(A232,CRM_Contatos!$A$5:$A$304,0)),"ID não encontrado"))</f>
        <v/>
      </c>
      <c r="C232" s="1"/>
      <c r="D232" s="1"/>
      <c r="E232" s="1"/>
      <c r="F232" s="21"/>
      <c r="G232" s="34" t="str">
        <f aca="false">IF(E232="","",IFERROR(INDEX(Listas!$O$4:$O$10,MATCH(E232,Listas!$N$4:$N$10,0)),0))</f>
        <v/>
      </c>
      <c r="H232" s="22" t="str">
        <f aca="false">IF(OR(F232="",G232=""),"",F232*G232)</f>
        <v/>
      </c>
      <c r="I232" s="1"/>
      <c r="J232" s="1"/>
      <c r="K232" s="25"/>
      <c r="L232" s="35" t="str">
        <f aca="true">IF(K232="","",IF(LEFT(E232,7)="Fechado","Encerrada",IF(K232&lt;TODAY(),"Atrasada",IF(K232-TODAY()&lt;=3,"Esta semana","No prazo"))))</f>
        <v/>
      </c>
      <c r="M232" s="25"/>
    </row>
    <row r="233" customFormat="false" ht="15" hidden="false" customHeight="false" outlineLevel="0" collapsed="false">
      <c r="A233" s="1"/>
      <c r="B233" s="33" t="str">
        <f aca="false">IF(A233="","",IFERROR(INDEX(CRM_Contatos!$B$5:$B$304,MATCH(A233,CRM_Contatos!$A$5:$A$304,0)),"ID não encontrado"))</f>
        <v/>
      </c>
      <c r="C233" s="1"/>
      <c r="D233" s="1"/>
      <c r="E233" s="1"/>
      <c r="F233" s="21"/>
      <c r="G233" s="34" t="str">
        <f aca="false">IF(E233="","",IFERROR(INDEX(Listas!$O$4:$O$10,MATCH(E233,Listas!$N$4:$N$10,0)),0))</f>
        <v/>
      </c>
      <c r="H233" s="22" t="str">
        <f aca="false">IF(OR(F233="",G233=""),"",F233*G233)</f>
        <v/>
      </c>
      <c r="I233" s="1"/>
      <c r="J233" s="1"/>
      <c r="K233" s="25"/>
      <c r="L233" s="35" t="str">
        <f aca="true">IF(K233="","",IF(LEFT(E233,7)="Fechado","Encerrada",IF(K233&lt;TODAY(),"Atrasada",IF(K233-TODAY()&lt;=3,"Esta semana","No prazo"))))</f>
        <v/>
      </c>
      <c r="M233" s="25"/>
    </row>
    <row r="234" customFormat="false" ht="15" hidden="false" customHeight="false" outlineLevel="0" collapsed="false">
      <c r="A234" s="1"/>
      <c r="B234" s="33" t="str">
        <f aca="false">IF(A234="","",IFERROR(INDEX(CRM_Contatos!$B$5:$B$304,MATCH(A234,CRM_Contatos!$A$5:$A$304,0)),"ID não encontrado"))</f>
        <v/>
      </c>
      <c r="C234" s="1"/>
      <c r="D234" s="1"/>
      <c r="E234" s="1"/>
      <c r="F234" s="21"/>
      <c r="G234" s="34" t="str">
        <f aca="false">IF(E234="","",IFERROR(INDEX(Listas!$O$4:$O$10,MATCH(E234,Listas!$N$4:$N$10,0)),0))</f>
        <v/>
      </c>
      <c r="H234" s="22" t="str">
        <f aca="false">IF(OR(F234="",G234=""),"",F234*G234)</f>
        <v/>
      </c>
      <c r="I234" s="1"/>
      <c r="J234" s="1"/>
      <c r="K234" s="25"/>
      <c r="L234" s="35" t="str">
        <f aca="true">IF(K234="","",IF(LEFT(E234,7)="Fechado","Encerrada",IF(K234&lt;TODAY(),"Atrasada",IF(K234-TODAY()&lt;=3,"Esta semana","No prazo"))))</f>
        <v/>
      </c>
      <c r="M234" s="25"/>
    </row>
    <row r="235" customFormat="false" ht="15" hidden="false" customHeight="false" outlineLevel="0" collapsed="false">
      <c r="A235" s="1"/>
      <c r="B235" s="33" t="str">
        <f aca="false">IF(A235="","",IFERROR(INDEX(CRM_Contatos!$B$5:$B$304,MATCH(A235,CRM_Contatos!$A$5:$A$304,0)),"ID não encontrado"))</f>
        <v/>
      </c>
      <c r="C235" s="1"/>
      <c r="D235" s="1"/>
      <c r="E235" s="1"/>
      <c r="F235" s="21"/>
      <c r="G235" s="34" t="str">
        <f aca="false">IF(E235="","",IFERROR(INDEX(Listas!$O$4:$O$10,MATCH(E235,Listas!$N$4:$N$10,0)),0))</f>
        <v/>
      </c>
      <c r="H235" s="22" t="str">
        <f aca="false">IF(OR(F235="",G235=""),"",F235*G235)</f>
        <v/>
      </c>
      <c r="I235" s="1"/>
      <c r="J235" s="1"/>
      <c r="K235" s="25"/>
      <c r="L235" s="35" t="str">
        <f aca="true">IF(K235="","",IF(LEFT(E235,7)="Fechado","Encerrada",IF(K235&lt;TODAY(),"Atrasada",IF(K235-TODAY()&lt;=3,"Esta semana","No prazo"))))</f>
        <v/>
      </c>
      <c r="M235" s="25"/>
    </row>
    <row r="236" customFormat="false" ht="15" hidden="false" customHeight="false" outlineLevel="0" collapsed="false">
      <c r="A236" s="1"/>
      <c r="B236" s="33" t="str">
        <f aca="false">IF(A236="","",IFERROR(INDEX(CRM_Contatos!$B$5:$B$304,MATCH(A236,CRM_Contatos!$A$5:$A$304,0)),"ID não encontrado"))</f>
        <v/>
      </c>
      <c r="C236" s="1"/>
      <c r="D236" s="1"/>
      <c r="E236" s="1"/>
      <c r="F236" s="21"/>
      <c r="G236" s="34" t="str">
        <f aca="false">IF(E236="","",IFERROR(INDEX(Listas!$O$4:$O$10,MATCH(E236,Listas!$N$4:$N$10,0)),0))</f>
        <v/>
      </c>
      <c r="H236" s="22" t="str">
        <f aca="false">IF(OR(F236="",G236=""),"",F236*G236)</f>
        <v/>
      </c>
      <c r="I236" s="1"/>
      <c r="J236" s="1"/>
      <c r="K236" s="25"/>
      <c r="L236" s="35" t="str">
        <f aca="true">IF(K236="","",IF(LEFT(E236,7)="Fechado","Encerrada",IF(K236&lt;TODAY(),"Atrasada",IF(K236-TODAY()&lt;=3,"Esta semana","No prazo"))))</f>
        <v/>
      </c>
      <c r="M236" s="25"/>
    </row>
    <row r="237" customFormat="false" ht="15" hidden="false" customHeight="false" outlineLevel="0" collapsed="false">
      <c r="A237" s="1"/>
      <c r="B237" s="33" t="str">
        <f aca="false">IF(A237="","",IFERROR(INDEX(CRM_Contatos!$B$5:$B$304,MATCH(A237,CRM_Contatos!$A$5:$A$304,0)),"ID não encontrado"))</f>
        <v/>
      </c>
      <c r="C237" s="1"/>
      <c r="D237" s="1"/>
      <c r="E237" s="1"/>
      <c r="F237" s="21"/>
      <c r="G237" s="34" t="str">
        <f aca="false">IF(E237="","",IFERROR(INDEX(Listas!$O$4:$O$10,MATCH(E237,Listas!$N$4:$N$10,0)),0))</f>
        <v/>
      </c>
      <c r="H237" s="22" t="str">
        <f aca="false">IF(OR(F237="",G237=""),"",F237*G237)</f>
        <v/>
      </c>
      <c r="I237" s="1"/>
      <c r="J237" s="1"/>
      <c r="K237" s="25"/>
      <c r="L237" s="35" t="str">
        <f aca="true">IF(K237="","",IF(LEFT(E237,7)="Fechado","Encerrada",IF(K237&lt;TODAY(),"Atrasada",IF(K237-TODAY()&lt;=3,"Esta semana","No prazo"))))</f>
        <v/>
      </c>
      <c r="M237" s="25"/>
    </row>
    <row r="238" customFormat="false" ht="15" hidden="false" customHeight="false" outlineLevel="0" collapsed="false">
      <c r="A238" s="1"/>
      <c r="B238" s="33" t="str">
        <f aca="false">IF(A238="","",IFERROR(INDEX(CRM_Contatos!$B$5:$B$304,MATCH(A238,CRM_Contatos!$A$5:$A$304,0)),"ID não encontrado"))</f>
        <v/>
      </c>
      <c r="C238" s="1"/>
      <c r="D238" s="1"/>
      <c r="E238" s="1"/>
      <c r="F238" s="21"/>
      <c r="G238" s="34" t="str">
        <f aca="false">IF(E238="","",IFERROR(INDEX(Listas!$O$4:$O$10,MATCH(E238,Listas!$N$4:$N$10,0)),0))</f>
        <v/>
      </c>
      <c r="H238" s="22" t="str">
        <f aca="false">IF(OR(F238="",G238=""),"",F238*G238)</f>
        <v/>
      </c>
      <c r="I238" s="1"/>
      <c r="J238" s="1"/>
      <c r="K238" s="25"/>
      <c r="L238" s="35" t="str">
        <f aca="true">IF(K238="","",IF(LEFT(E238,7)="Fechado","Encerrada",IF(K238&lt;TODAY(),"Atrasada",IF(K238-TODAY()&lt;=3,"Esta semana","No prazo"))))</f>
        <v/>
      </c>
      <c r="M238" s="25"/>
    </row>
    <row r="239" customFormat="false" ht="15" hidden="false" customHeight="false" outlineLevel="0" collapsed="false">
      <c r="A239" s="1"/>
      <c r="B239" s="33" t="str">
        <f aca="false">IF(A239="","",IFERROR(INDEX(CRM_Contatos!$B$5:$B$304,MATCH(A239,CRM_Contatos!$A$5:$A$304,0)),"ID não encontrado"))</f>
        <v/>
      </c>
      <c r="C239" s="1"/>
      <c r="D239" s="1"/>
      <c r="E239" s="1"/>
      <c r="F239" s="21"/>
      <c r="G239" s="34" t="str">
        <f aca="false">IF(E239="","",IFERROR(INDEX(Listas!$O$4:$O$10,MATCH(E239,Listas!$N$4:$N$10,0)),0))</f>
        <v/>
      </c>
      <c r="H239" s="22" t="str">
        <f aca="false">IF(OR(F239="",G239=""),"",F239*G239)</f>
        <v/>
      </c>
      <c r="I239" s="1"/>
      <c r="J239" s="1"/>
      <c r="K239" s="25"/>
      <c r="L239" s="35" t="str">
        <f aca="true">IF(K239="","",IF(LEFT(E239,7)="Fechado","Encerrada",IF(K239&lt;TODAY(),"Atrasada",IF(K239-TODAY()&lt;=3,"Esta semana","No prazo"))))</f>
        <v/>
      </c>
      <c r="M239" s="25"/>
    </row>
    <row r="240" customFormat="false" ht="15" hidden="false" customHeight="false" outlineLevel="0" collapsed="false">
      <c r="A240" s="1"/>
      <c r="B240" s="33" t="str">
        <f aca="false">IF(A240="","",IFERROR(INDEX(CRM_Contatos!$B$5:$B$304,MATCH(A240,CRM_Contatos!$A$5:$A$304,0)),"ID não encontrado"))</f>
        <v/>
      </c>
      <c r="C240" s="1"/>
      <c r="D240" s="1"/>
      <c r="E240" s="1"/>
      <c r="F240" s="21"/>
      <c r="G240" s="34" t="str">
        <f aca="false">IF(E240="","",IFERROR(INDEX(Listas!$O$4:$O$10,MATCH(E240,Listas!$N$4:$N$10,0)),0))</f>
        <v/>
      </c>
      <c r="H240" s="22" t="str">
        <f aca="false">IF(OR(F240="",G240=""),"",F240*G240)</f>
        <v/>
      </c>
      <c r="I240" s="1"/>
      <c r="J240" s="1"/>
      <c r="K240" s="25"/>
      <c r="L240" s="35" t="str">
        <f aca="true">IF(K240="","",IF(LEFT(E240,7)="Fechado","Encerrada",IF(K240&lt;TODAY(),"Atrasada",IF(K240-TODAY()&lt;=3,"Esta semana","No prazo"))))</f>
        <v/>
      </c>
      <c r="M240" s="25"/>
    </row>
    <row r="241" customFormat="false" ht="15" hidden="false" customHeight="false" outlineLevel="0" collapsed="false">
      <c r="A241" s="1"/>
      <c r="B241" s="33" t="str">
        <f aca="false">IF(A241="","",IFERROR(INDEX(CRM_Contatos!$B$5:$B$304,MATCH(A241,CRM_Contatos!$A$5:$A$304,0)),"ID não encontrado"))</f>
        <v/>
      </c>
      <c r="C241" s="1"/>
      <c r="D241" s="1"/>
      <c r="E241" s="1"/>
      <c r="F241" s="21"/>
      <c r="G241" s="34" t="str">
        <f aca="false">IF(E241="","",IFERROR(INDEX(Listas!$O$4:$O$10,MATCH(E241,Listas!$N$4:$N$10,0)),0))</f>
        <v/>
      </c>
      <c r="H241" s="22" t="str">
        <f aca="false">IF(OR(F241="",G241=""),"",F241*G241)</f>
        <v/>
      </c>
      <c r="I241" s="1"/>
      <c r="J241" s="1"/>
      <c r="K241" s="25"/>
      <c r="L241" s="35" t="str">
        <f aca="true">IF(K241="","",IF(LEFT(E241,7)="Fechado","Encerrada",IF(K241&lt;TODAY(),"Atrasada",IF(K241-TODAY()&lt;=3,"Esta semana","No prazo"))))</f>
        <v/>
      </c>
      <c r="M241" s="25"/>
    </row>
    <row r="242" customFormat="false" ht="15" hidden="false" customHeight="false" outlineLevel="0" collapsed="false">
      <c r="A242" s="1"/>
      <c r="B242" s="33" t="str">
        <f aca="false">IF(A242="","",IFERROR(INDEX(CRM_Contatos!$B$5:$B$304,MATCH(A242,CRM_Contatos!$A$5:$A$304,0)),"ID não encontrado"))</f>
        <v/>
      </c>
      <c r="C242" s="1"/>
      <c r="D242" s="1"/>
      <c r="E242" s="1"/>
      <c r="F242" s="21"/>
      <c r="G242" s="34" t="str">
        <f aca="false">IF(E242="","",IFERROR(INDEX(Listas!$O$4:$O$10,MATCH(E242,Listas!$N$4:$N$10,0)),0))</f>
        <v/>
      </c>
      <c r="H242" s="22" t="str">
        <f aca="false">IF(OR(F242="",G242=""),"",F242*G242)</f>
        <v/>
      </c>
      <c r="I242" s="1"/>
      <c r="J242" s="1"/>
      <c r="K242" s="25"/>
      <c r="L242" s="35" t="str">
        <f aca="true">IF(K242="","",IF(LEFT(E242,7)="Fechado","Encerrada",IF(K242&lt;TODAY(),"Atrasada",IF(K242-TODAY()&lt;=3,"Esta semana","No prazo"))))</f>
        <v/>
      </c>
      <c r="M242" s="25"/>
    </row>
    <row r="243" customFormat="false" ht="15" hidden="false" customHeight="false" outlineLevel="0" collapsed="false">
      <c r="A243" s="1"/>
      <c r="B243" s="33" t="str">
        <f aca="false">IF(A243="","",IFERROR(INDEX(CRM_Contatos!$B$5:$B$304,MATCH(A243,CRM_Contatos!$A$5:$A$304,0)),"ID não encontrado"))</f>
        <v/>
      </c>
      <c r="C243" s="1"/>
      <c r="D243" s="1"/>
      <c r="E243" s="1"/>
      <c r="F243" s="21"/>
      <c r="G243" s="34" t="str">
        <f aca="false">IF(E243="","",IFERROR(INDEX(Listas!$O$4:$O$10,MATCH(E243,Listas!$N$4:$N$10,0)),0))</f>
        <v/>
      </c>
      <c r="H243" s="22" t="str">
        <f aca="false">IF(OR(F243="",G243=""),"",F243*G243)</f>
        <v/>
      </c>
      <c r="I243" s="1"/>
      <c r="J243" s="1"/>
      <c r="K243" s="25"/>
      <c r="L243" s="35" t="str">
        <f aca="true">IF(K243="","",IF(LEFT(E243,7)="Fechado","Encerrada",IF(K243&lt;TODAY(),"Atrasada",IF(K243-TODAY()&lt;=3,"Esta semana","No prazo"))))</f>
        <v/>
      </c>
      <c r="M243" s="25"/>
    </row>
    <row r="244" customFormat="false" ht="15" hidden="false" customHeight="false" outlineLevel="0" collapsed="false">
      <c r="A244" s="1"/>
      <c r="B244" s="33" t="str">
        <f aca="false">IF(A244="","",IFERROR(INDEX(CRM_Contatos!$B$5:$B$304,MATCH(A244,CRM_Contatos!$A$5:$A$304,0)),"ID não encontrado"))</f>
        <v/>
      </c>
      <c r="C244" s="1"/>
      <c r="D244" s="1"/>
      <c r="E244" s="1"/>
      <c r="F244" s="21"/>
      <c r="G244" s="34" t="str">
        <f aca="false">IF(E244="","",IFERROR(INDEX(Listas!$O$4:$O$10,MATCH(E244,Listas!$N$4:$N$10,0)),0))</f>
        <v/>
      </c>
      <c r="H244" s="22" t="str">
        <f aca="false">IF(OR(F244="",G244=""),"",F244*G244)</f>
        <v/>
      </c>
      <c r="I244" s="1"/>
      <c r="J244" s="1"/>
      <c r="K244" s="25"/>
      <c r="L244" s="35" t="str">
        <f aca="true">IF(K244="","",IF(LEFT(E244,7)="Fechado","Encerrada",IF(K244&lt;TODAY(),"Atrasada",IF(K244-TODAY()&lt;=3,"Esta semana","No prazo"))))</f>
        <v/>
      </c>
      <c r="M244" s="25"/>
    </row>
    <row r="245" customFormat="false" ht="15" hidden="false" customHeight="false" outlineLevel="0" collapsed="false">
      <c r="A245" s="1"/>
      <c r="B245" s="33" t="str">
        <f aca="false">IF(A245="","",IFERROR(INDEX(CRM_Contatos!$B$5:$B$304,MATCH(A245,CRM_Contatos!$A$5:$A$304,0)),"ID não encontrado"))</f>
        <v/>
      </c>
      <c r="C245" s="1"/>
      <c r="D245" s="1"/>
      <c r="E245" s="1"/>
      <c r="F245" s="21"/>
      <c r="G245" s="34" t="str">
        <f aca="false">IF(E245="","",IFERROR(INDEX(Listas!$O$4:$O$10,MATCH(E245,Listas!$N$4:$N$10,0)),0))</f>
        <v/>
      </c>
      <c r="H245" s="22" t="str">
        <f aca="false">IF(OR(F245="",G245=""),"",F245*G245)</f>
        <v/>
      </c>
      <c r="I245" s="1"/>
      <c r="J245" s="1"/>
      <c r="K245" s="25"/>
      <c r="L245" s="35" t="str">
        <f aca="true">IF(K245="","",IF(LEFT(E245,7)="Fechado","Encerrada",IF(K245&lt;TODAY(),"Atrasada",IF(K245-TODAY()&lt;=3,"Esta semana","No prazo"))))</f>
        <v/>
      </c>
      <c r="M245" s="25"/>
    </row>
    <row r="246" customFormat="false" ht="15" hidden="false" customHeight="false" outlineLevel="0" collapsed="false">
      <c r="A246" s="1"/>
      <c r="B246" s="33" t="str">
        <f aca="false">IF(A246="","",IFERROR(INDEX(CRM_Contatos!$B$5:$B$304,MATCH(A246,CRM_Contatos!$A$5:$A$304,0)),"ID não encontrado"))</f>
        <v/>
      </c>
      <c r="C246" s="1"/>
      <c r="D246" s="1"/>
      <c r="E246" s="1"/>
      <c r="F246" s="21"/>
      <c r="G246" s="34" t="str">
        <f aca="false">IF(E246="","",IFERROR(INDEX(Listas!$O$4:$O$10,MATCH(E246,Listas!$N$4:$N$10,0)),0))</f>
        <v/>
      </c>
      <c r="H246" s="22" t="str">
        <f aca="false">IF(OR(F246="",G246=""),"",F246*G246)</f>
        <v/>
      </c>
      <c r="I246" s="1"/>
      <c r="J246" s="1"/>
      <c r="K246" s="25"/>
      <c r="L246" s="35" t="str">
        <f aca="true">IF(K246="","",IF(LEFT(E246,7)="Fechado","Encerrada",IF(K246&lt;TODAY(),"Atrasada",IF(K246-TODAY()&lt;=3,"Esta semana","No prazo"))))</f>
        <v/>
      </c>
      <c r="M246" s="25"/>
    </row>
    <row r="247" customFormat="false" ht="15" hidden="false" customHeight="false" outlineLevel="0" collapsed="false">
      <c r="A247" s="1"/>
      <c r="B247" s="33" t="str">
        <f aca="false">IF(A247="","",IFERROR(INDEX(CRM_Contatos!$B$5:$B$304,MATCH(A247,CRM_Contatos!$A$5:$A$304,0)),"ID não encontrado"))</f>
        <v/>
      </c>
      <c r="C247" s="1"/>
      <c r="D247" s="1"/>
      <c r="E247" s="1"/>
      <c r="F247" s="21"/>
      <c r="G247" s="34" t="str">
        <f aca="false">IF(E247="","",IFERROR(INDEX(Listas!$O$4:$O$10,MATCH(E247,Listas!$N$4:$N$10,0)),0))</f>
        <v/>
      </c>
      <c r="H247" s="22" t="str">
        <f aca="false">IF(OR(F247="",G247=""),"",F247*G247)</f>
        <v/>
      </c>
      <c r="I247" s="1"/>
      <c r="J247" s="1"/>
      <c r="K247" s="25"/>
      <c r="L247" s="35" t="str">
        <f aca="true">IF(K247="","",IF(LEFT(E247,7)="Fechado","Encerrada",IF(K247&lt;TODAY(),"Atrasada",IF(K247-TODAY()&lt;=3,"Esta semana","No prazo"))))</f>
        <v/>
      </c>
      <c r="M247" s="25"/>
    </row>
    <row r="248" customFormat="false" ht="15" hidden="false" customHeight="false" outlineLevel="0" collapsed="false">
      <c r="A248" s="1"/>
      <c r="B248" s="33" t="str">
        <f aca="false">IF(A248="","",IFERROR(INDEX(CRM_Contatos!$B$5:$B$304,MATCH(A248,CRM_Contatos!$A$5:$A$304,0)),"ID não encontrado"))</f>
        <v/>
      </c>
      <c r="C248" s="1"/>
      <c r="D248" s="1"/>
      <c r="E248" s="1"/>
      <c r="F248" s="21"/>
      <c r="G248" s="34" t="str">
        <f aca="false">IF(E248="","",IFERROR(INDEX(Listas!$O$4:$O$10,MATCH(E248,Listas!$N$4:$N$10,0)),0))</f>
        <v/>
      </c>
      <c r="H248" s="22" t="str">
        <f aca="false">IF(OR(F248="",G248=""),"",F248*G248)</f>
        <v/>
      </c>
      <c r="I248" s="1"/>
      <c r="J248" s="1"/>
      <c r="K248" s="25"/>
      <c r="L248" s="35" t="str">
        <f aca="true">IF(K248="","",IF(LEFT(E248,7)="Fechado","Encerrada",IF(K248&lt;TODAY(),"Atrasada",IF(K248-TODAY()&lt;=3,"Esta semana","No prazo"))))</f>
        <v/>
      </c>
      <c r="M248" s="25"/>
    </row>
    <row r="249" customFormat="false" ht="15" hidden="false" customHeight="false" outlineLevel="0" collapsed="false">
      <c r="A249" s="1"/>
      <c r="B249" s="33" t="str">
        <f aca="false">IF(A249="","",IFERROR(INDEX(CRM_Contatos!$B$5:$B$304,MATCH(A249,CRM_Contatos!$A$5:$A$304,0)),"ID não encontrado"))</f>
        <v/>
      </c>
      <c r="C249" s="1"/>
      <c r="D249" s="1"/>
      <c r="E249" s="1"/>
      <c r="F249" s="21"/>
      <c r="G249" s="34" t="str">
        <f aca="false">IF(E249="","",IFERROR(INDEX(Listas!$O$4:$O$10,MATCH(E249,Listas!$N$4:$N$10,0)),0))</f>
        <v/>
      </c>
      <c r="H249" s="22" t="str">
        <f aca="false">IF(OR(F249="",G249=""),"",F249*G249)</f>
        <v/>
      </c>
      <c r="I249" s="1"/>
      <c r="J249" s="1"/>
      <c r="K249" s="25"/>
      <c r="L249" s="35" t="str">
        <f aca="true">IF(K249="","",IF(LEFT(E249,7)="Fechado","Encerrada",IF(K249&lt;TODAY(),"Atrasada",IF(K249-TODAY()&lt;=3,"Esta semana","No prazo"))))</f>
        <v/>
      </c>
      <c r="M249" s="25"/>
    </row>
    <row r="250" customFormat="false" ht="15" hidden="false" customHeight="false" outlineLevel="0" collapsed="false">
      <c r="A250" s="1"/>
      <c r="B250" s="33" t="str">
        <f aca="false">IF(A250="","",IFERROR(INDEX(CRM_Contatos!$B$5:$B$304,MATCH(A250,CRM_Contatos!$A$5:$A$304,0)),"ID não encontrado"))</f>
        <v/>
      </c>
      <c r="C250" s="1"/>
      <c r="D250" s="1"/>
      <c r="E250" s="1"/>
      <c r="F250" s="21"/>
      <c r="G250" s="34" t="str">
        <f aca="false">IF(E250="","",IFERROR(INDEX(Listas!$O$4:$O$10,MATCH(E250,Listas!$N$4:$N$10,0)),0))</f>
        <v/>
      </c>
      <c r="H250" s="22" t="str">
        <f aca="false">IF(OR(F250="",G250=""),"",F250*G250)</f>
        <v/>
      </c>
      <c r="I250" s="1"/>
      <c r="J250" s="1"/>
      <c r="K250" s="25"/>
      <c r="L250" s="35" t="str">
        <f aca="true">IF(K250="","",IF(LEFT(E250,7)="Fechado","Encerrada",IF(K250&lt;TODAY(),"Atrasada",IF(K250-TODAY()&lt;=3,"Esta semana","No prazo"))))</f>
        <v/>
      </c>
      <c r="M250" s="25"/>
    </row>
    <row r="251" customFormat="false" ht="15" hidden="false" customHeight="false" outlineLevel="0" collapsed="false">
      <c r="A251" s="1"/>
      <c r="B251" s="33" t="str">
        <f aca="false">IF(A251="","",IFERROR(INDEX(CRM_Contatos!$B$5:$B$304,MATCH(A251,CRM_Contatos!$A$5:$A$304,0)),"ID não encontrado"))</f>
        <v/>
      </c>
      <c r="C251" s="1"/>
      <c r="D251" s="1"/>
      <c r="E251" s="1"/>
      <c r="F251" s="21"/>
      <c r="G251" s="34" t="str">
        <f aca="false">IF(E251="","",IFERROR(INDEX(Listas!$O$4:$O$10,MATCH(E251,Listas!$N$4:$N$10,0)),0))</f>
        <v/>
      </c>
      <c r="H251" s="22" t="str">
        <f aca="false">IF(OR(F251="",G251=""),"",F251*G251)</f>
        <v/>
      </c>
      <c r="I251" s="1"/>
      <c r="J251" s="1"/>
      <c r="K251" s="25"/>
      <c r="L251" s="35" t="str">
        <f aca="true">IF(K251="","",IF(LEFT(E251,7)="Fechado","Encerrada",IF(K251&lt;TODAY(),"Atrasada",IF(K251-TODAY()&lt;=3,"Esta semana","No prazo"))))</f>
        <v/>
      </c>
      <c r="M251" s="25"/>
    </row>
    <row r="252" customFormat="false" ht="15" hidden="false" customHeight="false" outlineLevel="0" collapsed="false">
      <c r="A252" s="1"/>
      <c r="B252" s="33" t="str">
        <f aca="false">IF(A252="","",IFERROR(INDEX(CRM_Contatos!$B$5:$B$304,MATCH(A252,CRM_Contatos!$A$5:$A$304,0)),"ID não encontrado"))</f>
        <v/>
      </c>
      <c r="C252" s="1"/>
      <c r="D252" s="1"/>
      <c r="E252" s="1"/>
      <c r="F252" s="21"/>
      <c r="G252" s="34" t="str">
        <f aca="false">IF(E252="","",IFERROR(INDEX(Listas!$O$4:$O$10,MATCH(E252,Listas!$N$4:$N$10,0)),0))</f>
        <v/>
      </c>
      <c r="H252" s="22" t="str">
        <f aca="false">IF(OR(F252="",G252=""),"",F252*G252)</f>
        <v/>
      </c>
      <c r="I252" s="1"/>
      <c r="J252" s="1"/>
      <c r="K252" s="25"/>
      <c r="L252" s="35" t="str">
        <f aca="true">IF(K252="","",IF(LEFT(E252,7)="Fechado","Encerrada",IF(K252&lt;TODAY(),"Atrasada",IF(K252-TODAY()&lt;=3,"Esta semana","No prazo"))))</f>
        <v/>
      </c>
      <c r="M252" s="25"/>
    </row>
    <row r="253" customFormat="false" ht="15" hidden="false" customHeight="false" outlineLevel="0" collapsed="false">
      <c r="A253" s="1"/>
      <c r="B253" s="33" t="str">
        <f aca="false">IF(A253="","",IFERROR(INDEX(CRM_Contatos!$B$5:$B$304,MATCH(A253,CRM_Contatos!$A$5:$A$304,0)),"ID não encontrado"))</f>
        <v/>
      </c>
      <c r="C253" s="1"/>
      <c r="D253" s="1"/>
      <c r="E253" s="1"/>
      <c r="F253" s="21"/>
      <c r="G253" s="34" t="str">
        <f aca="false">IF(E253="","",IFERROR(INDEX(Listas!$O$4:$O$10,MATCH(E253,Listas!$N$4:$N$10,0)),0))</f>
        <v/>
      </c>
      <c r="H253" s="22" t="str">
        <f aca="false">IF(OR(F253="",G253=""),"",F253*G253)</f>
        <v/>
      </c>
      <c r="I253" s="1"/>
      <c r="J253" s="1"/>
      <c r="K253" s="25"/>
      <c r="L253" s="35" t="str">
        <f aca="true">IF(K253="","",IF(LEFT(E253,7)="Fechado","Encerrada",IF(K253&lt;TODAY(),"Atrasada",IF(K253-TODAY()&lt;=3,"Esta semana","No prazo"))))</f>
        <v/>
      </c>
      <c r="M253" s="25"/>
    </row>
    <row r="254" customFormat="false" ht="15" hidden="false" customHeight="false" outlineLevel="0" collapsed="false">
      <c r="A254" s="1"/>
      <c r="B254" s="33" t="str">
        <f aca="false">IF(A254="","",IFERROR(INDEX(CRM_Contatos!$B$5:$B$304,MATCH(A254,CRM_Contatos!$A$5:$A$304,0)),"ID não encontrado"))</f>
        <v/>
      </c>
      <c r="C254" s="1"/>
      <c r="D254" s="1"/>
      <c r="E254" s="1"/>
      <c r="F254" s="21"/>
      <c r="G254" s="34" t="str">
        <f aca="false">IF(E254="","",IFERROR(INDEX(Listas!$O$4:$O$10,MATCH(E254,Listas!$N$4:$N$10,0)),0))</f>
        <v/>
      </c>
      <c r="H254" s="22" t="str">
        <f aca="false">IF(OR(F254="",G254=""),"",F254*G254)</f>
        <v/>
      </c>
      <c r="I254" s="1"/>
      <c r="J254" s="1"/>
      <c r="K254" s="25"/>
      <c r="L254" s="35" t="str">
        <f aca="true">IF(K254="","",IF(LEFT(E254,7)="Fechado","Encerrada",IF(K254&lt;TODAY(),"Atrasada",IF(K254-TODAY()&lt;=3,"Esta semana","No prazo"))))</f>
        <v/>
      </c>
      <c r="M254" s="25"/>
    </row>
    <row r="255" customFormat="false" ht="15" hidden="false" customHeight="false" outlineLevel="0" collapsed="false">
      <c r="A255" s="1"/>
      <c r="B255" s="33" t="str">
        <f aca="false">IF(A255="","",IFERROR(INDEX(CRM_Contatos!$B$5:$B$304,MATCH(A255,CRM_Contatos!$A$5:$A$304,0)),"ID não encontrado"))</f>
        <v/>
      </c>
      <c r="C255" s="1"/>
      <c r="D255" s="1"/>
      <c r="E255" s="1"/>
      <c r="F255" s="21"/>
      <c r="G255" s="34" t="str">
        <f aca="false">IF(E255="","",IFERROR(INDEX(Listas!$O$4:$O$10,MATCH(E255,Listas!$N$4:$N$10,0)),0))</f>
        <v/>
      </c>
      <c r="H255" s="22" t="str">
        <f aca="false">IF(OR(F255="",G255=""),"",F255*G255)</f>
        <v/>
      </c>
      <c r="I255" s="1"/>
      <c r="J255" s="1"/>
      <c r="K255" s="25"/>
      <c r="L255" s="35" t="str">
        <f aca="true">IF(K255="","",IF(LEFT(E255,7)="Fechado","Encerrada",IF(K255&lt;TODAY(),"Atrasada",IF(K255-TODAY()&lt;=3,"Esta semana","No prazo"))))</f>
        <v/>
      </c>
      <c r="M255" s="25"/>
    </row>
    <row r="256" customFormat="false" ht="15" hidden="false" customHeight="false" outlineLevel="0" collapsed="false">
      <c r="A256" s="1"/>
      <c r="B256" s="33" t="str">
        <f aca="false">IF(A256="","",IFERROR(INDEX(CRM_Contatos!$B$5:$B$304,MATCH(A256,CRM_Contatos!$A$5:$A$304,0)),"ID não encontrado"))</f>
        <v/>
      </c>
      <c r="C256" s="1"/>
      <c r="D256" s="1"/>
      <c r="E256" s="1"/>
      <c r="F256" s="21"/>
      <c r="G256" s="34" t="str">
        <f aca="false">IF(E256="","",IFERROR(INDEX(Listas!$O$4:$O$10,MATCH(E256,Listas!$N$4:$N$10,0)),0))</f>
        <v/>
      </c>
      <c r="H256" s="22" t="str">
        <f aca="false">IF(OR(F256="",G256=""),"",F256*G256)</f>
        <v/>
      </c>
      <c r="I256" s="1"/>
      <c r="J256" s="1"/>
      <c r="K256" s="25"/>
      <c r="L256" s="35" t="str">
        <f aca="true">IF(K256="","",IF(LEFT(E256,7)="Fechado","Encerrada",IF(K256&lt;TODAY(),"Atrasada",IF(K256-TODAY()&lt;=3,"Esta semana","No prazo"))))</f>
        <v/>
      </c>
      <c r="M256" s="25"/>
    </row>
    <row r="257" customFormat="false" ht="15" hidden="false" customHeight="false" outlineLevel="0" collapsed="false">
      <c r="A257" s="1"/>
      <c r="B257" s="33" t="str">
        <f aca="false">IF(A257="","",IFERROR(INDEX(CRM_Contatos!$B$5:$B$304,MATCH(A257,CRM_Contatos!$A$5:$A$304,0)),"ID não encontrado"))</f>
        <v/>
      </c>
      <c r="C257" s="1"/>
      <c r="D257" s="1"/>
      <c r="E257" s="1"/>
      <c r="F257" s="21"/>
      <c r="G257" s="34" t="str">
        <f aca="false">IF(E257="","",IFERROR(INDEX(Listas!$O$4:$O$10,MATCH(E257,Listas!$N$4:$N$10,0)),0))</f>
        <v/>
      </c>
      <c r="H257" s="22" t="str">
        <f aca="false">IF(OR(F257="",G257=""),"",F257*G257)</f>
        <v/>
      </c>
      <c r="I257" s="1"/>
      <c r="J257" s="1"/>
      <c r="K257" s="25"/>
      <c r="L257" s="35" t="str">
        <f aca="true">IF(K257="","",IF(LEFT(E257,7)="Fechado","Encerrada",IF(K257&lt;TODAY(),"Atrasada",IF(K257-TODAY()&lt;=3,"Esta semana","No prazo"))))</f>
        <v/>
      </c>
      <c r="M257" s="25"/>
    </row>
    <row r="258" customFormat="false" ht="15" hidden="false" customHeight="false" outlineLevel="0" collapsed="false">
      <c r="A258" s="1"/>
      <c r="B258" s="33" t="str">
        <f aca="false">IF(A258="","",IFERROR(INDEX(CRM_Contatos!$B$5:$B$304,MATCH(A258,CRM_Contatos!$A$5:$A$304,0)),"ID não encontrado"))</f>
        <v/>
      </c>
      <c r="C258" s="1"/>
      <c r="D258" s="1"/>
      <c r="E258" s="1"/>
      <c r="F258" s="21"/>
      <c r="G258" s="34" t="str">
        <f aca="false">IF(E258="","",IFERROR(INDEX(Listas!$O$4:$O$10,MATCH(E258,Listas!$N$4:$N$10,0)),0))</f>
        <v/>
      </c>
      <c r="H258" s="22" t="str">
        <f aca="false">IF(OR(F258="",G258=""),"",F258*G258)</f>
        <v/>
      </c>
      <c r="I258" s="1"/>
      <c r="J258" s="1"/>
      <c r="K258" s="25"/>
      <c r="L258" s="35" t="str">
        <f aca="true">IF(K258="","",IF(LEFT(E258,7)="Fechado","Encerrada",IF(K258&lt;TODAY(),"Atrasada",IF(K258-TODAY()&lt;=3,"Esta semana","No prazo"))))</f>
        <v/>
      </c>
      <c r="M258" s="25"/>
    </row>
    <row r="259" customFormat="false" ht="15" hidden="false" customHeight="false" outlineLevel="0" collapsed="false">
      <c r="A259" s="1"/>
      <c r="B259" s="33" t="str">
        <f aca="false">IF(A259="","",IFERROR(INDEX(CRM_Contatos!$B$5:$B$304,MATCH(A259,CRM_Contatos!$A$5:$A$304,0)),"ID não encontrado"))</f>
        <v/>
      </c>
      <c r="C259" s="1"/>
      <c r="D259" s="1"/>
      <c r="E259" s="1"/>
      <c r="F259" s="21"/>
      <c r="G259" s="34" t="str">
        <f aca="false">IF(E259="","",IFERROR(INDEX(Listas!$O$4:$O$10,MATCH(E259,Listas!$N$4:$N$10,0)),0))</f>
        <v/>
      </c>
      <c r="H259" s="22" t="str">
        <f aca="false">IF(OR(F259="",G259=""),"",F259*G259)</f>
        <v/>
      </c>
      <c r="I259" s="1"/>
      <c r="J259" s="1"/>
      <c r="K259" s="25"/>
      <c r="L259" s="35" t="str">
        <f aca="true">IF(K259="","",IF(LEFT(E259,7)="Fechado","Encerrada",IF(K259&lt;TODAY(),"Atrasada",IF(K259-TODAY()&lt;=3,"Esta semana","No prazo"))))</f>
        <v/>
      </c>
      <c r="M259" s="25"/>
    </row>
    <row r="260" customFormat="false" ht="15" hidden="false" customHeight="false" outlineLevel="0" collapsed="false">
      <c r="A260" s="1"/>
      <c r="B260" s="33" t="str">
        <f aca="false">IF(A260="","",IFERROR(INDEX(CRM_Contatos!$B$5:$B$304,MATCH(A260,CRM_Contatos!$A$5:$A$304,0)),"ID não encontrado"))</f>
        <v/>
      </c>
      <c r="C260" s="1"/>
      <c r="D260" s="1"/>
      <c r="E260" s="1"/>
      <c r="F260" s="21"/>
      <c r="G260" s="34" t="str">
        <f aca="false">IF(E260="","",IFERROR(INDEX(Listas!$O$4:$O$10,MATCH(E260,Listas!$N$4:$N$10,0)),0))</f>
        <v/>
      </c>
      <c r="H260" s="22" t="str">
        <f aca="false">IF(OR(F260="",G260=""),"",F260*G260)</f>
        <v/>
      </c>
      <c r="I260" s="1"/>
      <c r="J260" s="1"/>
      <c r="K260" s="25"/>
      <c r="L260" s="35" t="str">
        <f aca="true">IF(K260="","",IF(LEFT(E260,7)="Fechado","Encerrada",IF(K260&lt;TODAY(),"Atrasada",IF(K260-TODAY()&lt;=3,"Esta semana","No prazo"))))</f>
        <v/>
      </c>
      <c r="M260" s="25"/>
    </row>
    <row r="261" customFormat="false" ht="15" hidden="false" customHeight="false" outlineLevel="0" collapsed="false">
      <c r="A261" s="1"/>
      <c r="B261" s="33" t="str">
        <f aca="false">IF(A261="","",IFERROR(INDEX(CRM_Contatos!$B$5:$B$304,MATCH(A261,CRM_Contatos!$A$5:$A$304,0)),"ID não encontrado"))</f>
        <v/>
      </c>
      <c r="C261" s="1"/>
      <c r="D261" s="1"/>
      <c r="E261" s="1"/>
      <c r="F261" s="21"/>
      <c r="G261" s="34" t="str">
        <f aca="false">IF(E261="","",IFERROR(INDEX(Listas!$O$4:$O$10,MATCH(E261,Listas!$N$4:$N$10,0)),0))</f>
        <v/>
      </c>
      <c r="H261" s="22" t="str">
        <f aca="false">IF(OR(F261="",G261=""),"",F261*G261)</f>
        <v/>
      </c>
      <c r="I261" s="1"/>
      <c r="J261" s="1"/>
      <c r="K261" s="25"/>
      <c r="L261" s="35" t="str">
        <f aca="true">IF(K261="","",IF(LEFT(E261,7)="Fechado","Encerrada",IF(K261&lt;TODAY(),"Atrasada",IF(K261-TODAY()&lt;=3,"Esta semana","No prazo"))))</f>
        <v/>
      </c>
      <c r="M261" s="25"/>
    </row>
    <row r="262" customFormat="false" ht="15" hidden="false" customHeight="false" outlineLevel="0" collapsed="false">
      <c r="A262" s="1"/>
      <c r="B262" s="33" t="str">
        <f aca="false">IF(A262="","",IFERROR(INDEX(CRM_Contatos!$B$5:$B$304,MATCH(A262,CRM_Contatos!$A$5:$A$304,0)),"ID não encontrado"))</f>
        <v/>
      </c>
      <c r="C262" s="1"/>
      <c r="D262" s="1"/>
      <c r="E262" s="1"/>
      <c r="F262" s="21"/>
      <c r="G262" s="34" t="str">
        <f aca="false">IF(E262="","",IFERROR(INDEX(Listas!$O$4:$O$10,MATCH(E262,Listas!$N$4:$N$10,0)),0))</f>
        <v/>
      </c>
      <c r="H262" s="22" t="str">
        <f aca="false">IF(OR(F262="",G262=""),"",F262*G262)</f>
        <v/>
      </c>
      <c r="I262" s="1"/>
      <c r="J262" s="1"/>
      <c r="K262" s="25"/>
      <c r="L262" s="35" t="str">
        <f aca="true">IF(K262="","",IF(LEFT(E262,7)="Fechado","Encerrada",IF(K262&lt;TODAY(),"Atrasada",IF(K262-TODAY()&lt;=3,"Esta semana","No prazo"))))</f>
        <v/>
      </c>
      <c r="M262" s="25"/>
    </row>
    <row r="263" customFormat="false" ht="15" hidden="false" customHeight="false" outlineLevel="0" collapsed="false">
      <c r="A263" s="1"/>
      <c r="B263" s="33" t="str">
        <f aca="false">IF(A263="","",IFERROR(INDEX(CRM_Contatos!$B$5:$B$304,MATCH(A263,CRM_Contatos!$A$5:$A$304,0)),"ID não encontrado"))</f>
        <v/>
      </c>
      <c r="C263" s="1"/>
      <c r="D263" s="1"/>
      <c r="E263" s="1"/>
      <c r="F263" s="21"/>
      <c r="G263" s="34" t="str">
        <f aca="false">IF(E263="","",IFERROR(INDEX(Listas!$O$4:$O$10,MATCH(E263,Listas!$N$4:$N$10,0)),0))</f>
        <v/>
      </c>
      <c r="H263" s="22" t="str">
        <f aca="false">IF(OR(F263="",G263=""),"",F263*G263)</f>
        <v/>
      </c>
      <c r="I263" s="1"/>
      <c r="J263" s="1"/>
      <c r="K263" s="25"/>
      <c r="L263" s="35" t="str">
        <f aca="true">IF(K263="","",IF(LEFT(E263,7)="Fechado","Encerrada",IF(K263&lt;TODAY(),"Atrasada",IF(K263-TODAY()&lt;=3,"Esta semana","No prazo"))))</f>
        <v/>
      </c>
      <c r="M263" s="25"/>
    </row>
    <row r="264" customFormat="false" ht="15" hidden="false" customHeight="false" outlineLevel="0" collapsed="false">
      <c r="A264" s="1"/>
      <c r="B264" s="33" t="str">
        <f aca="false">IF(A264="","",IFERROR(INDEX(CRM_Contatos!$B$5:$B$304,MATCH(A264,CRM_Contatos!$A$5:$A$304,0)),"ID não encontrado"))</f>
        <v/>
      </c>
      <c r="C264" s="1"/>
      <c r="D264" s="1"/>
      <c r="E264" s="1"/>
      <c r="F264" s="21"/>
      <c r="G264" s="34" t="str">
        <f aca="false">IF(E264="","",IFERROR(INDEX(Listas!$O$4:$O$10,MATCH(E264,Listas!$N$4:$N$10,0)),0))</f>
        <v/>
      </c>
      <c r="H264" s="22" t="str">
        <f aca="false">IF(OR(F264="",G264=""),"",F264*G264)</f>
        <v/>
      </c>
      <c r="I264" s="1"/>
      <c r="J264" s="1"/>
      <c r="K264" s="25"/>
      <c r="L264" s="35" t="str">
        <f aca="true">IF(K264="","",IF(LEFT(E264,7)="Fechado","Encerrada",IF(K264&lt;TODAY(),"Atrasada",IF(K264-TODAY()&lt;=3,"Esta semana","No prazo"))))</f>
        <v/>
      </c>
      <c r="M264" s="25"/>
    </row>
    <row r="265" customFormat="false" ht="15" hidden="false" customHeight="false" outlineLevel="0" collapsed="false">
      <c r="A265" s="1"/>
      <c r="B265" s="33" t="str">
        <f aca="false">IF(A265="","",IFERROR(INDEX(CRM_Contatos!$B$5:$B$304,MATCH(A265,CRM_Contatos!$A$5:$A$304,0)),"ID não encontrado"))</f>
        <v/>
      </c>
      <c r="C265" s="1"/>
      <c r="D265" s="1"/>
      <c r="E265" s="1"/>
      <c r="F265" s="21"/>
      <c r="G265" s="34" t="str">
        <f aca="false">IF(E265="","",IFERROR(INDEX(Listas!$O$4:$O$10,MATCH(E265,Listas!$N$4:$N$10,0)),0))</f>
        <v/>
      </c>
      <c r="H265" s="22" t="str">
        <f aca="false">IF(OR(F265="",G265=""),"",F265*G265)</f>
        <v/>
      </c>
      <c r="I265" s="1"/>
      <c r="J265" s="1"/>
      <c r="K265" s="25"/>
      <c r="L265" s="35" t="str">
        <f aca="true">IF(K265="","",IF(LEFT(E265,7)="Fechado","Encerrada",IF(K265&lt;TODAY(),"Atrasada",IF(K265-TODAY()&lt;=3,"Esta semana","No prazo"))))</f>
        <v/>
      </c>
      <c r="M265" s="25"/>
    </row>
    <row r="266" customFormat="false" ht="15" hidden="false" customHeight="false" outlineLevel="0" collapsed="false">
      <c r="A266" s="1"/>
      <c r="B266" s="33" t="str">
        <f aca="false">IF(A266="","",IFERROR(INDEX(CRM_Contatos!$B$5:$B$304,MATCH(A266,CRM_Contatos!$A$5:$A$304,0)),"ID não encontrado"))</f>
        <v/>
      </c>
      <c r="C266" s="1"/>
      <c r="D266" s="1"/>
      <c r="E266" s="1"/>
      <c r="F266" s="21"/>
      <c r="G266" s="34" t="str">
        <f aca="false">IF(E266="","",IFERROR(INDEX(Listas!$O$4:$O$10,MATCH(E266,Listas!$N$4:$N$10,0)),0))</f>
        <v/>
      </c>
      <c r="H266" s="22" t="str">
        <f aca="false">IF(OR(F266="",G266=""),"",F266*G266)</f>
        <v/>
      </c>
      <c r="I266" s="1"/>
      <c r="J266" s="1"/>
      <c r="K266" s="25"/>
      <c r="L266" s="35" t="str">
        <f aca="true">IF(K266="","",IF(LEFT(E266,7)="Fechado","Encerrada",IF(K266&lt;TODAY(),"Atrasada",IF(K266-TODAY()&lt;=3,"Esta semana","No prazo"))))</f>
        <v/>
      </c>
      <c r="M266" s="25"/>
    </row>
    <row r="267" customFormat="false" ht="15" hidden="false" customHeight="false" outlineLevel="0" collapsed="false">
      <c r="A267" s="1"/>
      <c r="B267" s="33" t="str">
        <f aca="false">IF(A267="","",IFERROR(INDEX(CRM_Contatos!$B$5:$B$304,MATCH(A267,CRM_Contatos!$A$5:$A$304,0)),"ID não encontrado"))</f>
        <v/>
      </c>
      <c r="C267" s="1"/>
      <c r="D267" s="1"/>
      <c r="E267" s="1"/>
      <c r="F267" s="21"/>
      <c r="G267" s="34" t="str">
        <f aca="false">IF(E267="","",IFERROR(INDEX(Listas!$O$4:$O$10,MATCH(E267,Listas!$N$4:$N$10,0)),0))</f>
        <v/>
      </c>
      <c r="H267" s="22" t="str">
        <f aca="false">IF(OR(F267="",G267=""),"",F267*G267)</f>
        <v/>
      </c>
      <c r="I267" s="1"/>
      <c r="J267" s="1"/>
      <c r="K267" s="25"/>
      <c r="L267" s="35" t="str">
        <f aca="true">IF(K267="","",IF(LEFT(E267,7)="Fechado","Encerrada",IF(K267&lt;TODAY(),"Atrasada",IF(K267-TODAY()&lt;=3,"Esta semana","No prazo"))))</f>
        <v/>
      </c>
      <c r="M267" s="25"/>
    </row>
    <row r="268" customFormat="false" ht="15" hidden="false" customHeight="false" outlineLevel="0" collapsed="false">
      <c r="A268" s="1"/>
      <c r="B268" s="33" t="str">
        <f aca="false">IF(A268="","",IFERROR(INDEX(CRM_Contatos!$B$5:$B$304,MATCH(A268,CRM_Contatos!$A$5:$A$304,0)),"ID não encontrado"))</f>
        <v/>
      </c>
      <c r="C268" s="1"/>
      <c r="D268" s="1"/>
      <c r="E268" s="1"/>
      <c r="F268" s="21"/>
      <c r="G268" s="34" t="str">
        <f aca="false">IF(E268="","",IFERROR(INDEX(Listas!$O$4:$O$10,MATCH(E268,Listas!$N$4:$N$10,0)),0))</f>
        <v/>
      </c>
      <c r="H268" s="22" t="str">
        <f aca="false">IF(OR(F268="",G268=""),"",F268*G268)</f>
        <v/>
      </c>
      <c r="I268" s="1"/>
      <c r="J268" s="1"/>
      <c r="K268" s="25"/>
      <c r="L268" s="35" t="str">
        <f aca="true">IF(K268="","",IF(LEFT(E268,7)="Fechado","Encerrada",IF(K268&lt;TODAY(),"Atrasada",IF(K268-TODAY()&lt;=3,"Esta semana","No prazo"))))</f>
        <v/>
      </c>
      <c r="M268" s="25"/>
    </row>
    <row r="269" customFormat="false" ht="15" hidden="false" customHeight="false" outlineLevel="0" collapsed="false">
      <c r="A269" s="1"/>
      <c r="B269" s="33" t="str">
        <f aca="false">IF(A269="","",IFERROR(INDEX(CRM_Contatos!$B$5:$B$304,MATCH(A269,CRM_Contatos!$A$5:$A$304,0)),"ID não encontrado"))</f>
        <v/>
      </c>
      <c r="C269" s="1"/>
      <c r="D269" s="1"/>
      <c r="E269" s="1"/>
      <c r="F269" s="21"/>
      <c r="G269" s="34" t="str">
        <f aca="false">IF(E269="","",IFERROR(INDEX(Listas!$O$4:$O$10,MATCH(E269,Listas!$N$4:$N$10,0)),0))</f>
        <v/>
      </c>
      <c r="H269" s="22" t="str">
        <f aca="false">IF(OR(F269="",G269=""),"",F269*G269)</f>
        <v/>
      </c>
      <c r="I269" s="1"/>
      <c r="J269" s="1"/>
      <c r="K269" s="25"/>
      <c r="L269" s="35" t="str">
        <f aca="true">IF(K269="","",IF(LEFT(E269,7)="Fechado","Encerrada",IF(K269&lt;TODAY(),"Atrasada",IF(K269-TODAY()&lt;=3,"Esta semana","No prazo"))))</f>
        <v/>
      </c>
      <c r="M269" s="25"/>
    </row>
    <row r="270" customFormat="false" ht="15" hidden="false" customHeight="false" outlineLevel="0" collapsed="false">
      <c r="A270" s="1"/>
      <c r="B270" s="33" t="str">
        <f aca="false">IF(A270="","",IFERROR(INDEX(CRM_Contatos!$B$5:$B$304,MATCH(A270,CRM_Contatos!$A$5:$A$304,0)),"ID não encontrado"))</f>
        <v/>
      </c>
      <c r="C270" s="1"/>
      <c r="D270" s="1"/>
      <c r="E270" s="1"/>
      <c r="F270" s="21"/>
      <c r="G270" s="34" t="str">
        <f aca="false">IF(E270="","",IFERROR(INDEX(Listas!$O$4:$O$10,MATCH(E270,Listas!$N$4:$N$10,0)),0))</f>
        <v/>
      </c>
      <c r="H270" s="22" t="str">
        <f aca="false">IF(OR(F270="",G270=""),"",F270*G270)</f>
        <v/>
      </c>
      <c r="I270" s="1"/>
      <c r="J270" s="1"/>
      <c r="K270" s="25"/>
      <c r="L270" s="35" t="str">
        <f aca="true">IF(K270="","",IF(LEFT(E270,7)="Fechado","Encerrada",IF(K270&lt;TODAY(),"Atrasada",IF(K270-TODAY()&lt;=3,"Esta semana","No prazo"))))</f>
        <v/>
      </c>
      <c r="M270" s="25"/>
    </row>
    <row r="271" customFormat="false" ht="15" hidden="false" customHeight="false" outlineLevel="0" collapsed="false">
      <c r="A271" s="1"/>
      <c r="B271" s="33" t="str">
        <f aca="false">IF(A271="","",IFERROR(INDEX(CRM_Contatos!$B$5:$B$304,MATCH(A271,CRM_Contatos!$A$5:$A$304,0)),"ID não encontrado"))</f>
        <v/>
      </c>
      <c r="C271" s="1"/>
      <c r="D271" s="1"/>
      <c r="E271" s="1"/>
      <c r="F271" s="21"/>
      <c r="G271" s="34" t="str">
        <f aca="false">IF(E271="","",IFERROR(INDEX(Listas!$O$4:$O$10,MATCH(E271,Listas!$N$4:$N$10,0)),0))</f>
        <v/>
      </c>
      <c r="H271" s="22" t="str">
        <f aca="false">IF(OR(F271="",G271=""),"",F271*G271)</f>
        <v/>
      </c>
      <c r="I271" s="1"/>
      <c r="J271" s="1"/>
      <c r="K271" s="25"/>
      <c r="L271" s="35" t="str">
        <f aca="true">IF(K271="","",IF(LEFT(E271,7)="Fechado","Encerrada",IF(K271&lt;TODAY(),"Atrasada",IF(K271-TODAY()&lt;=3,"Esta semana","No prazo"))))</f>
        <v/>
      </c>
      <c r="M271" s="25"/>
    </row>
    <row r="272" customFormat="false" ht="15" hidden="false" customHeight="false" outlineLevel="0" collapsed="false">
      <c r="A272" s="1"/>
      <c r="B272" s="33" t="str">
        <f aca="false">IF(A272="","",IFERROR(INDEX(CRM_Contatos!$B$5:$B$304,MATCH(A272,CRM_Contatos!$A$5:$A$304,0)),"ID não encontrado"))</f>
        <v/>
      </c>
      <c r="C272" s="1"/>
      <c r="D272" s="1"/>
      <c r="E272" s="1"/>
      <c r="F272" s="21"/>
      <c r="G272" s="34" t="str">
        <f aca="false">IF(E272="","",IFERROR(INDEX(Listas!$O$4:$O$10,MATCH(E272,Listas!$N$4:$N$10,0)),0))</f>
        <v/>
      </c>
      <c r="H272" s="22" t="str">
        <f aca="false">IF(OR(F272="",G272=""),"",F272*G272)</f>
        <v/>
      </c>
      <c r="I272" s="1"/>
      <c r="J272" s="1"/>
      <c r="K272" s="25"/>
      <c r="L272" s="35" t="str">
        <f aca="true">IF(K272="","",IF(LEFT(E272,7)="Fechado","Encerrada",IF(K272&lt;TODAY(),"Atrasada",IF(K272-TODAY()&lt;=3,"Esta semana","No prazo"))))</f>
        <v/>
      </c>
      <c r="M272" s="25"/>
    </row>
    <row r="273" customFormat="false" ht="15" hidden="false" customHeight="false" outlineLevel="0" collapsed="false">
      <c r="A273" s="1"/>
      <c r="B273" s="33" t="str">
        <f aca="false">IF(A273="","",IFERROR(INDEX(CRM_Contatos!$B$5:$B$304,MATCH(A273,CRM_Contatos!$A$5:$A$304,0)),"ID não encontrado"))</f>
        <v/>
      </c>
      <c r="C273" s="1"/>
      <c r="D273" s="1"/>
      <c r="E273" s="1"/>
      <c r="F273" s="21"/>
      <c r="G273" s="34" t="str">
        <f aca="false">IF(E273="","",IFERROR(INDEX(Listas!$O$4:$O$10,MATCH(E273,Listas!$N$4:$N$10,0)),0))</f>
        <v/>
      </c>
      <c r="H273" s="22" t="str">
        <f aca="false">IF(OR(F273="",G273=""),"",F273*G273)</f>
        <v/>
      </c>
      <c r="I273" s="1"/>
      <c r="J273" s="1"/>
      <c r="K273" s="25"/>
      <c r="L273" s="35" t="str">
        <f aca="true">IF(K273="","",IF(LEFT(E273,7)="Fechado","Encerrada",IF(K273&lt;TODAY(),"Atrasada",IF(K273-TODAY()&lt;=3,"Esta semana","No prazo"))))</f>
        <v/>
      </c>
      <c r="M273" s="25"/>
    </row>
    <row r="274" customFormat="false" ht="15" hidden="false" customHeight="false" outlineLevel="0" collapsed="false">
      <c r="A274" s="1"/>
      <c r="B274" s="33" t="str">
        <f aca="false">IF(A274="","",IFERROR(INDEX(CRM_Contatos!$B$5:$B$304,MATCH(A274,CRM_Contatos!$A$5:$A$304,0)),"ID não encontrado"))</f>
        <v/>
      </c>
      <c r="C274" s="1"/>
      <c r="D274" s="1"/>
      <c r="E274" s="1"/>
      <c r="F274" s="21"/>
      <c r="G274" s="34" t="str">
        <f aca="false">IF(E274="","",IFERROR(INDEX(Listas!$O$4:$O$10,MATCH(E274,Listas!$N$4:$N$10,0)),0))</f>
        <v/>
      </c>
      <c r="H274" s="22" t="str">
        <f aca="false">IF(OR(F274="",G274=""),"",F274*G274)</f>
        <v/>
      </c>
      <c r="I274" s="1"/>
      <c r="J274" s="1"/>
      <c r="K274" s="25"/>
      <c r="L274" s="35" t="str">
        <f aca="true">IF(K274="","",IF(LEFT(E274,7)="Fechado","Encerrada",IF(K274&lt;TODAY(),"Atrasada",IF(K274-TODAY()&lt;=3,"Esta semana","No prazo"))))</f>
        <v/>
      </c>
      <c r="M274" s="25"/>
    </row>
    <row r="275" customFormat="false" ht="15" hidden="false" customHeight="false" outlineLevel="0" collapsed="false">
      <c r="A275" s="1"/>
      <c r="B275" s="33" t="str">
        <f aca="false">IF(A275="","",IFERROR(INDEX(CRM_Contatos!$B$5:$B$304,MATCH(A275,CRM_Contatos!$A$5:$A$304,0)),"ID não encontrado"))</f>
        <v/>
      </c>
      <c r="C275" s="1"/>
      <c r="D275" s="1"/>
      <c r="E275" s="1"/>
      <c r="F275" s="21"/>
      <c r="G275" s="34" t="str">
        <f aca="false">IF(E275="","",IFERROR(INDEX(Listas!$O$4:$O$10,MATCH(E275,Listas!$N$4:$N$10,0)),0))</f>
        <v/>
      </c>
      <c r="H275" s="22" t="str">
        <f aca="false">IF(OR(F275="",G275=""),"",F275*G275)</f>
        <v/>
      </c>
      <c r="I275" s="1"/>
      <c r="J275" s="1"/>
      <c r="K275" s="25"/>
      <c r="L275" s="35" t="str">
        <f aca="true">IF(K275="","",IF(LEFT(E275,7)="Fechado","Encerrada",IF(K275&lt;TODAY(),"Atrasada",IF(K275-TODAY()&lt;=3,"Esta semana","No prazo"))))</f>
        <v/>
      </c>
      <c r="M275" s="25"/>
    </row>
    <row r="276" customFormat="false" ht="15" hidden="false" customHeight="false" outlineLevel="0" collapsed="false">
      <c r="A276" s="1"/>
      <c r="B276" s="33" t="str">
        <f aca="false">IF(A276="","",IFERROR(INDEX(CRM_Contatos!$B$5:$B$304,MATCH(A276,CRM_Contatos!$A$5:$A$304,0)),"ID não encontrado"))</f>
        <v/>
      </c>
      <c r="C276" s="1"/>
      <c r="D276" s="1"/>
      <c r="E276" s="1"/>
      <c r="F276" s="21"/>
      <c r="G276" s="34" t="str">
        <f aca="false">IF(E276="","",IFERROR(INDEX(Listas!$O$4:$O$10,MATCH(E276,Listas!$N$4:$N$10,0)),0))</f>
        <v/>
      </c>
      <c r="H276" s="22" t="str">
        <f aca="false">IF(OR(F276="",G276=""),"",F276*G276)</f>
        <v/>
      </c>
      <c r="I276" s="1"/>
      <c r="J276" s="1"/>
      <c r="K276" s="25"/>
      <c r="L276" s="35" t="str">
        <f aca="true">IF(K276="","",IF(LEFT(E276,7)="Fechado","Encerrada",IF(K276&lt;TODAY(),"Atrasada",IF(K276-TODAY()&lt;=3,"Esta semana","No prazo"))))</f>
        <v/>
      </c>
      <c r="M276" s="25"/>
    </row>
    <row r="277" customFormat="false" ht="15" hidden="false" customHeight="false" outlineLevel="0" collapsed="false">
      <c r="A277" s="1"/>
      <c r="B277" s="33" t="str">
        <f aca="false">IF(A277="","",IFERROR(INDEX(CRM_Contatos!$B$5:$B$304,MATCH(A277,CRM_Contatos!$A$5:$A$304,0)),"ID não encontrado"))</f>
        <v/>
      </c>
      <c r="C277" s="1"/>
      <c r="D277" s="1"/>
      <c r="E277" s="1"/>
      <c r="F277" s="21"/>
      <c r="G277" s="34" t="str">
        <f aca="false">IF(E277="","",IFERROR(INDEX(Listas!$O$4:$O$10,MATCH(E277,Listas!$N$4:$N$10,0)),0))</f>
        <v/>
      </c>
      <c r="H277" s="22" t="str">
        <f aca="false">IF(OR(F277="",G277=""),"",F277*G277)</f>
        <v/>
      </c>
      <c r="I277" s="1"/>
      <c r="J277" s="1"/>
      <c r="K277" s="25"/>
      <c r="L277" s="35" t="str">
        <f aca="true">IF(K277="","",IF(LEFT(E277,7)="Fechado","Encerrada",IF(K277&lt;TODAY(),"Atrasada",IF(K277-TODAY()&lt;=3,"Esta semana","No prazo"))))</f>
        <v/>
      </c>
      <c r="M277" s="25"/>
    </row>
    <row r="278" customFormat="false" ht="15" hidden="false" customHeight="false" outlineLevel="0" collapsed="false">
      <c r="A278" s="1"/>
      <c r="B278" s="33" t="str">
        <f aca="false">IF(A278="","",IFERROR(INDEX(CRM_Contatos!$B$5:$B$304,MATCH(A278,CRM_Contatos!$A$5:$A$304,0)),"ID não encontrado"))</f>
        <v/>
      </c>
      <c r="C278" s="1"/>
      <c r="D278" s="1"/>
      <c r="E278" s="1"/>
      <c r="F278" s="21"/>
      <c r="G278" s="34" t="str">
        <f aca="false">IF(E278="","",IFERROR(INDEX(Listas!$O$4:$O$10,MATCH(E278,Listas!$N$4:$N$10,0)),0))</f>
        <v/>
      </c>
      <c r="H278" s="22" t="str">
        <f aca="false">IF(OR(F278="",G278=""),"",F278*G278)</f>
        <v/>
      </c>
      <c r="I278" s="1"/>
      <c r="J278" s="1"/>
      <c r="K278" s="25"/>
      <c r="L278" s="35" t="str">
        <f aca="true">IF(K278="","",IF(LEFT(E278,7)="Fechado","Encerrada",IF(K278&lt;TODAY(),"Atrasada",IF(K278-TODAY()&lt;=3,"Esta semana","No prazo"))))</f>
        <v/>
      </c>
      <c r="M278" s="25"/>
    </row>
    <row r="279" customFormat="false" ht="15" hidden="false" customHeight="false" outlineLevel="0" collapsed="false">
      <c r="A279" s="1"/>
      <c r="B279" s="33" t="str">
        <f aca="false">IF(A279="","",IFERROR(INDEX(CRM_Contatos!$B$5:$B$304,MATCH(A279,CRM_Contatos!$A$5:$A$304,0)),"ID não encontrado"))</f>
        <v/>
      </c>
      <c r="C279" s="1"/>
      <c r="D279" s="1"/>
      <c r="E279" s="1"/>
      <c r="F279" s="21"/>
      <c r="G279" s="34" t="str">
        <f aca="false">IF(E279="","",IFERROR(INDEX(Listas!$O$4:$O$10,MATCH(E279,Listas!$N$4:$N$10,0)),0))</f>
        <v/>
      </c>
      <c r="H279" s="22" t="str">
        <f aca="false">IF(OR(F279="",G279=""),"",F279*G279)</f>
        <v/>
      </c>
      <c r="I279" s="1"/>
      <c r="J279" s="1"/>
      <c r="K279" s="25"/>
      <c r="L279" s="35" t="str">
        <f aca="true">IF(K279="","",IF(LEFT(E279,7)="Fechado","Encerrada",IF(K279&lt;TODAY(),"Atrasada",IF(K279-TODAY()&lt;=3,"Esta semana","No prazo"))))</f>
        <v/>
      </c>
      <c r="M279" s="25"/>
    </row>
    <row r="280" customFormat="false" ht="15" hidden="false" customHeight="false" outlineLevel="0" collapsed="false">
      <c r="A280" s="1"/>
      <c r="B280" s="33" t="str">
        <f aca="false">IF(A280="","",IFERROR(INDEX(CRM_Contatos!$B$5:$B$304,MATCH(A280,CRM_Contatos!$A$5:$A$304,0)),"ID não encontrado"))</f>
        <v/>
      </c>
      <c r="C280" s="1"/>
      <c r="D280" s="1"/>
      <c r="E280" s="1"/>
      <c r="F280" s="21"/>
      <c r="G280" s="34" t="str">
        <f aca="false">IF(E280="","",IFERROR(INDEX(Listas!$O$4:$O$10,MATCH(E280,Listas!$N$4:$N$10,0)),0))</f>
        <v/>
      </c>
      <c r="H280" s="22" t="str">
        <f aca="false">IF(OR(F280="",G280=""),"",F280*G280)</f>
        <v/>
      </c>
      <c r="I280" s="1"/>
      <c r="J280" s="1"/>
      <c r="K280" s="25"/>
      <c r="L280" s="35" t="str">
        <f aca="true">IF(K280="","",IF(LEFT(E280,7)="Fechado","Encerrada",IF(K280&lt;TODAY(),"Atrasada",IF(K280-TODAY()&lt;=3,"Esta semana","No prazo"))))</f>
        <v/>
      </c>
      <c r="M280" s="25"/>
    </row>
    <row r="281" customFormat="false" ht="15" hidden="false" customHeight="false" outlineLevel="0" collapsed="false">
      <c r="A281" s="1"/>
      <c r="B281" s="33" t="str">
        <f aca="false">IF(A281="","",IFERROR(INDEX(CRM_Contatos!$B$5:$B$304,MATCH(A281,CRM_Contatos!$A$5:$A$304,0)),"ID não encontrado"))</f>
        <v/>
      </c>
      <c r="C281" s="1"/>
      <c r="D281" s="1"/>
      <c r="E281" s="1"/>
      <c r="F281" s="21"/>
      <c r="G281" s="34" t="str">
        <f aca="false">IF(E281="","",IFERROR(INDEX(Listas!$O$4:$O$10,MATCH(E281,Listas!$N$4:$N$10,0)),0))</f>
        <v/>
      </c>
      <c r="H281" s="22" t="str">
        <f aca="false">IF(OR(F281="",G281=""),"",F281*G281)</f>
        <v/>
      </c>
      <c r="I281" s="1"/>
      <c r="J281" s="1"/>
      <c r="K281" s="25"/>
      <c r="L281" s="35" t="str">
        <f aca="true">IF(K281="","",IF(LEFT(E281,7)="Fechado","Encerrada",IF(K281&lt;TODAY(),"Atrasada",IF(K281-TODAY()&lt;=3,"Esta semana","No prazo"))))</f>
        <v/>
      </c>
      <c r="M281" s="25"/>
    </row>
    <row r="282" customFormat="false" ht="15" hidden="false" customHeight="false" outlineLevel="0" collapsed="false">
      <c r="A282" s="1"/>
      <c r="B282" s="33" t="str">
        <f aca="false">IF(A282="","",IFERROR(INDEX(CRM_Contatos!$B$5:$B$304,MATCH(A282,CRM_Contatos!$A$5:$A$304,0)),"ID não encontrado"))</f>
        <v/>
      </c>
      <c r="C282" s="1"/>
      <c r="D282" s="1"/>
      <c r="E282" s="1"/>
      <c r="F282" s="21"/>
      <c r="G282" s="34" t="str">
        <f aca="false">IF(E282="","",IFERROR(INDEX(Listas!$O$4:$O$10,MATCH(E282,Listas!$N$4:$N$10,0)),0))</f>
        <v/>
      </c>
      <c r="H282" s="22" t="str">
        <f aca="false">IF(OR(F282="",G282=""),"",F282*G282)</f>
        <v/>
      </c>
      <c r="I282" s="1"/>
      <c r="J282" s="1"/>
      <c r="K282" s="25"/>
      <c r="L282" s="35" t="str">
        <f aca="true">IF(K282="","",IF(LEFT(E282,7)="Fechado","Encerrada",IF(K282&lt;TODAY(),"Atrasada",IF(K282-TODAY()&lt;=3,"Esta semana","No prazo"))))</f>
        <v/>
      </c>
      <c r="M282" s="25"/>
    </row>
    <row r="283" customFormat="false" ht="15" hidden="false" customHeight="false" outlineLevel="0" collapsed="false">
      <c r="A283" s="1"/>
      <c r="B283" s="33" t="str">
        <f aca="false">IF(A283="","",IFERROR(INDEX(CRM_Contatos!$B$5:$B$304,MATCH(A283,CRM_Contatos!$A$5:$A$304,0)),"ID não encontrado"))</f>
        <v/>
      </c>
      <c r="C283" s="1"/>
      <c r="D283" s="1"/>
      <c r="E283" s="1"/>
      <c r="F283" s="21"/>
      <c r="G283" s="34" t="str">
        <f aca="false">IF(E283="","",IFERROR(INDEX(Listas!$O$4:$O$10,MATCH(E283,Listas!$N$4:$N$10,0)),0))</f>
        <v/>
      </c>
      <c r="H283" s="22" t="str">
        <f aca="false">IF(OR(F283="",G283=""),"",F283*G283)</f>
        <v/>
      </c>
      <c r="I283" s="1"/>
      <c r="J283" s="1"/>
      <c r="K283" s="25"/>
      <c r="L283" s="35" t="str">
        <f aca="true">IF(K283="","",IF(LEFT(E283,7)="Fechado","Encerrada",IF(K283&lt;TODAY(),"Atrasada",IF(K283-TODAY()&lt;=3,"Esta semana","No prazo"))))</f>
        <v/>
      </c>
      <c r="M283" s="25"/>
    </row>
    <row r="284" customFormat="false" ht="15" hidden="false" customHeight="false" outlineLevel="0" collapsed="false">
      <c r="A284" s="1"/>
      <c r="B284" s="33" t="str">
        <f aca="false">IF(A284="","",IFERROR(INDEX(CRM_Contatos!$B$5:$B$304,MATCH(A284,CRM_Contatos!$A$5:$A$304,0)),"ID não encontrado"))</f>
        <v/>
      </c>
      <c r="C284" s="1"/>
      <c r="D284" s="1"/>
      <c r="E284" s="1"/>
      <c r="F284" s="21"/>
      <c r="G284" s="34" t="str">
        <f aca="false">IF(E284="","",IFERROR(INDEX(Listas!$O$4:$O$10,MATCH(E284,Listas!$N$4:$N$10,0)),0))</f>
        <v/>
      </c>
      <c r="H284" s="22" t="str">
        <f aca="false">IF(OR(F284="",G284=""),"",F284*G284)</f>
        <v/>
      </c>
      <c r="I284" s="1"/>
      <c r="J284" s="1"/>
      <c r="K284" s="25"/>
      <c r="L284" s="35" t="str">
        <f aca="true">IF(K284="","",IF(LEFT(E284,7)="Fechado","Encerrada",IF(K284&lt;TODAY(),"Atrasada",IF(K284-TODAY()&lt;=3,"Esta semana","No prazo"))))</f>
        <v/>
      </c>
      <c r="M284" s="25"/>
    </row>
    <row r="285" customFormat="false" ht="15" hidden="false" customHeight="false" outlineLevel="0" collapsed="false">
      <c r="A285" s="1"/>
      <c r="B285" s="33" t="str">
        <f aca="false">IF(A285="","",IFERROR(INDEX(CRM_Contatos!$B$5:$B$304,MATCH(A285,CRM_Contatos!$A$5:$A$304,0)),"ID não encontrado"))</f>
        <v/>
      </c>
      <c r="C285" s="1"/>
      <c r="D285" s="1"/>
      <c r="E285" s="1"/>
      <c r="F285" s="21"/>
      <c r="G285" s="34" t="str">
        <f aca="false">IF(E285="","",IFERROR(INDEX(Listas!$O$4:$O$10,MATCH(E285,Listas!$N$4:$N$10,0)),0))</f>
        <v/>
      </c>
      <c r="H285" s="22" t="str">
        <f aca="false">IF(OR(F285="",G285=""),"",F285*G285)</f>
        <v/>
      </c>
      <c r="I285" s="1"/>
      <c r="J285" s="1"/>
      <c r="K285" s="25"/>
      <c r="L285" s="35" t="str">
        <f aca="true">IF(K285="","",IF(LEFT(E285,7)="Fechado","Encerrada",IF(K285&lt;TODAY(),"Atrasada",IF(K285-TODAY()&lt;=3,"Esta semana","No prazo"))))</f>
        <v/>
      </c>
      <c r="M285" s="25"/>
    </row>
    <row r="286" customFormat="false" ht="15" hidden="false" customHeight="false" outlineLevel="0" collapsed="false">
      <c r="A286" s="1"/>
      <c r="B286" s="33" t="str">
        <f aca="false">IF(A286="","",IFERROR(INDEX(CRM_Contatos!$B$5:$B$304,MATCH(A286,CRM_Contatos!$A$5:$A$304,0)),"ID não encontrado"))</f>
        <v/>
      </c>
      <c r="C286" s="1"/>
      <c r="D286" s="1"/>
      <c r="E286" s="1"/>
      <c r="F286" s="21"/>
      <c r="G286" s="34" t="str">
        <f aca="false">IF(E286="","",IFERROR(INDEX(Listas!$O$4:$O$10,MATCH(E286,Listas!$N$4:$N$10,0)),0))</f>
        <v/>
      </c>
      <c r="H286" s="22" t="str">
        <f aca="false">IF(OR(F286="",G286=""),"",F286*G286)</f>
        <v/>
      </c>
      <c r="I286" s="1"/>
      <c r="J286" s="1"/>
      <c r="K286" s="25"/>
      <c r="L286" s="35" t="str">
        <f aca="true">IF(K286="","",IF(LEFT(E286,7)="Fechado","Encerrada",IF(K286&lt;TODAY(),"Atrasada",IF(K286-TODAY()&lt;=3,"Esta semana","No prazo"))))</f>
        <v/>
      </c>
      <c r="M286" s="25"/>
    </row>
    <row r="287" customFormat="false" ht="15" hidden="false" customHeight="false" outlineLevel="0" collapsed="false">
      <c r="A287" s="1"/>
      <c r="B287" s="33" t="str">
        <f aca="false">IF(A287="","",IFERROR(INDEX(CRM_Contatos!$B$5:$B$304,MATCH(A287,CRM_Contatos!$A$5:$A$304,0)),"ID não encontrado"))</f>
        <v/>
      </c>
      <c r="C287" s="1"/>
      <c r="D287" s="1"/>
      <c r="E287" s="1"/>
      <c r="F287" s="21"/>
      <c r="G287" s="34" t="str">
        <f aca="false">IF(E287="","",IFERROR(INDEX(Listas!$O$4:$O$10,MATCH(E287,Listas!$N$4:$N$10,0)),0))</f>
        <v/>
      </c>
      <c r="H287" s="22" t="str">
        <f aca="false">IF(OR(F287="",G287=""),"",F287*G287)</f>
        <v/>
      </c>
      <c r="I287" s="1"/>
      <c r="J287" s="1"/>
      <c r="K287" s="25"/>
      <c r="L287" s="35" t="str">
        <f aca="true">IF(K287="","",IF(LEFT(E287,7)="Fechado","Encerrada",IF(K287&lt;TODAY(),"Atrasada",IF(K287-TODAY()&lt;=3,"Esta semana","No prazo"))))</f>
        <v/>
      </c>
      <c r="M287" s="25"/>
    </row>
    <row r="288" customFormat="false" ht="15" hidden="false" customHeight="false" outlineLevel="0" collapsed="false">
      <c r="A288" s="1"/>
      <c r="B288" s="33" t="str">
        <f aca="false">IF(A288="","",IFERROR(INDEX(CRM_Contatos!$B$5:$B$304,MATCH(A288,CRM_Contatos!$A$5:$A$304,0)),"ID não encontrado"))</f>
        <v/>
      </c>
      <c r="C288" s="1"/>
      <c r="D288" s="1"/>
      <c r="E288" s="1"/>
      <c r="F288" s="21"/>
      <c r="G288" s="34" t="str">
        <f aca="false">IF(E288="","",IFERROR(INDEX(Listas!$O$4:$O$10,MATCH(E288,Listas!$N$4:$N$10,0)),0))</f>
        <v/>
      </c>
      <c r="H288" s="22" t="str">
        <f aca="false">IF(OR(F288="",G288=""),"",F288*G288)</f>
        <v/>
      </c>
      <c r="I288" s="1"/>
      <c r="J288" s="1"/>
      <c r="K288" s="25"/>
      <c r="L288" s="35" t="str">
        <f aca="true">IF(K288="","",IF(LEFT(E288,7)="Fechado","Encerrada",IF(K288&lt;TODAY(),"Atrasada",IF(K288-TODAY()&lt;=3,"Esta semana","No prazo"))))</f>
        <v/>
      </c>
      <c r="M288" s="25"/>
    </row>
    <row r="289" customFormat="false" ht="15" hidden="false" customHeight="false" outlineLevel="0" collapsed="false">
      <c r="A289" s="1"/>
      <c r="B289" s="33" t="str">
        <f aca="false">IF(A289="","",IFERROR(INDEX(CRM_Contatos!$B$5:$B$304,MATCH(A289,CRM_Contatos!$A$5:$A$304,0)),"ID não encontrado"))</f>
        <v/>
      </c>
      <c r="C289" s="1"/>
      <c r="D289" s="1"/>
      <c r="E289" s="1"/>
      <c r="F289" s="21"/>
      <c r="G289" s="34" t="str">
        <f aca="false">IF(E289="","",IFERROR(INDEX(Listas!$O$4:$O$10,MATCH(E289,Listas!$N$4:$N$10,0)),0))</f>
        <v/>
      </c>
      <c r="H289" s="22" t="str">
        <f aca="false">IF(OR(F289="",G289=""),"",F289*G289)</f>
        <v/>
      </c>
      <c r="I289" s="1"/>
      <c r="J289" s="1"/>
      <c r="K289" s="25"/>
      <c r="L289" s="35" t="str">
        <f aca="true">IF(K289="","",IF(LEFT(E289,7)="Fechado","Encerrada",IF(K289&lt;TODAY(),"Atrasada",IF(K289-TODAY()&lt;=3,"Esta semana","No prazo"))))</f>
        <v/>
      </c>
      <c r="M289" s="25"/>
    </row>
    <row r="290" customFormat="false" ht="15" hidden="false" customHeight="false" outlineLevel="0" collapsed="false">
      <c r="A290" s="1"/>
      <c r="B290" s="33" t="str">
        <f aca="false">IF(A290="","",IFERROR(INDEX(CRM_Contatos!$B$5:$B$304,MATCH(A290,CRM_Contatos!$A$5:$A$304,0)),"ID não encontrado"))</f>
        <v/>
      </c>
      <c r="C290" s="1"/>
      <c r="D290" s="1"/>
      <c r="E290" s="1"/>
      <c r="F290" s="21"/>
      <c r="G290" s="34" t="str">
        <f aca="false">IF(E290="","",IFERROR(INDEX(Listas!$O$4:$O$10,MATCH(E290,Listas!$N$4:$N$10,0)),0))</f>
        <v/>
      </c>
      <c r="H290" s="22" t="str">
        <f aca="false">IF(OR(F290="",G290=""),"",F290*G290)</f>
        <v/>
      </c>
      <c r="I290" s="1"/>
      <c r="J290" s="1"/>
      <c r="K290" s="25"/>
      <c r="L290" s="35" t="str">
        <f aca="true">IF(K290="","",IF(LEFT(E290,7)="Fechado","Encerrada",IF(K290&lt;TODAY(),"Atrasada",IF(K290-TODAY()&lt;=3,"Esta semana","No prazo"))))</f>
        <v/>
      </c>
      <c r="M290" s="25"/>
    </row>
    <row r="291" customFormat="false" ht="15" hidden="false" customHeight="false" outlineLevel="0" collapsed="false">
      <c r="A291" s="1"/>
      <c r="B291" s="33" t="str">
        <f aca="false">IF(A291="","",IFERROR(INDEX(CRM_Contatos!$B$5:$B$304,MATCH(A291,CRM_Contatos!$A$5:$A$304,0)),"ID não encontrado"))</f>
        <v/>
      </c>
      <c r="C291" s="1"/>
      <c r="D291" s="1"/>
      <c r="E291" s="1"/>
      <c r="F291" s="21"/>
      <c r="G291" s="34" t="str">
        <f aca="false">IF(E291="","",IFERROR(INDEX(Listas!$O$4:$O$10,MATCH(E291,Listas!$N$4:$N$10,0)),0))</f>
        <v/>
      </c>
      <c r="H291" s="22" t="str">
        <f aca="false">IF(OR(F291="",G291=""),"",F291*G291)</f>
        <v/>
      </c>
      <c r="I291" s="1"/>
      <c r="J291" s="1"/>
      <c r="K291" s="25"/>
      <c r="L291" s="35" t="str">
        <f aca="true">IF(K291="","",IF(LEFT(E291,7)="Fechado","Encerrada",IF(K291&lt;TODAY(),"Atrasada",IF(K291-TODAY()&lt;=3,"Esta semana","No prazo"))))</f>
        <v/>
      </c>
      <c r="M291" s="25"/>
    </row>
    <row r="292" customFormat="false" ht="15" hidden="false" customHeight="false" outlineLevel="0" collapsed="false">
      <c r="A292" s="1"/>
      <c r="B292" s="33" t="str">
        <f aca="false">IF(A292="","",IFERROR(INDEX(CRM_Contatos!$B$5:$B$304,MATCH(A292,CRM_Contatos!$A$5:$A$304,0)),"ID não encontrado"))</f>
        <v/>
      </c>
      <c r="C292" s="1"/>
      <c r="D292" s="1"/>
      <c r="E292" s="1"/>
      <c r="F292" s="21"/>
      <c r="G292" s="34" t="str">
        <f aca="false">IF(E292="","",IFERROR(INDEX(Listas!$O$4:$O$10,MATCH(E292,Listas!$N$4:$N$10,0)),0))</f>
        <v/>
      </c>
      <c r="H292" s="22" t="str">
        <f aca="false">IF(OR(F292="",G292=""),"",F292*G292)</f>
        <v/>
      </c>
      <c r="I292" s="1"/>
      <c r="J292" s="1"/>
      <c r="K292" s="25"/>
      <c r="L292" s="35" t="str">
        <f aca="true">IF(K292="","",IF(LEFT(E292,7)="Fechado","Encerrada",IF(K292&lt;TODAY(),"Atrasada",IF(K292-TODAY()&lt;=3,"Esta semana","No prazo"))))</f>
        <v/>
      </c>
      <c r="M292" s="25"/>
    </row>
    <row r="293" customFormat="false" ht="15" hidden="false" customHeight="false" outlineLevel="0" collapsed="false">
      <c r="A293" s="1"/>
      <c r="B293" s="33" t="str">
        <f aca="false">IF(A293="","",IFERROR(INDEX(CRM_Contatos!$B$5:$B$304,MATCH(A293,CRM_Contatos!$A$5:$A$304,0)),"ID não encontrado"))</f>
        <v/>
      </c>
      <c r="C293" s="1"/>
      <c r="D293" s="1"/>
      <c r="E293" s="1"/>
      <c r="F293" s="21"/>
      <c r="G293" s="34" t="str">
        <f aca="false">IF(E293="","",IFERROR(INDEX(Listas!$O$4:$O$10,MATCH(E293,Listas!$N$4:$N$10,0)),0))</f>
        <v/>
      </c>
      <c r="H293" s="22" t="str">
        <f aca="false">IF(OR(F293="",G293=""),"",F293*G293)</f>
        <v/>
      </c>
      <c r="I293" s="1"/>
      <c r="J293" s="1"/>
      <c r="K293" s="25"/>
      <c r="L293" s="35" t="str">
        <f aca="true">IF(K293="","",IF(LEFT(E293,7)="Fechado","Encerrada",IF(K293&lt;TODAY(),"Atrasada",IF(K293-TODAY()&lt;=3,"Esta semana","No prazo"))))</f>
        <v/>
      </c>
      <c r="M293" s="25"/>
    </row>
    <row r="294" customFormat="false" ht="15" hidden="false" customHeight="false" outlineLevel="0" collapsed="false">
      <c r="A294" s="1"/>
      <c r="B294" s="33" t="str">
        <f aca="false">IF(A294="","",IFERROR(INDEX(CRM_Contatos!$B$5:$B$304,MATCH(A294,CRM_Contatos!$A$5:$A$304,0)),"ID não encontrado"))</f>
        <v/>
      </c>
      <c r="C294" s="1"/>
      <c r="D294" s="1"/>
      <c r="E294" s="1"/>
      <c r="F294" s="21"/>
      <c r="G294" s="34" t="str">
        <f aca="false">IF(E294="","",IFERROR(INDEX(Listas!$O$4:$O$10,MATCH(E294,Listas!$N$4:$N$10,0)),0))</f>
        <v/>
      </c>
      <c r="H294" s="22" t="str">
        <f aca="false">IF(OR(F294="",G294=""),"",F294*G294)</f>
        <v/>
      </c>
      <c r="I294" s="1"/>
      <c r="J294" s="1"/>
      <c r="K294" s="25"/>
      <c r="L294" s="35" t="str">
        <f aca="true">IF(K294="","",IF(LEFT(E294,7)="Fechado","Encerrada",IF(K294&lt;TODAY(),"Atrasada",IF(K294-TODAY()&lt;=3,"Esta semana","No prazo"))))</f>
        <v/>
      </c>
      <c r="M294" s="25"/>
    </row>
    <row r="295" customFormat="false" ht="15" hidden="false" customHeight="false" outlineLevel="0" collapsed="false">
      <c r="A295" s="1"/>
      <c r="B295" s="33" t="str">
        <f aca="false">IF(A295="","",IFERROR(INDEX(CRM_Contatos!$B$5:$B$304,MATCH(A295,CRM_Contatos!$A$5:$A$304,0)),"ID não encontrado"))</f>
        <v/>
      </c>
      <c r="C295" s="1"/>
      <c r="D295" s="1"/>
      <c r="E295" s="1"/>
      <c r="F295" s="21"/>
      <c r="G295" s="34" t="str">
        <f aca="false">IF(E295="","",IFERROR(INDEX(Listas!$O$4:$O$10,MATCH(E295,Listas!$N$4:$N$10,0)),0))</f>
        <v/>
      </c>
      <c r="H295" s="22" t="str">
        <f aca="false">IF(OR(F295="",G295=""),"",F295*G295)</f>
        <v/>
      </c>
      <c r="I295" s="1"/>
      <c r="J295" s="1"/>
      <c r="K295" s="25"/>
      <c r="L295" s="35" t="str">
        <f aca="true">IF(K295="","",IF(LEFT(E295,7)="Fechado","Encerrada",IF(K295&lt;TODAY(),"Atrasada",IF(K295-TODAY()&lt;=3,"Esta semana","No prazo"))))</f>
        <v/>
      </c>
      <c r="M295" s="25"/>
    </row>
    <row r="296" customFormat="false" ht="15" hidden="false" customHeight="false" outlineLevel="0" collapsed="false">
      <c r="A296" s="1"/>
      <c r="B296" s="33" t="str">
        <f aca="false">IF(A296="","",IFERROR(INDEX(CRM_Contatos!$B$5:$B$304,MATCH(A296,CRM_Contatos!$A$5:$A$304,0)),"ID não encontrado"))</f>
        <v/>
      </c>
      <c r="C296" s="1"/>
      <c r="D296" s="1"/>
      <c r="E296" s="1"/>
      <c r="F296" s="21"/>
      <c r="G296" s="34" t="str">
        <f aca="false">IF(E296="","",IFERROR(INDEX(Listas!$O$4:$O$10,MATCH(E296,Listas!$N$4:$N$10,0)),0))</f>
        <v/>
      </c>
      <c r="H296" s="22" t="str">
        <f aca="false">IF(OR(F296="",G296=""),"",F296*G296)</f>
        <v/>
      </c>
      <c r="I296" s="1"/>
      <c r="J296" s="1"/>
      <c r="K296" s="25"/>
      <c r="L296" s="35" t="str">
        <f aca="true">IF(K296="","",IF(LEFT(E296,7)="Fechado","Encerrada",IF(K296&lt;TODAY(),"Atrasada",IF(K296-TODAY()&lt;=3,"Esta semana","No prazo"))))</f>
        <v/>
      </c>
      <c r="M296" s="25"/>
    </row>
    <row r="297" customFormat="false" ht="15" hidden="false" customHeight="false" outlineLevel="0" collapsed="false">
      <c r="A297" s="1"/>
      <c r="B297" s="33" t="str">
        <f aca="false">IF(A297="","",IFERROR(INDEX(CRM_Contatos!$B$5:$B$304,MATCH(A297,CRM_Contatos!$A$5:$A$304,0)),"ID não encontrado"))</f>
        <v/>
      </c>
      <c r="C297" s="1"/>
      <c r="D297" s="1"/>
      <c r="E297" s="1"/>
      <c r="F297" s="21"/>
      <c r="G297" s="34" t="str">
        <f aca="false">IF(E297="","",IFERROR(INDEX(Listas!$O$4:$O$10,MATCH(E297,Listas!$N$4:$N$10,0)),0))</f>
        <v/>
      </c>
      <c r="H297" s="22" t="str">
        <f aca="false">IF(OR(F297="",G297=""),"",F297*G297)</f>
        <v/>
      </c>
      <c r="I297" s="1"/>
      <c r="J297" s="1"/>
      <c r="K297" s="25"/>
      <c r="L297" s="35" t="str">
        <f aca="true">IF(K297="","",IF(LEFT(E297,7)="Fechado","Encerrada",IF(K297&lt;TODAY(),"Atrasada",IF(K297-TODAY()&lt;=3,"Esta semana","No prazo"))))</f>
        <v/>
      </c>
      <c r="M297" s="25"/>
    </row>
    <row r="298" customFormat="false" ht="15" hidden="false" customHeight="false" outlineLevel="0" collapsed="false">
      <c r="A298" s="1"/>
      <c r="B298" s="33" t="str">
        <f aca="false">IF(A298="","",IFERROR(INDEX(CRM_Contatos!$B$5:$B$304,MATCH(A298,CRM_Contatos!$A$5:$A$304,0)),"ID não encontrado"))</f>
        <v/>
      </c>
      <c r="C298" s="1"/>
      <c r="D298" s="1"/>
      <c r="E298" s="1"/>
      <c r="F298" s="21"/>
      <c r="G298" s="34" t="str">
        <f aca="false">IF(E298="","",IFERROR(INDEX(Listas!$O$4:$O$10,MATCH(E298,Listas!$N$4:$N$10,0)),0))</f>
        <v/>
      </c>
      <c r="H298" s="22" t="str">
        <f aca="false">IF(OR(F298="",G298=""),"",F298*G298)</f>
        <v/>
      </c>
      <c r="I298" s="1"/>
      <c r="J298" s="1"/>
      <c r="K298" s="25"/>
      <c r="L298" s="35" t="str">
        <f aca="true">IF(K298="","",IF(LEFT(E298,7)="Fechado","Encerrada",IF(K298&lt;TODAY(),"Atrasada",IF(K298-TODAY()&lt;=3,"Esta semana","No prazo"))))</f>
        <v/>
      </c>
      <c r="M298" s="25"/>
    </row>
    <row r="299" customFormat="false" ht="15" hidden="false" customHeight="false" outlineLevel="0" collapsed="false">
      <c r="A299" s="1"/>
      <c r="B299" s="33" t="str">
        <f aca="false">IF(A299="","",IFERROR(INDEX(CRM_Contatos!$B$5:$B$304,MATCH(A299,CRM_Contatos!$A$5:$A$304,0)),"ID não encontrado"))</f>
        <v/>
      </c>
      <c r="C299" s="1"/>
      <c r="D299" s="1"/>
      <c r="E299" s="1"/>
      <c r="F299" s="21"/>
      <c r="G299" s="34" t="str">
        <f aca="false">IF(E299="","",IFERROR(INDEX(Listas!$O$4:$O$10,MATCH(E299,Listas!$N$4:$N$10,0)),0))</f>
        <v/>
      </c>
      <c r="H299" s="22" t="str">
        <f aca="false">IF(OR(F299="",G299=""),"",F299*G299)</f>
        <v/>
      </c>
      <c r="I299" s="1"/>
      <c r="J299" s="1"/>
      <c r="K299" s="25"/>
      <c r="L299" s="35" t="str">
        <f aca="true">IF(K299="","",IF(LEFT(E299,7)="Fechado","Encerrada",IF(K299&lt;TODAY(),"Atrasada",IF(K299-TODAY()&lt;=3,"Esta semana","No prazo"))))</f>
        <v/>
      </c>
      <c r="M299" s="25"/>
    </row>
    <row r="300" customFormat="false" ht="15" hidden="false" customHeight="false" outlineLevel="0" collapsed="false">
      <c r="A300" s="1"/>
      <c r="B300" s="33" t="str">
        <f aca="false">IF(A300="","",IFERROR(INDEX(CRM_Contatos!$B$5:$B$304,MATCH(A300,CRM_Contatos!$A$5:$A$304,0)),"ID não encontrado"))</f>
        <v/>
      </c>
      <c r="C300" s="1"/>
      <c r="D300" s="1"/>
      <c r="E300" s="1"/>
      <c r="F300" s="21"/>
      <c r="G300" s="34" t="str">
        <f aca="false">IF(E300="","",IFERROR(INDEX(Listas!$O$4:$O$10,MATCH(E300,Listas!$N$4:$N$10,0)),0))</f>
        <v/>
      </c>
      <c r="H300" s="22" t="str">
        <f aca="false">IF(OR(F300="",G300=""),"",F300*G300)</f>
        <v/>
      </c>
      <c r="I300" s="1"/>
      <c r="J300" s="1"/>
      <c r="K300" s="25"/>
      <c r="L300" s="35" t="str">
        <f aca="true">IF(K300="","",IF(LEFT(E300,7)="Fechado","Encerrada",IF(K300&lt;TODAY(),"Atrasada",IF(K300-TODAY()&lt;=3,"Esta semana","No prazo"))))</f>
        <v/>
      </c>
      <c r="M300" s="25"/>
    </row>
    <row r="301" customFormat="false" ht="15" hidden="false" customHeight="false" outlineLevel="0" collapsed="false">
      <c r="A301" s="1"/>
      <c r="B301" s="33" t="str">
        <f aca="false">IF(A301="","",IFERROR(INDEX(CRM_Contatos!$B$5:$B$304,MATCH(A301,CRM_Contatos!$A$5:$A$304,0)),"ID não encontrado"))</f>
        <v/>
      </c>
      <c r="C301" s="1"/>
      <c r="D301" s="1"/>
      <c r="E301" s="1"/>
      <c r="F301" s="21"/>
      <c r="G301" s="34" t="str">
        <f aca="false">IF(E301="","",IFERROR(INDEX(Listas!$O$4:$O$10,MATCH(E301,Listas!$N$4:$N$10,0)),0))</f>
        <v/>
      </c>
      <c r="H301" s="22" t="str">
        <f aca="false">IF(OR(F301="",G301=""),"",F301*G301)</f>
        <v/>
      </c>
      <c r="I301" s="1"/>
      <c r="J301" s="1"/>
      <c r="K301" s="25"/>
      <c r="L301" s="35" t="str">
        <f aca="true">IF(K301="","",IF(LEFT(E301,7)="Fechado","Encerrada",IF(K301&lt;TODAY(),"Atrasada",IF(K301-TODAY()&lt;=3,"Esta semana","No prazo"))))</f>
        <v/>
      </c>
      <c r="M301" s="25"/>
    </row>
    <row r="302" customFormat="false" ht="15" hidden="false" customHeight="false" outlineLevel="0" collapsed="false">
      <c r="A302" s="1"/>
      <c r="B302" s="33" t="str">
        <f aca="false">IF(A302="","",IFERROR(INDEX(CRM_Contatos!$B$5:$B$304,MATCH(A302,CRM_Contatos!$A$5:$A$304,0)),"ID não encontrado"))</f>
        <v/>
      </c>
      <c r="C302" s="1"/>
      <c r="D302" s="1"/>
      <c r="E302" s="1"/>
      <c r="F302" s="21"/>
      <c r="G302" s="34" t="str">
        <f aca="false">IF(E302="","",IFERROR(INDEX(Listas!$O$4:$O$10,MATCH(E302,Listas!$N$4:$N$10,0)),0))</f>
        <v/>
      </c>
      <c r="H302" s="22" t="str">
        <f aca="false">IF(OR(F302="",G302=""),"",F302*G302)</f>
        <v/>
      </c>
      <c r="I302" s="1"/>
      <c r="J302" s="1"/>
      <c r="K302" s="25"/>
      <c r="L302" s="35" t="str">
        <f aca="true">IF(K302="","",IF(LEFT(E302,7)="Fechado","Encerrada",IF(K302&lt;TODAY(),"Atrasada",IF(K302-TODAY()&lt;=3,"Esta semana","No prazo"))))</f>
        <v/>
      </c>
      <c r="M302" s="25"/>
    </row>
    <row r="303" customFormat="false" ht="15" hidden="false" customHeight="false" outlineLevel="0" collapsed="false">
      <c r="A303" s="1"/>
      <c r="B303" s="33" t="str">
        <f aca="false">IF(A303="","",IFERROR(INDEX(CRM_Contatos!$B$5:$B$304,MATCH(A303,CRM_Contatos!$A$5:$A$304,0)),"ID não encontrado"))</f>
        <v/>
      </c>
      <c r="C303" s="1"/>
      <c r="D303" s="1"/>
      <c r="E303" s="1"/>
      <c r="F303" s="21"/>
      <c r="G303" s="34" t="str">
        <f aca="false">IF(E303="","",IFERROR(INDEX(Listas!$O$4:$O$10,MATCH(E303,Listas!$N$4:$N$10,0)),0))</f>
        <v/>
      </c>
      <c r="H303" s="22" t="str">
        <f aca="false">IF(OR(F303="",G303=""),"",F303*G303)</f>
        <v/>
      </c>
      <c r="I303" s="1"/>
      <c r="J303" s="1"/>
      <c r="K303" s="25"/>
      <c r="L303" s="35" t="str">
        <f aca="true">IF(K303="","",IF(LEFT(E303,7)="Fechado","Encerrada",IF(K303&lt;TODAY(),"Atrasada",IF(K303-TODAY()&lt;=3,"Esta semana","No prazo"))))</f>
        <v/>
      </c>
      <c r="M303" s="25"/>
    </row>
    <row r="304" customFormat="false" ht="15" hidden="false" customHeight="false" outlineLevel="0" collapsed="false">
      <c r="A304" s="1"/>
      <c r="B304" s="33" t="str">
        <f aca="false">IF(A304="","",IFERROR(INDEX(CRM_Contatos!$B$5:$B$304,MATCH(A304,CRM_Contatos!$A$5:$A$304,0)),"ID não encontrado"))</f>
        <v/>
      </c>
      <c r="C304" s="1"/>
      <c r="D304" s="1"/>
      <c r="E304" s="1"/>
      <c r="F304" s="21"/>
      <c r="G304" s="34" t="str">
        <f aca="false">IF(E304="","",IFERROR(INDEX(Listas!$O$4:$O$10,MATCH(E304,Listas!$N$4:$N$10,0)),0))</f>
        <v/>
      </c>
      <c r="H304" s="22" t="str">
        <f aca="false">IF(OR(F304="",G304=""),"",F304*G304)</f>
        <v/>
      </c>
      <c r="I304" s="1"/>
      <c r="J304" s="1"/>
      <c r="K304" s="25"/>
      <c r="L304" s="35" t="str">
        <f aca="true">IF(K304="","",IF(LEFT(E304,7)="Fechado","Encerrada",IF(K304&lt;TODAY(),"Atrasada",IF(K304-TODAY()&lt;=3,"Esta semana","No prazo"))))</f>
        <v/>
      </c>
      <c r="M304" s="25"/>
    </row>
  </sheetData>
  <autoFilter ref="A4:M304"/>
  <conditionalFormatting sqref="L5:L304">
    <cfRule type="cellIs" priority="2" operator="equal" aboveAverage="0" equalAverage="0" bottom="0" percent="0" rank="0" text="" dxfId="6">
      <formula>"Atrasada"</formula>
    </cfRule>
    <cfRule type="cellIs" priority="3" operator="equal" aboveAverage="0" equalAverage="0" bottom="0" percent="0" rank="0" text="" dxfId="10">
      <formula>"Esta semana"</formula>
    </cfRule>
  </conditionalFormatting>
  <dataValidations count="2">
    <dataValidation allowBlank="true" errorStyle="stop" operator="between" showDropDown="false" showErrorMessage="false" showInputMessage="false" sqref="E5:E304" type="list">
      <formula1>Listas!$N$4:$N$10</formula1>
      <formula2>0</formula2>
    </dataValidation>
    <dataValidation allowBlank="true" errorStyle="stop" operator="between" showDropDown="false" showErrorMessage="false" showInputMessage="false" sqref="I5:I304" type="list">
      <formula1>Listas!$L$4:$L$40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40"/>
    <col collapsed="false" customWidth="true" hidden="false" outlineLevel="0" max="6" min="6" style="0" width="36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6" t="s">
        <v>216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" t="s">
        <v>217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30" hidden="false" customHeight="true" outlineLevel="0" collapsed="false">
      <c r="A4" s="18" t="s">
        <v>218</v>
      </c>
      <c r="B4" s="18" t="s">
        <v>199</v>
      </c>
      <c r="C4" s="18" t="s">
        <v>200</v>
      </c>
      <c r="D4" s="18" t="s">
        <v>161</v>
      </c>
      <c r="E4" s="18" t="s">
        <v>219</v>
      </c>
      <c r="F4" s="18" t="s">
        <v>220</v>
      </c>
      <c r="G4" s="18" t="s">
        <v>137</v>
      </c>
    </row>
    <row r="5" customFormat="false" ht="15" hidden="false" customHeight="false" outlineLevel="0" collapsed="false">
      <c r="A5" s="25" t="n">
        <v>46305</v>
      </c>
      <c r="B5" s="19" t="s">
        <v>170</v>
      </c>
      <c r="C5" s="33" t="str">
        <f aca="false">IF(B5="","",IFERROR(INDEX(CRM_Contatos!$B$5:$B$304,MATCH(B5,CRM_Contatos!$A$5:$A$304,0)),"ID não encontrado"))</f>
        <v>Livraria Exemplo</v>
      </c>
      <c r="D5" s="19" t="s">
        <v>112</v>
      </c>
      <c r="E5" s="19" t="s">
        <v>221</v>
      </c>
      <c r="F5" s="19" t="s">
        <v>222</v>
      </c>
      <c r="G5" s="19" t="s">
        <v>178</v>
      </c>
    </row>
    <row r="6" customFormat="false" ht="15" hidden="false" customHeight="false" outlineLevel="0" collapsed="false">
      <c r="A6" s="25" t="n">
        <v>46309</v>
      </c>
      <c r="B6" s="19" t="s">
        <v>188</v>
      </c>
      <c r="C6" s="33" t="str">
        <f aca="false">IF(B6="","",IFERROR(INDEX(CRM_Contatos!$B$5:$B$304,MATCH(B6,CRM_Contatos!$A$5:$A$304,0)),"ID não encontrado"))</f>
        <v>@leiturasdaju</v>
      </c>
      <c r="D6" s="19" t="s">
        <v>223</v>
      </c>
      <c r="E6" s="19" t="s">
        <v>224</v>
      </c>
      <c r="F6" s="19" t="s">
        <v>225</v>
      </c>
      <c r="G6" s="19" t="s">
        <v>196</v>
      </c>
    </row>
    <row r="7" customFormat="false" ht="15" hidden="false" customHeight="false" outlineLevel="0" collapsed="false">
      <c r="A7" s="25"/>
      <c r="B7" s="1"/>
      <c r="C7" s="33" t="str">
        <f aca="false">IF(B7="","",IFERROR(INDEX(CRM_Contatos!$B$5:$B$304,MATCH(B7,CRM_Contatos!$A$5:$A$304,0)),"ID não encontrado"))</f>
        <v/>
      </c>
      <c r="D7" s="1"/>
      <c r="E7" s="1"/>
      <c r="F7" s="1"/>
      <c r="G7" s="1"/>
    </row>
    <row r="8" customFormat="false" ht="15" hidden="false" customHeight="false" outlineLevel="0" collapsed="false">
      <c r="A8" s="25"/>
      <c r="B8" s="1"/>
      <c r="C8" s="33" t="str">
        <f aca="false">IF(B8="","",IFERROR(INDEX(CRM_Contatos!$B$5:$B$304,MATCH(B8,CRM_Contatos!$A$5:$A$304,0)),"ID não encontrado"))</f>
        <v/>
      </c>
      <c r="D8" s="1"/>
      <c r="E8" s="1"/>
      <c r="F8" s="1"/>
      <c r="G8" s="1"/>
    </row>
    <row r="9" customFormat="false" ht="15" hidden="false" customHeight="false" outlineLevel="0" collapsed="false">
      <c r="A9" s="25"/>
      <c r="B9" s="1"/>
      <c r="C9" s="33" t="str">
        <f aca="false">IF(B9="","",IFERROR(INDEX(CRM_Contatos!$B$5:$B$304,MATCH(B9,CRM_Contatos!$A$5:$A$304,0)),"ID não encontrado"))</f>
        <v/>
      </c>
      <c r="D9" s="1"/>
      <c r="E9" s="1"/>
      <c r="F9" s="1"/>
      <c r="G9" s="1"/>
    </row>
    <row r="10" customFormat="false" ht="15" hidden="false" customHeight="false" outlineLevel="0" collapsed="false">
      <c r="A10" s="25"/>
      <c r="B10" s="1"/>
      <c r="C10" s="33" t="str">
        <f aca="false">IF(B10="","",IFERROR(INDEX(CRM_Contatos!$B$5:$B$304,MATCH(B10,CRM_Contatos!$A$5:$A$304,0)),"ID não encontrado"))</f>
        <v/>
      </c>
      <c r="D10" s="1"/>
      <c r="E10" s="1"/>
      <c r="F10" s="1"/>
      <c r="G10" s="1"/>
    </row>
    <row r="11" customFormat="false" ht="15" hidden="false" customHeight="false" outlineLevel="0" collapsed="false">
      <c r="A11" s="25"/>
      <c r="B11" s="1"/>
      <c r="C11" s="33" t="str">
        <f aca="false">IF(B11="","",IFERROR(INDEX(CRM_Contatos!$B$5:$B$304,MATCH(B11,CRM_Contatos!$A$5:$A$304,0)),"ID não encontrado"))</f>
        <v/>
      </c>
      <c r="D11" s="1"/>
      <c r="E11" s="1"/>
      <c r="F11" s="1"/>
      <c r="G11" s="1"/>
    </row>
    <row r="12" customFormat="false" ht="15" hidden="false" customHeight="false" outlineLevel="0" collapsed="false">
      <c r="A12" s="25"/>
      <c r="B12" s="1"/>
      <c r="C12" s="33" t="str">
        <f aca="false">IF(B12="","",IFERROR(INDEX(CRM_Contatos!$B$5:$B$304,MATCH(B12,CRM_Contatos!$A$5:$A$304,0)),"ID não encontrado"))</f>
        <v/>
      </c>
      <c r="D12" s="1"/>
      <c r="E12" s="1"/>
      <c r="F12" s="1"/>
      <c r="G12" s="1"/>
    </row>
    <row r="13" customFormat="false" ht="15" hidden="false" customHeight="false" outlineLevel="0" collapsed="false">
      <c r="A13" s="25"/>
      <c r="B13" s="1"/>
      <c r="C13" s="33" t="str">
        <f aca="false">IF(B13="","",IFERROR(INDEX(CRM_Contatos!$B$5:$B$304,MATCH(B13,CRM_Contatos!$A$5:$A$304,0)),"ID não encontrado"))</f>
        <v/>
      </c>
      <c r="D13" s="1"/>
      <c r="E13" s="1"/>
      <c r="F13" s="1"/>
      <c r="G13" s="1"/>
    </row>
    <row r="14" customFormat="false" ht="15" hidden="false" customHeight="false" outlineLevel="0" collapsed="false">
      <c r="A14" s="25"/>
      <c r="B14" s="1"/>
      <c r="C14" s="33" t="str">
        <f aca="false">IF(B14="","",IFERROR(INDEX(CRM_Contatos!$B$5:$B$304,MATCH(B14,CRM_Contatos!$A$5:$A$304,0)),"ID não encontrado"))</f>
        <v/>
      </c>
      <c r="D14" s="1"/>
      <c r="E14" s="1"/>
      <c r="F14" s="1"/>
      <c r="G14" s="1"/>
    </row>
    <row r="15" customFormat="false" ht="15" hidden="false" customHeight="false" outlineLevel="0" collapsed="false">
      <c r="A15" s="25"/>
      <c r="B15" s="1"/>
      <c r="C15" s="33" t="str">
        <f aca="false">IF(B15="","",IFERROR(INDEX(CRM_Contatos!$B$5:$B$304,MATCH(B15,CRM_Contatos!$A$5:$A$304,0)),"ID não encontrado"))</f>
        <v/>
      </c>
      <c r="D15" s="1"/>
      <c r="E15" s="1"/>
      <c r="F15" s="1"/>
      <c r="G15" s="1"/>
    </row>
    <row r="16" customFormat="false" ht="15" hidden="false" customHeight="false" outlineLevel="0" collapsed="false">
      <c r="A16" s="25"/>
      <c r="B16" s="1"/>
      <c r="C16" s="33" t="str">
        <f aca="false">IF(B16="","",IFERROR(INDEX(CRM_Contatos!$B$5:$B$304,MATCH(B16,CRM_Contatos!$A$5:$A$304,0)),"ID não encontrado"))</f>
        <v/>
      </c>
      <c r="D16" s="1"/>
      <c r="E16" s="1"/>
      <c r="F16" s="1"/>
      <c r="G16" s="1"/>
    </row>
    <row r="17" customFormat="false" ht="15" hidden="false" customHeight="false" outlineLevel="0" collapsed="false">
      <c r="A17" s="25"/>
      <c r="B17" s="1"/>
      <c r="C17" s="33" t="str">
        <f aca="false">IF(B17="","",IFERROR(INDEX(CRM_Contatos!$B$5:$B$304,MATCH(B17,CRM_Contatos!$A$5:$A$304,0)),"ID não encontrado"))</f>
        <v/>
      </c>
      <c r="D17" s="1"/>
      <c r="E17" s="1"/>
      <c r="F17" s="1"/>
      <c r="G17" s="1"/>
    </row>
    <row r="18" customFormat="false" ht="15" hidden="false" customHeight="false" outlineLevel="0" collapsed="false">
      <c r="A18" s="25"/>
      <c r="B18" s="1"/>
      <c r="C18" s="33" t="str">
        <f aca="false">IF(B18="","",IFERROR(INDEX(CRM_Contatos!$B$5:$B$304,MATCH(B18,CRM_Contatos!$A$5:$A$304,0)),"ID não encontrado"))</f>
        <v/>
      </c>
      <c r="D18" s="1"/>
      <c r="E18" s="1"/>
      <c r="F18" s="1"/>
      <c r="G18" s="1"/>
    </row>
    <row r="19" customFormat="false" ht="15" hidden="false" customHeight="false" outlineLevel="0" collapsed="false">
      <c r="A19" s="25"/>
      <c r="B19" s="1"/>
      <c r="C19" s="33" t="str">
        <f aca="false">IF(B19="","",IFERROR(INDEX(CRM_Contatos!$B$5:$B$304,MATCH(B19,CRM_Contatos!$A$5:$A$304,0)),"ID não encontrado"))</f>
        <v/>
      </c>
      <c r="D19" s="1"/>
      <c r="E19" s="1"/>
      <c r="F19" s="1"/>
      <c r="G19" s="1"/>
    </row>
    <row r="20" customFormat="false" ht="15" hidden="false" customHeight="false" outlineLevel="0" collapsed="false">
      <c r="A20" s="25"/>
      <c r="B20" s="1"/>
      <c r="C20" s="33" t="str">
        <f aca="false">IF(B20="","",IFERROR(INDEX(CRM_Contatos!$B$5:$B$304,MATCH(B20,CRM_Contatos!$A$5:$A$304,0)),"ID não encontrado"))</f>
        <v/>
      </c>
      <c r="D20" s="1"/>
      <c r="E20" s="1"/>
      <c r="F20" s="1"/>
      <c r="G20" s="1"/>
    </row>
    <row r="21" customFormat="false" ht="15" hidden="false" customHeight="false" outlineLevel="0" collapsed="false">
      <c r="A21" s="25"/>
      <c r="B21" s="1"/>
      <c r="C21" s="33" t="str">
        <f aca="false">IF(B21="","",IFERROR(INDEX(CRM_Contatos!$B$5:$B$304,MATCH(B21,CRM_Contatos!$A$5:$A$304,0)),"ID não encontrado"))</f>
        <v/>
      </c>
      <c r="D21" s="1"/>
      <c r="E21" s="1"/>
      <c r="F21" s="1"/>
      <c r="G21" s="1"/>
    </row>
    <row r="22" customFormat="false" ht="15" hidden="false" customHeight="false" outlineLevel="0" collapsed="false">
      <c r="A22" s="25"/>
      <c r="B22" s="1"/>
      <c r="C22" s="33" t="str">
        <f aca="false">IF(B22="","",IFERROR(INDEX(CRM_Contatos!$B$5:$B$304,MATCH(B22,CRM_Contatos!$A$5:$A$304,0)),"ID não encontrado"))</f>
        <v/>
      </c>
      <c r="D22" s="1"/>
      <c r="E22" s="1"/>
      <c r="F22" s="1"/>
      <c r="G22" s="1"/>
    </row>
    <row r="23" customFormat="false" ht="15" hidden="false" customHeight="false" outlineLevel="0" collapsed="false">
      <c r="A23" s="25"/>
      <c r="B23" s="1"/>
      <c r="C23" s="33" t="str">
        <f aca="false">IF(B23="","",IFERROR(INDEX(CRM_Contatos!$B$5:$B$304,MATCH(B23,CRM_Contatos!$A$5:$A$304,0)),"ID não encontrado"))</f>
        <v/>
      </c>
      <c r="D23" s="1"/>
      <c r="E23" s="1"/>
      <c r="F23" s="1"/>
      <c r="G23" s="1"/>
    </row>
    <row r="24" customFormat="false" ht="15" hidden="false" customHeight="false" outlineLevel="0" collapsed="false">
      <c r="A24" s="25"/>
      <c r="B24" s="1"/>
      <c r="C24" s="33" t="str">
        <f aca="false">IF(B24="","",IFERROR(INDEX(CRM_Contatos!$B$5:$B$304,MATCH(B24,CRM_Contatos!$A$5:$A$304,0)),"ID não encontrado"))</f>
        <v/>
      </c>
      <c r="D24" s="1"/>
      <c r="E24" s="1"/>
      <c r="F24" s="1"/>
      <c r="G24" s="1"/>
    </row>
    <row r="25" customFormat="false" ht="15" hidden="false" customHeight="false" outlineLevel="0" collapsed="false">
      <c r="A25" s="25"/>
      <c r="B25" s="1"/>
      <c r="C25" s="33" t="str">
        <f aca="false">IF(B25="","",IFERROR(INDEX(CRM_Contatos!$B$5:$B$304,MATCH(B25,CRM_Contatos!$A$5:$A$304,0)),"ID não encontrado"))</f>
        <v/>
      </c>
      <c r="D25" s="1"/>
      <c r="E25" s="1"/>
      <c r="F25" s="1"/>
      <c r="G25" s="1"/>
    </row>
    <row r="26" customFormat="false" ht="15" hidden="false" customHeight="false" outlineLevel="0" collapsed="false">
      <c r="A26" s="25"/>
      <c r="B26" s="1"/>
      <c r="C26" s="33" t="str">
        <f aca="false">IF(B26="","",IFERROR(INDEX(CRM_Contatos!$B$5:$B$304,MATCH(B26,CRM_Contatos!$A$5:$A$304,0)),"ID não encontrado"))</f>
        <v/>
      </c>
      <c r="D26" s="1"/>
      <c r="E26" s="1"/>
      <c r="F26" s="1"/>
      <c r="G26" s="1"/>
    </row>
    <row r="27" customFormat="false" ht="15" hidden="false" customHeight="false" outlineLevel="0" collapsed="false">
      <c r="A27" s="25"/>
      <c r="B27" s="1"/>
      <c r="C27" s="33" t="str">
        <f aca="false">IF(B27="","",IFERROR(INDEX(CRM_Contatos!$B$5:$B$304,MATCH(B27,CRM_Contatos!$A$5:$A$304,0)),"ID não encontrado"))</f>
        <v/>
      </c>
      <c r="D27" s="1"/>
      <c r="E27" s="1"/>
      <c r="F27" s="1"/>
      <c r="G27" s="1"/>
    </row>
    <row r="28" customFormat="false" ht="15" hidden="false" customHeight="false" outlineLevel="0" collapsed="false">
      <c r="A28" s="25"/>
      <c r="B28" s="1"/>
      <c r="C28" s="33" t="str">
        <f aca="false">IF(B28="","",IFERROR(INDEX(CRM_Contatos!$B$5:$B$304,MATCH(B28,CRM_Contatos!$A$5:$A$304,0)),"ID não encontrado"))</f>
        <v/>
      </c>
      <c r="D28" s="1"/>
      <c r="E28" s="1"/>
      <c r="F28" s="1"/>
      <c r="G28" s="1"/>
    </row>
    <row r="29" customFormat="false" ht="15" hidden="false" customHeight="false" outlineLevel="0" collapsed="false">
      <c r="A29" s="25"/>
      <c r="B29" s="1"/>
      <c r="C29" s="33" t="str">
        <f aca="false">IF(B29="","",IFERROR(INDEX(CRM_Contatos!$B$5:$B$304,MATCH(B29,CRM_Contatos!$A$5:$A$304,0)),"ID não encontrado"))</f>
        <v/>
      </c>
      <c r="D29" s="1"/>
      <c r="E29" s="1"/>
      <c r="F29" s="1"/>
      <c r="G29" s="1"/>
    </row>
    <row r="30" customFormat="false" ht="15" hidden="false" customHeight="false" outlineLevel="0" collapsed="false">
      <c r="A30" s="25"/>
      <c r="B30" s="1"/>
      <c r="C30" s="33" t="str">
        <f aca="false">IF(B30="","",IFERROR(INDEX(CRM_Contatos!$B$5:$B$304,MATCH(B30,CRM_Contatos!$A$5:$A$304,0)),"ID não encontrado"))</f>
        <v/>
      </c>
      <c r="D30" s="1"/>
      <c r="E30" s="1"/>
      <c r="F30" s="1"/>
      <c r="G30" s="1"/>
    </row>
    <row r="31" customFormat="false" ht="15" hidden="false" customHeight="false" outlineLevel="0" collapsed="false">
      <c r="A31" s="25"/>
      <c r="B31" s="1"/>
      <c r="C31" s="33" t="str">
        <f aca="false">IF(B31="","",IFERROR(INDEX(CRM_Contatos!$B$5:$B$304,MATCH(B31,CRM_Contatos!$A$5:$A$304,0)),"ID não encontrado"))</f>
        <v/>
      </c>
      <c r="D31" s="1"/>
      <c r="E31" s="1"/>
      <c r="F31" s="1"/>
      <c r="G31" s="1"/>
    </row>
    <row r="32" customFormat="false" ht="15" hidden="false" customHeight="false" outlineLevel="0" collapsed="false">
      <c r="A32" s="25"/>
      <c r="B32" s="1"/>
      <c r="C32" s="33" t="str">
        <f aca="false">IF(B32="","",IFERROR(INDEX(CRM_Contatos!$B$5:$B$304,MATCH(B32,CRM_Contatos!$A$5:$A$304,0)),"ID não encontrado"))</f>
        <v/>
      </c>
      <c r="D32" s="1"/>
      <c r="E32" s="1"/>
      <c r="F32" s="1"/>
      <c r="G32" s="1"/>
    </row>
    <row r="33" customFormat="false" ht="15" hidden="false" customHeight="false" outlineLevel="0" collapsed="false">
      <c r="A33" s="25"/>
      <c r="B33" s="1"/>
      <c r="C33" s="33" t="str">
        <f aca="false">IF(B33="","",IFERROR(INDEX(CRM_Contatos!$B$5:$B$304,MATCH(B33,CRM_Contatos!$A$5:$A$304,0)),"ID não encontrado"))</f>
        <v/>
      </c>
      <c r="D33" s="1"/>
      <c r="E33" s="1"/>
      <c r="F33" s="1"/>
      <c r="G33" s="1"/>
    </row>
    <row r="34" customFormat="false" ht="15" hidden="false" customHeight="false" outlineLevel="0" collapsed="false">
      <c r="A34" s="25"/>
      <c r="B34" s="1"/>
      <c r="C34" s="33" t="str">
        <f aca="false">IF(B34="","",IFERROR(INDEX(CRM_Contatos!$B$5:$B$304,MATCH(B34,CRM_Contatos!$A$5:$A$304,0)),"ID não encontrado"))</f>
        <v/>
      </c>
      <c r="D34" s="1"/>
      <c r="E34" s="1"/>
      <c r="F34" s="1"/>
      <c r="G34" s="1"/>
    </row>
    <row r="35" customFormat="false" ht="15" hidden="false" customHeight="false" outlineLevel="0" collapsed="false">
      <c r="A35" s="25"/>
      <c r="B35" s="1"/>
      <c r="C35" s="33" t="str">
        <f aca="false">IF(B35="","",IFERROR(INDEX(CRM_Contatos!$B$5:$B$304,MATCH(B35,CRM_Contatos!$A$5:$A$304,0)),"ID não encontrado"))</f>
        <v/>
      </c>
      <c r="D35" s="1"/>
      <c r="E35" s="1"/>
      <c r="F35" s="1"/>
      <c r="G35" s="1"/>
    </row>
    <row r="36" customFormat="false" ht="15" hidden="false" customHeight="false" outlineLevel="0" collapsed="false">
      <c r="A36" s="25"/>
      <c r="B36" s="1"/>
      <c r="C36" s="33" t="str">
        <f aca="false">IF(B36="","",IFERROR(INDEX(CRM_Contatos!$B$5:$B$304,MATCH(B36,CRM_Contatos!$A$5:$A$304,0)),"ID não encontrado"))</f>
        <v/>
      </c>
      <c r="D36" s="1"/>
      <c r="E36" s="1"/>
      <c r="F36" s="1"/>
      <c r="G36" s="1"/>
    </row>
    <row r="37" customFormat="false" ht="15" hidden="false" customHeight="false" outlineLevel="0" collapsed="false">
      <c r="A37" s="25"/>
      <c r="B37" s="1"/>
      <c r="C37" s="33" t="str">
        <f aca="false">IF(B37="","",IFERROR(INDEX(CRM_Contatos!$B$5:$B$304,MATCH(B37,CRM_Contatos!$A$5:$A$304,0)),"ID não encontrado"))</f>
        <v/>
      </c>
      <c r="D37" s="1"/>
      <c r="E37" s="1"/>
      <c r="F37" s="1"/>
      <c r="G37" s="1"/>
    </row>
    <row r="38" customFormat="false" ht="15" hidden="false" customHeight="false" outlineLevel="0" collapsed="false">
      <c r="A38" s="25"/>
      <c r="B38" s="1"/>
      <c r="C38" s="33" t="str">
        <f aca="false">IF(B38="","",IFERROR(INDEX(CRM_Contatos!$B$5:$B$304,MATCH(B38,CRM_Contatos!$A$5:$A$304,0)),"ID não encontrado"))</f>
        <v/>
      </c>
      <c r="D38" s="1"/>
      <c r="E38" s="1"/>
      <c r="F38" s="1"/>
      <c r="G38" s="1"/>
    </row>
    <row r="39" customFormat="false" ht="15" hidden="false" customHeight="false" outlineLevel="0" collapsed="false">
      <c r="A39" s="25"/>
      <c r="B39" s="1"/>
      <c r="C39" s="33" t="str">
        <f aca="false">IF(B39="","",IFERROR(INDEX(CRM_Contatos!$B$5:$B$304,MATCH(B39,CRM_Contatos!$A$5:$A$304,0)),"ID não encontrado"))</f>
        <v/>
      </c>
      <c r="D39" s="1"/>
      <c r="E39" s="1"/>
      <c r="F39" s="1"/>
      <c r="G39" s="1"/>
    </row>
    <row r="40" customFormat="false" ht="15" hidden="false" customHeight="false" outlineLevel="0" collapsed="false">
      <c r="A40" s="25"/>
      <c r="B40" s="1"/>
      <c r="C40" s="33" t="str">
        <f aca="false">IF(B40="","",IFERROR(INDEX(CRM_Contatos!$B$5:$B$304,MATCH(B40,CRM_Contatos!$A$5:$A$304,0)),"ID não encontrado"))</f>
        <v/>
      </c>
      <c r="D40" s="1"/>
      <c r="E40" s="1"/>
      <c r="F40" s="1"/>
      <c r="G40" s="1"/>
    </row>
    <row r="41" customFormat="false" ht="15" hidden="false" customHeight="false" outlineLevel="0" collapsed="false">
      <c r="A41" s="25"/>
      <c r="B41" s="1"/>
      <c r="C41" s="33" t="str">
        <f aca="false">IF(B41="","",IFERROR(INDEX(CRM_Contatos!$B$5:$B$304,MATCH(B41,CRM_Contatos!$A$5:$A$304,0)),"ID não encontrado"))</f>
        <v/>
      </c>
      <c r="D41" s="1"/>
      <c r="E41" s="1"/>
      <c r="F41" s="1"/>
      <c r="G41" s="1"/>
    </row>
    <row r="42" customFormat="false" ht="15" hidden="false" customHeight="false" outlineLevel="0" collapsed="false">
      <c r="A42" s="25"/>
      <c r="B42" s="1"/>
      <c r="C42" s="33" t="str">
        <f aca="false">IF(B42="","",IFERROR(INDEX(CRM_Contatos!$B$5:$B$304,MATCH(B42,CRM_Contatos!$A$5:$A$304,0)),"ID não encontrado"))</f>
        <v/>
      </c>
      <c r="D42" s="1"/>
      <c r="E42" s="1"/>
      <c r="F42" s="1"/>
      <c r="G42" s="1"/>
    </row>
    <row r="43" customFormat="false" ht="15" hidden="false" customHeight="false" outlineLevel="0" collapsed="false">
      <c r="A43" s="25"/>
      <c r="B43" s="1"/>
      <c r="C43" s="33" t="str">
        <f aca="false">IF(B43="","",IFERROR(INDEX(CRM_Contatos!$B$5:$B$304,MATCH(B43,CRM_Contatos!$A$5:$A$304,0)),"ID não encontrado"))</f>
        <v/>
      </c>
      <c r="D43" s="1"/>
      <c r="E43" s="1"/>
      <c r="F43" s="1"/>
      <c r="G43" s="1"/>
    </row>
    <row r="44" customFormat="false" ht="15" hidden="false" customHeight="false" outlineLevel="0" collapsed="false">
      <c r="A44" s="25"/>
      <c r="B44" s="1"/>
      <c r="C44" s="33" t="str">
        <f aca="false">IF(B44="","",IFERROR(INDEX(CRM_Contatos!$B$5:$B$304,MATCH(B44,CRM_Contatos!$A$5:$A$304,0)),"ID não encontrado"))</f>
        <v/>
      </c>
      <c r="D44" s="1"/>
      <c r="E44" s="1"/>
      <c r="F44" s="1"/>
      <c r="G44" s="1"/>
    </row>
    <row r="45" customFormat="false" ht="15" hidden="false" customHeight="false" outlineLevel="0" collapsed="false">
      <c r="A45" s="25"/>
      <c r="B45" s="1"/>
      <c r="C45" s="33" t="str">
        <f aca="false">IF(B45="","",IFERROR(INDEX(CRM_Contatos!$B$5:$B$304,MATCH(B45,CRM_Contatos!$A$5:$A$304,0)),"ID não encontrado"))</f>
        <v/>
      </c>
      <c r="D45" s="1"/>
      <c r="E45" s="1"/>
      <c r="F45" s="1"/>
      <c r="G45" s="1"/>
    </row>
    <row r="46" customFormat="false" ht="15" hidden="false" customHeight="false" outlineLevel="0" collapsed="false">
      <c r="A46" s="25"/>
      <c r="B46" s="1"/>
      <c r="C46" s="33" t="str">
        <f aca="false">IF(B46="","",IFERROR(INDEX(CRM_Contatos!$B$5:$B$304,MATCH(B46,CRM_Contatos!$A$5:$A$304,0)),"ID não encontrado"))</f>
        <v/>
      </c>
      <c r="D46" s="1"/>
      <c r="E46" s="1"/>
      <c r="F46" s="1"/>
      <c r="G46" s="1"/>
    </row>
    <row r="47" customFormat="false" ht="15" hidden="false" customHeight="false" outlineLevel="0" collapsed="false">
      <c r="A47" s="25"/>
      <c r="B47" s="1"/>
      <c r="C47" s="33" t="str">
        <f aca="false">IF(B47="","",IFERROR(INDEX(CRM_Contatos!$B$5:$B$304,MATCH(B47,CRM_Contatos!$A$5:$A$304,0)),"ID não encontrado"))</f>
        <v/>
      </c>
      <c r="D47" s="1"/>
      <c r="E47" s="1"/>
      <c r="F47" s="1"/>
      <c r="G47" s="1"/>
    </row>
    <row r="48" customFormat="false" ht="15" hidden="false" customHeight="false" outlineLevel="0" collapsed="false">
      <c r="A48" s="25"/>
      <c r="B48" s="1"/>
      <c r="C48" s="33" t="str">
        <f aca="false">IF(B48="","",IFERROR(INDEX(CRM_Contatos!$B$5:$B$304,MATCH(B48,CRM_Contatos!$A$5:$A$304,0)),"ID não encontrado"))</f>
        <v/>
      </c>
      <c r="D48" s="1"/>
      <c r="E48" s="1"/>
      <c r="F48" s="1"/>
      <c r="G48" s="1"/>
    </row>
    <row r="49" customFormat="false" ht="15" hidden="false" customHeight="false" outlineLevel="0" collapsed="false">
      <c r="A49" s="25"/>
      <c r="B49" s="1"/>
      <c r="C49" s="33" t="str">
        <f aca="false">IF(B49="","",IFERROR(INDEX(CRM_Contatos!$B$5:$B$304,MATCH(B49,CRM_Contatos!$A$5:$A$304,0)),"ID não encontrado"))</f>
        <v/>
      </c>
      <c r="D49" s="1"/>
      <c r="E49" s="1"/>
      <c r="F49" s="1"/>
      <c r="G49" s="1"/>
    </row>
    <row r="50" customFormat="false" ht="15" hidden="false" customHeight="false" outlineLevel="0" collapsed="false">
      <c r="A50" s="25"/>
      <c r="B50" s="1"/>
      <c r="C50" s="33" t="str">
        <f aca="false">IF(B50="","",IFERROR(INDEX(CRM_Contatos!$B$5:$B$304,MATCH(B50,CRM_Contatos!$A$5:$A$304,0)),"ID não encontrado"))</f>
        <v/>
      </c>
      <c r="D50" s="1"/>
      <c r="E50" s="1"/>
      <c r="F50" s="1"/>
      <c r="G50" s="1"/>
    </row>
    <row r="51" customFormat="false" ht="15" hidden="false" customHeight="false" outlineLevel="0" collapsed="false">
      <c r="A51" s="25"/>
      <c r="B51" s="1"/>
      <c r="C51" s="33" t="str">
        <f aca="false">IF(B51="","",IFERROR(INDEX(CRM_Contatos!$B$5:$B$304,MATCH(B51,CRM_Contatos!$A$5:$A$304,0)),"ID não encontrado"))</f>
        <v/>
      </c>
      <c r="D51" s="1"/>
      <c r="E51" s="1"/>
      <c r="F51" s="1"/>
      <c r="G51" s="1"/>
    </row>
    <row r="52" customFormat="false" ht="15" hidden="false" customHeight="false" outlineLevel="0" collapsed="false">
      <c r="A52" s="25"/>
      <c r="B52" s="1"/>
      <c r="C52" s="33" t="str">
        <f aca="false">IF(B52="","",IFERROR(INDEX(CRM_Contatos!$B$5:$B$304,MATCH(B52,CRM_Contatos!$A$5:$A$304,0)),"ID não encontrado"))</f>
        <v/>
      </c>
      <c r="D52" s="1"/>
      <c r="E52" s="1"/>
      <c r="F52" s="1"/>
      <c r="G52" s="1"/>
    </row>
    <row r="53" customFormat="false" ht="15" hidden="false" customHeight="false" outlineLevel="0" collapsed="false">
      <c r="A53" s="25"/>
      <c r="B53" s="1"/>
      <c r="C53" s="33" t="str">
        <f aca="false">IF(B53="","",IFERROR(INDEX(CRM_Contatos!$B$5:$B$304,MATCH(B53,CRM_Contatos!$A$5:$A$304,0)),"ID não encontrado"))</f>
        <v/>
      </c>
      <c r="D53" s="1"/>
      <c r="E53" s="1"/>
      <c r="F53" s="1"/>
      <c r="G53" s="1"/>
    </row>
    <row r="54" customFormat="false" ht="15" hidden="false" customHeight="false" outlineLevel="0" collapsed="false">
      <c r="A54" s="25"/>
      <c r="B54" s="1"/>
      <c r="C54" s="33" t="str">
        <f aca="false">IF(B54="","",IFERROR(INDEX(CRM_Contatos!$B$5:$B$304,MATCH(B54,CRM_Contatos!$A$5:$A$304,0)),"ID não encontrado"))</f>
        <v/>
      </c>
      <c r="D54" s="1"/>
      <c r="E54" s="1"/>
      <c r="F54" s="1"/>
      <c r="G54" s="1"/>
    </row>
    <row r="55" customFormat="false" ht="15" hidden="false" customHeight="false" outlineLevel="0" collapsed="false">
      <c r="A55" s="25"/>
      <c r="B55" s="1"/>
      <c r="C55" s="33" t="str">
        <f aca="false">IF(B55="","",IFERROR(INDEX(CRM_Contatos!$B$5:$B$304,MATCH(B55,CRM_Contatos!$A$5:$A$304,0)),"ID não encontrado"))</f>
        <v/>
      </c>
      <c r="D55" s="1"/>
      <c r="E55" s="1"/>
      <c r="F55" s="1"/>
      <c r="G55" s="1"/>
    </row>
    <row r="56" customFormat="false" ht="15" hidden="false" customHeight="false" outlineLevel="0" collapsed="false">
      <c r="A56" s="25"/>
      <c r="B56" s="1"/>
      <c r="C56" s="33" t="str">
        <f aca="false">IF(B56="","",IFERROR(INDEX(CRM_Contatos!$B$5:$B$304,MATCH(B56,CRM_Contatos!$A$5:$A$304,0)),"ID não encontrado"))</f>
        <v/>
      </c>
      <c r="D56" s="1"/>
      <c r="E56" s="1"/>
      <c r="F56" s="1"/>
      <c r="G56" s="1"/>
    </row>
    <row r="57" customFormat="false" ht="15" hidden="false" customHeight="false" outlineLevel="0" collapsed="false">
      <c r="A57" s="25"/>
      <c r="B57" s="1"/>
      <c r="C57" s="33" t="str">
        <f aca="false">IF(B57="","",IFERROR(INDEX(CRM_Contatos!$B$5:$B$304,MATCH(B57,CRM_Contatos!$A$5:$A$304,0)),"ID não encontrado"))</f>
        <v/>
      </c>
      <c r="D57" s="1"/>
      <c r="E57" s="1"/>
      <c r="F57" s="1"/>
      <c r="G57" s="1"/>
    </row>
    <row r="58" customFormat="false" ht="15" hidden="false" customHeight="false" outlineLevel="0" collapsed="false">
      <c r="A58" s="25"/>
      <c r="B58" s="1"/>
      <c r="C58" s="33" t="str">
        <f aca="false">IF(B58="","",IFERROR(INDEX(CRM_Contatos!$B$5:$B$304,MATCH(B58,CRM_Contatos!$A$5:$A$304,0)),"ID não encontrado"))</f>
        <v/>
      </c>
      <c r="D58" s="1"/>
      <c r="E58" s="1"/>
      <c r="F58" s="1"/>
      <c r="G58" s="1"/>
    </row>
    <row r="59" customFormat="false" ht="15" hidden="false" customHeight="false" outlineLevel="0" collapsed="false">
      <c r="A59" s="25"/>
      <c r="B59" s="1"/>
      <c r="C59" s="33" t="str">
        <f aca="false">IF(B59="","",IFERROR(INDEX(CRM_Contatos!$B$5:$B$304,MATCH(B59,CRM_Contatos!$A$5:$A$304,0)),"ID não encontrado"))</f>
        <v/>
      </c>
      <c r="D59" s="1"/>
      <c r="E59" s="1"/>
      <c r="F59" s="1"/>
      <c r="G59" s="1"/>
    </row>
    <row r="60" customFormat="false" ht="15" hidden="false" customHeight="false" outlineLevel="0" collapsed="false">
      <c r="A60" s="25"/>
      <c r="B60" s="1"/>
      <c r="C60" s="33" t="str">
        <f aca="false">IF(B60="","",IFERROR(INDEX(CRM_Contatos!$B$5:$B$304,MATCH(B60,CRM_Contatos!$A$5:$A$304,0)),"ID não encontrado"))</f>
        <v/>
      </c>
      <c r="D60" s="1"/>
      <c r="E60" s="1"/>
      <c r="F60" s="1"/>
      <c r="G60" s="1"/>
    </row>
    <row r="61" customFormat="false" ht="15" hidden="false" customHeight="false" outlineLevel="0" collapsed="false">
      <c r="A61" s="25"/>
      <c r="B61" s="1"/>
      <c r="C61" s="33" t="str">
        <f aca="false">IF(B61="","",IFERROR(INDEX(CRM_Contatos!$B$5:$B$304,MATCH(B61,CRM_Contatos!$A$5:$A$304,0)),"ID não encontrado"))</f>
        <v/>
      </c>
      <c r="D61" s="1"/>
      <c r="E61" s="1"/>
      <c r="F61" s="1"/>
      <c r="G61" s="1"/>
    </row>
    <row r="62" customFormat="false" ht="15" hidden="false" customHeight="false" outlineLevel="0" collapsed="false">
      <c r="A62" s="25"/>
      <c r="B62" s="1"/>
      <c r="C62" s="33" t="str">
        <f aca="false">IF(B62="","",IFERROR(INDEX(CRM_Contatos!$B$5:$B$304,MATCH(B62,CRM_Contatos!$A$5:$A$304,0)),"ID não encontrado"))</f>
        <v/>
      </c>
      <c r="D62" s="1"/>
      <c r="E62" s="1"/>
      <c r="F62" s="1"/>
      <c r="G62" s="1"/>
    </row>
    <row r="63" customFormat="false" ht="15" hidden="false" customHeight="false" outlineLevel="0" collapsed="false">
      <c r="A63" s="25"/>
      <c r="B63" s="1"/>
      <c r="C63" s="33" t="str">
        <f aca="false">IF(B63="","",IFERROR(INDEX(CRM_Contatos!$B$5:$B$304,MATCH(B63,CRM_Contatos!$A$5:$A$304,0)),"ID não encontrado"))</f>
        <v/>
      </c>
      <c r="D63" s="1"/>
      <c r="E63" s="1"/>
      <c r="F63" s="1"/>
      <c r="G63" s="1"/>
    </row>
    <row r="64" customFormat="false" ht="15" hidden="false" customHeight="false" outlineLevel="0" collapsed="false">
      <c r="A64" s="25"/>
      <c r="B64" s="1"/>
      <c r="C64" s="33" t="str">
        <f aca="false">IF(B64="","",IFERROR(INDEX(CRM_Contatos!$B$5:$B$304,MATCH(B64,CRM_Contatos!$A$5:$A$304,0)),"ID não encontrado"))</f>
        <v/>
      </c>
      <c r="D64" s="1"/>
      <c r="E64" s="1"/>
      <c r="F64" s="1"/>
      <c r="G64" s="1"/>
    </row>
    <row r="65" customFormat="false" ht="15" hidden="false" customHeight="false" outlineLevel="0" collapsed="false">
      <c r="A65" s="25"/>
      <c r="B65" s="1"/>
      <c r="C65" s="33" t="str">
        <f aca="false">IF(B65="","",IFERROR(INDEX(CRM_Contatos!$B$5:$B$304,MATCH(B65,CRM_Contatos!$A$5:$A$304,0)),"ID não encontrado"))</f>
        <v/>
      </c>
      <c r="D65" s="1"/>
      <c r="E65" s="1"/>
      <c r="F65" s="1"/>
      <c r="G65" s="1"/>
    </row>
    <row r="66" customFormat="false" ht="15" hidden="false" customHeight="false" outlineLevel="0" collapsed="false">
      <c r="A66" s="25"/>
      <c r="B66" s="1"/>
      <c r="C66" s="33" t="str">
        <f aca="false">IF(B66="","",IFERROR(INDEX(CRM_Contatos!$B$5:$B$304,MATCH(B66,CRM_Contatos!$A$5:$A$304,0)),"ID não encontrado"))</f>
        <v/>
      </c>
      <c r="D66" s="1"/>
      <c r="E66" s="1"/>
      <c r="F66" s="1"/>
      <c r="G66" s="1"/>
    </row>
    <row r="67" customFormat="false" ht="15" hidden="false" customHeight="false" outlineLevel="0" collapsed="false">
      <c r="A67" s="25"/>
      <c r="B67" s="1"/>
      <c r="C67" s="33" t="str">
        <f aca="false">IF(B67="","",IFERROR(INDEX(CRM_Contatos!$B$5:$B$304,MATCH(B67,CRM_Contatos!$A$5:$A$304,0)),"ID não encontrado"))</f>
        <v/>
      </c>
      <c r="D67" s="1"/>
      <c r="E67" s="1"/>
      <c r="F67" s="1"/>
      <c r="G67" s="1"/>
    </row>
    <row r="68" customFormat="false" ht="15" hidden="false" customHeight="false" outlineLevel="0" collapsed="false">
      <c r="A68" s="25"/>
      <c r="B68" s="1"/>
      <c r="C68" s="33" t="str">
        <f aca="false">IF(B68="","",IFERROR(INDEX(CRM_Contatos!$B$5:$B$304,MATCH(B68,CRM_Contatos!$A$5:$A$304,0)),"ID não encontrado"))</f>
        <v/>
      </c>
      <c r="D68" s="1"/>
      <c r="E68" s="1"/>
      <c r="F68" s="1"/>
      <c r="G68" s="1"/>
    </row>
    <row r="69" customFormat="false" ht="15" hidden="false" customHeight="false" outlineLevel="0" collapsed="false">
      <c r="A69" s="25"/>
      <c r="B69" s="1"/>
      <c r="C69" s="33" t="str">
        <f aca="false">IF(B69="","",IFERROR(INDEX(CRM_Contatos!$B$5:$B$304,MATCH(B69,CRM_Contatos!$A$5:$A$304,0)),"ID não encontrado"))</f>
        <v/>
      </c>
      <c r="D69" s="1"/>
      <c r="E69" s="1"/>
      <c r="F69" s="1"/>
      <c r="G69" s="1"/>
    </row>
    <row r="70" customFormat="false" ht="15" hidden="false" customHeight="false" outlineLevel="0" collapsed="false">
      <c r="A70" s="25"/>
      <c r="B70" s="1"/>
      <c r="C70" s="33" t="str">
        <f aca="false">IF(B70="","",IFERROR(INDEX(CRM_Contatos!$B$5:$B$304,MATCH(B70,CRM_Contatos!$A$5:$A$304,0)),"ID não encontrado"))</f>
        <v/>
      </c>
      <c r="D70" s="1"/>
      <c r="E70" s="1"/>
      <c r="F70" s="1"/>
      <c r="G70" s="1"/>
    </row>
    <row r="71" customFormat="false" ht="15" hidden="false" customHeight="false" outlineLevel="0" collapsed="false">
      <c r="A71" s="25"/>
      <c r="B71" s="1"/>
      <c r="C71" s="33" t="str">
        <f aca="false">IF(B71="","",IFERROR(INDEX(CRM_Contatos!$B$5:$B$304,MATCH(B71,CRM_Contatos!$A$5:$A$304,0)),"ID não encontrado"))</f>
        <v/>
      </c>
      <c r="D71" s="1"/>
      <c r="E71" s="1"/>
      <c r="F71" s="1"/>
      <c r="G71" s="1"/>
    </row>
    <row r="72" customFormat="false" ht="15" hidden="false" customHeight="false" outlineLevel="0" collapsed="false">
      <c r="A72" s="25"/>
      <c r="B72" s="1"/>
      <c r="C72" s="33" t="str">
        <f aca="false">IF(B72="","",IFERROR(INDEX(CRM_Contatos!$B$5:$B$304,MATCH(B72,CRM_Contatos!$A$5:$A$304,0)),"ID não encontrado"))</f>
        <v/>
      </c>
      <c r="D72" s="1"/>
      <c r="E72" s="1"/>
      <c r="F72" s="1"/>
      <c r="G72" s="1"/>
    </row>
    <row r="73" customFormat="false" ht="15" hidden="false" customHeight="false" outlineLevel="0" collapsed="false">
      <c r="A73" s="25"/>
      <c r="B73" s="1"/>
      <c r="C73" s="33" t="str">
        <f aca="false">IF(B73="","",IFERROR(INDEX(CRM_Contatos!$B$5:$B$304,MATCH(B73,CRM_Contatos!$A$5:$A$304,0)),"ID não encontrado"))</f>
        <v/>
      </c>
      <c r="D73" s="1"/>
      <c r="E73" s="1"/>
      <c r="F73" s="1"/>
      <c r="G73" s="1"/>
    </row>
    <row r="74" customFormat="false" ht="15" hidden="false" customHeight="false" outlineLevel="0" collapsed="false">
      <c r="A74" s="25"/>
      <c r="B74" s="1"/>
      <c r="C74" s="33" t="str">
        <f aca="false">IF(B74="","",IFERROR(INDEX(CRM_Contatos!$B$5:$B$304,MATCH(B74,CRM_Contatos!$A$5:$A$304,0)),"ID não encontrado"))</f>
        <v/>
      </c>
      <c r="D74" s="1"/>
      <c r="E74" s="1"/>
      <c r="F74" s="1"/>
      <c r="G74" s="1"/>
    </row>
    <row r="75" customFormat="false" ht="15" hidden="false" customHeight="false" outlineLevel="0" collapsed="false">
      <c r="A75" s="25"/>
      <c r="B75" s="1"/>
      <c r="C75" s="33" t="str">
        <f aca="false">IF(B75="","",IFERROR(INDEX(CRM_Contatos!$B$5:$B$304,MATCH(B75,CRM_Contatos!$A$5:$A$304,0)),"ID não encontrado"))</f>
        <v/>
      </c>
      <c r="D75" s="1"/>
      <c r="E75" s="1"/>
      <c r="F75" s="1"/>
      <c r="G75" s="1"/>
    </row>
    <row r="76" customFormat="false" ht="15" hidden="false" customHeight="false" outlineLevel="0" collapsed="false">
      <c r="A76" s="25"/>
      <c r="B76" s="1"/>
      <c r="C76" s="33" t="str">
        <f aca="false">IF(B76="","",IFERROR(INDEX(CRM_Contatos!$B$5:$B$304,MATCH(B76,CRM_Contatos!$A$5:$A$304,0)),"ID não encontrado"))</f>
        <v/>
      </c>
      <c r="D76" s="1"/>
      <c r="E76" s="1"/>
      <c r="F76" s="1"/>
      <c r="G76" s="1"/>
    </row>
    <row r="77" customFormat="false" ht="15" hidden="false" customHeight="false" outlineLevel="0" collapsed="false">
      <c r="A77" s="25"/>
      <c r="B77" s="1"/>
      <c r="C77" s="33" t="str">
        <f aca="false">IF(B77="","",IFERROR(INDEX(CRM_Contatos!$B$5:$B$304,MATCH(B77,CRM_Contatos!$A$5:$A$304,0)),"ID não encontrado"))</f>
        <v/>
      </c>
      <c r="D77" s="1"/>
      <c r="E77" s="1"/>
      <c r="F77" s="1"/>
      <c r="G77" s="1"/>
    </row>
    <row r="78" customFormat="false" ht="15" hidden="false" customHeight="false" outlineLevel="0" collapsed="false">
      <c r="A78" s="25"/>
      <c r="B78" s="1"/>
      <c r="C78" s="33" t="str">
        <f aca="false">IF(B78="","",IFERROR(INDEX(CRM_Contatos!$B$5:$B$304,MATCH(B78,CRM_Contatos!$A$5:$A$304,0)),"ID não encontrado"))</f>
        <v/>
      </c>
      <c r="D78" s="1"/>
      <c r="E78" s="1"/>
      <c r="F78" s="1"/>
      <c r="G78" s="1"/>
    </row>
    <row r="79" customFormat="false" ht="15" hidden="false" customHeight="false" outlineLevel="0" collapsed="false">
      <c r="A79" s="25"/>
      <c r="B79" s="1"/>
      <c r="C79" s="33" t="str">
        <f aca="false">IF(B79="","",IFERROR(INDEX(CRM_Contatos!$B$5:$B$304,MATCH(B79,CRM_Contatos!$A$5:$A$304,0)),"ID não encontrado"))</f>
        <v/>
      </c>
      <c r="D79" s="1"/>
      <c r="E79" s="1"/>
      <c r="F79" s="1"/>
      <c r="G79" s="1"/>
    </row>
    <row r="80" customFormat="false" ht="15" hidden="false" customHeight="false" outlineLevel="0" collapsed="false">
      <c r="A80" s="25"/>
      <c r="B80" s="1"/>
      <c r="C80" s="33" t="str">
        <f aca="false">IF(B80="","",IFERROR(INDEX(CRM_Contatos!$B$5:$B$304,MATCH(B80,CRM_Contatos!$A$5:$A$304,0)),"ID não encontrado"))</f>
        <v/>
      </c>
      <c r="D80" s="1"/>
      <c r="E80" s="1"/>
      <c r="F80" s="1"/>
      <c r="G80" s="1"/>
    </row>
    <row r="81" customFormat="false" ht="15" hidden="false" customHeight="false" outlineLevel="0" collapsed="false">
      <c r="A81" s="25"/>
      <c r="B81" s="1"/>
      <c r="C81" s="33" t="str">
        <f aca="false">IF(B81="","",IFERROR(INDEX(CRM_Contatos!$B$5:$B$304,MATCH(B81,CRM_Contatos!$A$5:$A$304,0)),"ID não encontrado"))</f>
        <v/>
      </c>
      <c r="D81" s="1"/>
      <c r="E81" s="1"/>
      <c r="F81" s="1"/>
      <c r="G81" s="1"/>
    </row>
    <row r="82" customFormat="false" ht="15" hidden="false" customHeight="false" outlineLevel="0" collapsed="false">
      <c r="A82" s="25"/>
      <c r="B82" s="1"/>
      <c r="C82" s="33" t="str">
        <f aca="false">IF(B82="","",IFERROR(INDEX(CRM_Contatos!$B$5:$B$304,MATCH(B82,CRM_Contatos!$A$5:$A$304,0)),"ID não encontrado"))</f>
        <v/>
      </c>
      <c r="D82" s="1"/>
      <c r="E82" s="1"/>
      <c r="F82" s="1"/>
      <c r="G82" s="1"/>
    </row>
    <row r="83" customFormat="false" ht="15" hidden="false" customHeight="false" outlineLevel="0" collapsed="false">
      <c r="A83" s="25"/>
      <c r="B83" s="1"/>
      <c r="C83" s="33" t="str">
        <f aca="false">IF(B83="","",IFERROR(INDEX(CRM_Contatos!$B$5:$B$304,MATCH(B83,CRM_Contatos!$A$5:$A$304,0)),"ID não encontrado"))</f>
        <v/>
      </c>
      <c r="D83" s="1"/>
      <c r="E83" s="1"/>
      <c r="F83" s="1"/>
      <c r="G83" s="1"/>
    </row>
    <row r="84" customFormat="false" ht="15" hidden="false" customHeight="false" outlineLevel="0" collapsed="false">
      <c r="A84" s="25"/>
      <c r="B84" s="1"/>
      <c r="C84" s="33" t="str">
        <f aca="false">IF(B84="","",IFERROR(INDEX(CRM_Contatos!$B$5:$B$304,MATCH(B84,CRM_Contatos!$A$5:$A$304,0)),"ID não encontrado"))</f>
        <v/>
      </c>
      <c r="D84" s="1"/>
      <c r="E84" s="1"/>
      <c r="F84" s="1"/>
      <c r="G84" s="1"/>
    </row>
    <row r="85" customFormat="false" ht="15" hidden="false" customHeight="false" outlineLevel="0" collapsed="false">
      <c r="A85" s="25"/>
      <c r="B85" s="1"/>
      <c r="C85" s="33" t="str">
        <f aca="false">IF(B85="","",IFERROR(INDEX(CRM_Contatos!$B$5:$B$304,MATCH(B85,CRM_Contatos!$A$5:$A$304,0)),"ID não encontrado"))</f>
        <v/>
      </c>
      <c r="D85" s="1"/>
      <c r="E85" s="1"/>
      <c r="F85" s="1"/>
      <c r="G85" s="1"/>
    </row>
    <row r="86" customFormat="false" ht="15" hidden="false" customHeight="false" outlineLevel="0" collapsed="false">
      <c r="A86" s="25"/>
      <c r="B86" s="1"/>
      <c r="C86" s="33" t="str">
        <f aca="false">IF(B86="","",IFERROR(INDEX(CRM_Contatos!$B$5:$B$304,MATCH(B86,CRM_Contatos!$A$5:$A$304,0)),"ID não encontrado"))</f>
        <v/>
      </c>
      <c r="D86" s="1"/>
      <c r="E86" s="1"/>
      <c r="F86" s="1"/>
      <c r="G86" s="1"/>
    </row>
    <row r="87" customFormat="false" ht="15" hidden="false" customHeight="false" outlineLevel="0" collapsed="false">
      <c r="A87" s="25"/>
      <c r="B87" s="1"/>
      <c r="C87" s="33" t="str">
        <f aca="false">IF(B87="","",IFERROR(INDEX(CRM_Contatos!$B$5:$B$304,MATCH(B87,CRM_Contatos!$A$5:$A$304,0)),"ID não encontrado"))</f>
        <v/>
      </c>
      <c r="D87" s="1"/>
      <c r="E87" s="1"/>
      <c r="F87" s="1"/>
      <c r="G87" s="1"/>
    </row>
    <row r="88" customFormat="false" ht="15" hidden="false" customHeight="false" outlineLevel="0" collapsed="false">
      <c r="A88" s="25"/>
      <c r="B88" s="1"/>
      <c r="C88" s="33" t="str">
        <f aca="false">IF(B88="","",IFERROR(INDEX(CRM_Contatos!$B$5:$B$304,MATCH(B88,CRM_Contatos!$A$5:$A$304,0)),"ID não encontrado"))</f>
        <v/>
      </c>
      <c r="D88" s="1"/>
      <c r="E88" s="1"/>
      <c r="F88" s="1"/>
      <c r="G88" s="1"/>
    </row>
    <row r="89" customFormat="false" ht="15" hidden="false" customHeight="false" outlineLevel="0" collapsed="false">
      <c r="A89" s="25"/>
      <c r="B89" s="1"/>
      <c r="C89" s="33" t="str">
        <f aca="false">IF(B89="","",IFERROR(INDEX(CRM_Contatos!$B$5:$B$304,MATCH(B89,CRM_Contatos!$A$5:$A$304,0)),"ID não encontrado"))</f>
        <v/>
      </c>
      <c r="D89" s="1"/>
      <c r="E89" s="1"/>
      <c r="F89" s="1"/>
      <c r="G89" s="1"/>
    </row>
    <row r="90" customFormat="false" ht="15" hidden="false" customHeight="false" outlineLevel="0" collapsed="false">
      <c r="A90" s="25"/>
      <c r="B90" s="1"/>
      <c r="C90" s="33" t="str">
        <f aca="false">IF(B90="","",IFERROR(INDEX(CRM_Contatos!$B$5:$B$304,MATCH(B90,CRM_Contatos!$A$5:$A$304,0)),"ID não encontrado"))</f>
        <v/>
      </c>
      <c r="D90" s="1"/>
      <c r="E90" s="1"/>
      <c r="F90" s="1"/>
      <c r="G90" s="1"/>
    </row>
    <row r="91" customFormat="false" ht="15" hidden="false" customHeight="false" outlineLevel="0" collapsed="false">
      <c r="A91" s="25"/>
      <c r="B91" s="1"/>
      <c r="C91" s="33" t="str">
        <f aca="false">IF(B91="","",IFERROR(INDEX(CRM_Contatos!$B$5:$B$304,MATCH(B91,CRM_Contatos!$A$5:$A$304,0)),"ID não encontrado"))</f>
        <v/>
      </c>
      <c r="D91" s="1"/>
      <c r="E91" s="1"/>
      <c r="F91" s="1"/>
      <c r="G91" s="1"/>
    </row>
    <row r="92" customFormat="false" ht="15" hidden="false" customHeight="false" outlineLevel="0" collapsed="false">
      <c r="A92" s="25"/>
      <c r="B92" s="1"/>
      <c r="C92" s="33" t="str">
        <f aca="false">IF(B92="","",IFERROR(INDEX(CRM_Contatos!$B$5:$B$304,MATCH(B92,CRM_Contatos!$A$5:$A$304,0)),"ID não encontrado"))</f>
        <v/>
      </c>
      <c r="D92" s="1"/>
      <c r="E92" s="1"/>
      <c r="F92" s="1"/>
      <c r="G92" s="1"/>
    </row>
    <row r="93" customFormat="false" ht="15" hidden="false" customHeight="false" outlineLevel="0" collapsed="false">
      <c r="A93" s="25"/>
      <c r="B93" s="1"/>
      <c r="C93" s="33" t="str">
        <f aca="false">IF(B93="","",IFERROR(INDEX(CRM_Contatos!$B$5:$B$304,MATCH(B93,CRM_Contatos!$A$5:$A$304,0)),"ID não encontrado"))</f>
        <v/>
      </c>
      <c r="D93" s="1"/>
      <c r="E93" s="1"/>
      <c r="F93" s="1"/>
      <c r="G93" s="1"/>
    </row>
    <row r="94" customFormat="false" ht="15" hidden="false" customHeight="false" outlineLevel="0" collapsed="false">
      <c r="A94" s="25"/>
      <c r="B94" s="1"/>
      <c r="C94" s="33" t="str">
        <f aca="false">IF(B94="","",IFERROR(INDEX(CRM_Contatos!$B$5:$B$304,MATCH(B94,CRM_Contatos!$A$5:$A$304,0)),"ID não encontrado"))</f>
        <v/>
      </c>
      <c r="D94" s="1"/>
      <c r="E94" s="1"/>
      <c r="F94" s="1"/>
      <c r="G94" s="1"/>
    </row>
    <row r="95" customFormat="false" ht="15" hidden="false" customHeight="false" outlineLevel="0" collapsed="false">
      <c r="A95" s="25"/>
      <c r="B95" s="1"/>
      <c r="C95" s="33" t="str">
        <f aca="false">IF(B95="","",IFERROR(INDEX(CRM_Contatos!$B$5:$B$304,MATCH(B95,CRM_Contatos!$A$5:$A$304,0)),"ID não encontrado"))</f>
        <v/>
      </c>
      <c r="D95" s="1"/>
      <c r="E95" s="1"/>
      <c r="F95" s="1"/>
      <c r="G95" s="1"/>
    </row>
    <row r="96" customFormat="false" ht="15" hidden="false" customHeight="false" outlineLevel="0" collapsed="false">
      <c r="A96" s="25"/>
      <c r="B96" s="1"/>
      <c r="C96" s="33" t="str">
        <f aca="false">IF(B96="","",IFERROR(INDEX(CRM_Contatos!$B$5:$B$304,MATCH(B96,CRM_Contatos!$A$5:$A$304,0)),"ID não encontrado"))</f>
        <v/>
      </c>
      <c r="D96" s="1"/>
      <c r="E96" s="1"/>
      <c r="F96" s="1"/>
      <c r="G96" s="1"/>
    </row>
    <row r="97" customFormat="false" ht="15" hidden="false" customHeight="false" outlineLevel="0" collapsed="false">
      <c r="A97" s="25"/>
      <c r="B97" s="1"/>
      <c r="C97" s="33" t="str">
        <f aca="false">IF(B97="","",IFERROR(INDEX(CRM_Contatos!$B$5:$B$304,MATCH(B97,CRM_Contatos!$A$5:$A$304,0)),"ID não encontrado"))</f>
        <v/>
      </c>
      <c r="D97" s="1"/>
      <c r="E97" s="1"/>
      <c r="F97" s="1"/>
      <c r="G97" s="1"/>
    </row>
    <row r="98" customFormat="false" ht="15" hidden="false" customHeight="false" outlineLevel="0" collapsed="false">
      <c r="A98" s="25"/>
      <c r="B98" s="1"/>
      <c r="C98" s="33" t="str">
        <f aca="false">IF(B98="","",IFERROR(INDEX(CRM_Contatos!$B$5:$B$304,MATCH(B98,CRM_Contatos!$A$5:$A$304,0)),"ID não encontrado"))</f>
        <v/>
      </c>
      <c r="D98" s="1"/>
      <c r="E98" s="1"/>
      <c r="F98" s="1"/>
      <c r="G98" s="1"/>
    </row>
    <row r="99" customFormat="false" ht="15" hidden="false" customHeight="false" outlineLevel="0" collapsed="false">
      <c r="A99" s="25"/>
      <c r="B99" s="1"/>
      <c r="C99" s="33" t="str">
        <f aca="false">IF(B99="","",IFERROR(INDEX(CRM_Contatos!$B$5:$B$304,MATCH(B99,CRM_Contatos!$A$5:$A$304,0)),"ID não encontrado"))</f>
        <v/>
      </c>
      <c r="D99" s="1"/>
      <c r="E99" s="1"/>
      <c r="F99" s="1"/>
      <c r="G99" s="1"/>
    </row>
    <row r="100" customFormat="false" ht="15" hidden="false" customHeight="false" outlineLevel="0" collapsed="false">
      <c r="A100" s="25"/>
      <c r="B100" s="1"/>
      <c r="C100" s="33" t="str">
        <f aca="false">IF(B100="","",IFERROR(INDEX(CRM_Contatos!$B$5:$B$304,MATCH(B100,CRM_Contatos!$A$5:$A$304,0)),"ID não encontrado"))</f>
        <v/>
      </c>
      <c r="D100" s="1"/>
      <c r="E100" s="1"/>
      <c r="F100" s="1"/>
      <c r="G100" s="1"/>
    </row>
    <row r="101" customFormat="false" ht="15" hidden="false" customHeight="false" outlineLevel="0" collapsed="false">
      <c r="A101" s="25"/>
      <c r="B101" s="1"/>
      <c r="C101" s="33" t="str">
        <f aca="false">IF(B101="","",IFERROR(INDEX(CRM_Contatos!$B$5:$B$304,MATCH(B101,CRM_Contatos!$A$5:$A$304,0)),"ID não encontrado"))</f>
        <v/>
      </c>
      <c r="D101" s="1"/>
      <c r="E101" s="1"/>
      <c r="F101" s="1"/>
      <c r="G101" s="1"/>
    </row>
    <row r="102" customFormat="false" ht="15" hidden="false" customHeight="false" outlineLevel="0" collapsed="false">
      <c r="A102" s="25"/>
      <c r="B102" s="1"/>
      <c r="C102" s="33" t="str">
        <f aca="false">IF(B102="","",IFERROR(INDEX(CRM_Contatos!$B$5:$B$304,MATCH(B102,CRM_Contatos!$A$5:$A$304,0)),"ID não encontrado"))</f>
        <v/>
      </c>
      <c r="D102" s="1"/>
      <c r="E102" s="1"/>
      <c r="F102" s="1"/>
      <c r="G102" s="1"/>
    </row>
    <row r="103" customFormat="false" ht="15" hidden="false" customHeight="false" outlineLevel="0" collapsed="false">
      <c r="A103" s="25"/>
      <c r="B103" s="1"/>
      <c r="C103" s="33" t="str">
        <f aca="false">IF(B103="","",IFERROR(INDEX(CRM_Contatos!$B$5:$B$304,MATCH(B103,CRM_Contatos!$A$5:$A$304,0)),"ID não encontrado"))</f>
        <v/>
      </c>
      <c r="D103" s="1"/>
      <c r="E103" s="1"/>
      <c r="F103" s="1"/>
      <c r="G103" s="1"/>
    </row>
    <row r="104" customFormat="false" ht="15" hidden="false" customHeight="false" outlineLevel="0" collapsed="false">
      <c r="A104" s="25"/>
      <c r="B104" s="1"/>
      <c r="C104" s="33" t="str">
        <f aca="false">IF(B104="","",IFERROR(INDEX(CRM_Contatos!$B$5:$B$304,MATCH(B104,CRM_Contatos!$A$5:$A$304,0)),"ID não encontrado"))</f>
        <v/>
      </c>
      <c r="D104" s="1"/>
      <c r="E104" s="1"/>
      <c r="F104" s="1"/>
      <c r="G104" s="1"/>
    </row>
    <row r="105" customFormat="false" ht="15" hidden="false" customHeight="false" outlineLevel="0" collapsed="false">
      <c r="A105" s="25"/>
      <c r="B105" s="1"/>
      <c r="C105" s="33" t="str">
        <f aca="false">IF(B105="","",IFERROR(INDEX(CRM_Contatos!$B$5:$B$304,MATCH(B105,CRM_Contatos!$A$5:$A$304,0)),"ID não encontrado"))</f>
        <v/>
      </c>
      <c r="D105" s="1"/>
      <c r="E105" s="1"/>
      <c r="F105" s="1"/>
      <c r="G105" s="1"/>
    </row>
    <row r="106" customFormat="false" ht="15" hidden="false" customHeight="false" outlineLevel="0" collapsed="false">
      <c r="A106" s="25"/>
      <c r="B106" s="1"/>
      <c r="C106" s="33" t="str">
        <f aca="false">IF(B106="","",IFERROR(INDEX(CRM_Contatos!$B$5:$B$304,MATCH(B106,CRM_Contatos!$A$5:$A$304,0)),"ID não encontrado"))</f>
        <v/>
      </c>
      <c r="D106" s="1"/>
      <c r="E106" s="1"/>
      <c r="F106" s="1"/>
      <c r="G106" s="1"/>
    </row>
    <row r="107" customFormat="false" ht="15" hidden="false" customHeight="false" outlineLevel="0" collapsed="false">
      <c r="A107" s="25"/>
      <c r="B107" s="1"/>
      <c r="C107" s="33" t="str">
        <f aca="false">IF(B107="","",IFERROR(INDEX(CRM_Contatos!$B$5:$B$304,MATCH(B107,CRM_Contatos!$A$5:$A$304,0)),"ID não encontrado"))</f>
        <v/>
      </c>
      <c r="D107" s="1"/>
      <c r="E107" s="1"/>
      <c r="F107" s="1"/>
      <c r="G107" s="1"/>
    </row>
    <row r="108" customFormat="false" ht="15" hidden="false" customHeight="false" outlineLevel="0" collapsed="false">
      <c r="A108" s="25"/>
      <c r="B108" s="1"/>
      <c r="C108" s="33" t="str">
        <f aca="false">IF(B108="","",IFERROR(INDEX(CRM_Contatos!$B$5:$B$304,MATCH(B108,CRM_Contatos!$A$5:$A$304,0)),"ID não encontrado"))</f>
        <v/>
      </c>
      <c r="D108" s="1"/>
      <c r="E108" s="1"/>
      <c r="F108" s="1"/>
      <c r="G108" s="1"/>
    </row>
    <row r="109" customFormat="false" ht="15" hidden="false" customHeight="false" outlineLevel="0" collapsed="false">
      <c r="A109" s="25"/>
      <c r="B109" s="1"/>
      <c r="C109" s="33" t="str">
        <f aca="false">IF(B109="","",IFERROR(INDEX(CRM_Contatos!$B$5:$B$304,MATCH(B109,CRM_Contatos!$A$5:$A$304,0)),"ID não encontrado"))</f>
        <v/>
      </c>
      <c r="D109" s="1"/>
      <c r="E109" s="1"/>
      <c r="F109" s="1"/>
      <c r="G109" s="1"/>
    </row>
    <row r="110" customFormat="false" ht="15" hidden="false" customHeight="false" outlineLevel="0" collapsed="false">
      <c r="A110" s="25"/>
      <c r="B110" s="1"/>
      <c r="C110" s="33" t="str">
        <f aca="false">IF(B110="","",IFERROR(INDEX(CRM_Contatos!$B$5:$B$304,MATCH(B110,CRM_Contatos!$A$5:$A$304,0)),"ID não encontrado"))</f>
        <v/>
      </c>
      <c r="D110" s="1"/>
      <c r="E110" s="1"/>
      <c r="F110" s="1"/>
      <c r="G110" s="1"/>
    </row>
    <row r="111" customFormat="false" ht="15" hidden="false" customHeight="false" outlineLevel="0" collapsed="false">
      <c r="A111" s="25"/>
      <c r="B111" s="1"/>
      <c r="C111" s="33" t="str">
        <f aca="false">IF(B111="","",IFERROR(INDEX(CRM_Contatos!$B$5:$B$304,MATCH(B111,CRM_Contatos!$A$5:$A$304,0)),"ID não encontrado"))</f>
        <v/>
      </c>
      <c r="D111" s="1"/>
      <c r="E111" s="1"/>
      <c r="F111" s="1"/>
      <c r="G111" s="1"/>
    </row>
    <row r="112" customFormat="false" ht="15" hidden="false" customHeight="false" outlineLevel="0" collapsed="false">
      <c r="A112" s="25"/>
      <c r="B112" s="1"/>
      <c r="C112" s="33" t="str">
        <f aca="false">IF(B112="","",IFERROR(INDEX(CRM_Contatos!$B$5:$B$304,MATCH(B112,CRM_Contatos!$A$5:$A$304,0)),"ID não encontrado"))</f>
        <v/>
      </c>
      <c r="D112" s="1"/>
      <c r="E112" s="1"/>
      <c r="F112" s="1"/>
      <c r="G112" s="1"/>
    </row>
    <row r="113" customFormat="false" ht="15" hidden="false" customHeight="false" outlineLevel="0" collapsed="false">
      <c r="A113" s="25"/>
      <c r="B113" s="1"/>
      <c r="C113" s="33" t="str">
        <f aca="false">IF(B113="","",IFERROR(INDEX(CRM_Contatos!$B$5:$B$304,MATCH(B113,CRM_Contatos!$A$5:$A$304,0)),"ID não encontrado"))</f>
        <v/>
      </c>
      <c r="D113" s="1"/>
      <c r="E113" s="1"/>
      <c r="F113" s="1"/>
      <c r="G113" s="1"/>
    </row>
    <row r="114" customFormat="false" ht="15" hidden="false" customHeight="false" outlineLevel="0" collapsed="false">
      <c r="A114" s="25"/>
      <c r="B114" s="1"/>
      <c r="C114" s="33" t="str">
        <f aca="false">IF(B114="","",IFERROR(INDEX(CRM_Contatos!$B$5:$B$304,MATCH(B114,CRM_Contatos!$A$5:$A$304,0)),"ID não encontrado"))</f>
        <v/>
      </c>
      <c r="D114" s="1"/>
      <c r="E114" s="1"/>
      <c r="F114" s="1"/>
      <c r="G114" s="1"/>
    </row>
    <row r="115" customFormat="false" ht="15" hidden="false" customHeight="false" outlineLevel="0" collapsed="false">
      <c r="A115" s="25"/>
      <c r="B115" s="1"/>
      <c r="C115" s="33" t="str">
        <f aca="false">IF(B115="","",IFERROR(INDEX(CRM_Contatos!$B$5:$B$304,MATCH(B115,CRM_Contatos!$A$5:$A$304,0)),"ID não encontrado"))</f>
        <v/>
      </c>
      <c r="D115" s="1"/>
      <c r="E115" s="1"/>
      <c r="F115" s="1"/>
      <c r="G115" s="1"/>
    </row>
    <row r="116" customFormat="false" ht="15" hidden="false" customHeight="false" outlineLevel="0" collapsed="false">
      <c r="A116" s="25"/>
      <c r="B116" s="1"/>
      <c r="C116" s="33" t="str">
        <f aca="false">IF(B116="","",IFERROR(INDEX(CRM_Contatos!$B$5:$B$304,MATCH(B116,CRM_Contatos!$A$5:$A$304,0)),"ID não encontrado"))</f>
        <v/>
      </c>
      <c r="D116" s="1"/>
      <c r="E116" s="1"/>
      <c r="F116" s="1"/>
      <c r="G116" s="1"/>
    </row>
    <row r="117" customFormat="false" ht="15" hidden="false" customHeight="false" outlineLevel="0" collapsed="false">
      <c r="A117" s="25"/>
      <c r="B117" s="1"/>
      <c r="C117" s="33" t="str">
        <f aca="false">IF(B117="","",IFERROR(INDEX(CRM_Contatos!$B$5:$B$304,MATCH(B117,CRM_Contatos!$A$5:$A$304,0)),"ID não encontrado"))</f>
        <v/>
      </c>
      <c r="D117" s="1"/>
      <c r="E117" s="1"/>
      <c r="F117" s="1"/>
      <c r="G117" s="1"/>
    </row>
    <row r="118" customFormat="false" ht="15" hidden="false" customHeight="false" outlineLevel="0" collapsed="false">
      <c r="A118" s="25"/>
      <c r="B118" s="1"/>
      <c r="C118" s="33" t="str">
        <f aca="false">IF(B118="","",IFERROR(INDEX(CRM_Contatos!$B$5:$B$304,MATCH(B118,CRM_Contatos!$A$5:$A$304,0)),"ID não encontrado"))</f>
        <v/>
      </c>
      <c r="D118" s="1"/>
      <c r="E118" s="1"/>
      <c r="F118" s="1"/>
      <c r="G118" s="1"/>
    </row>
    <row r="119" customFormat="false" ht="15" hidden="false" customHeight="false" outlineLevel="0" collapsed="false">
      <c r="A119" s="25"/>
      <c r="B119" s="1"/>
      <c r="C119" s="33" t="str">
        <f aca="false">IF(B119="","",IFERROR(INDEX(CRM_Contatos!$B$5:$B$304,MATCH(B119,CRM_Contatos!$A$5:$A$304,0)),"ID não encontrado"))</f>
        <v/>
      </c>
      <c r="D119" s="1"/>
      <c r="E119" s="1"/>
      <c r="F119" s="1"/>
      <c r="G119" s="1"/>
    </row>
    <row r="120" customFormat="false" ht="15" hidden="false" customHeight="false" outlineLevel="0" collapsed="false">
      <c r="A120" s="25"/>
      <c r="B120" s="1"/>
      <c r="C120" s="33" t="str">
        <f aca="false">IF(B120="","",IFERROR(INDEX(CRM_Contatos!$B$5:$B$304,MATCH(B120,CRM_Contatos!$A$5:$A$304,0)),"ID não encontrado"))</f>
        <v/>
      </c>
      <c r="D120" s="1"/>
      <c r="E120" s="1"/>
      <c r="F120" s="1"/>
      <c r="G120" s="1"/>
    </row>
    <row r="121" customFormat="false" ht="15" hidden="false" customHeight="false" outlineLevel="0" collapsed="false">
      <c r="A121" s="25"/>
      <c r="B121" s="1"/>
      <c r="C121" s="33" t="str">
        <f aca="false">IF(B121="","",IFERROR(INDEX(CRM_Contatos!$B$5:$B$304,MATCH(B121,CRM_Contatos!$A$5:$A$304,0)),"ID não encontrado"))</f>
        <v/>
      </c>
      <c r="D121" s="1"/>
      <c r="E121" s="1"/>
      <c r="F121" s="1"/>
      <c r="G121" s="1"/>
    </row>
    <row r="122" customFormat="false" ht="15" hidden="false" customHeight="false" outlineLevel="0" collapsed="false">
      <c r="A122" s="25"/>
      <c r="B122" s="1"/>
      <c r="C122" s="33" t="str">
        <f aca="false">IF(B122="","",IFERROR(INDEX(CRM_Contatos!$B$5:$B$304,MATCH(B122,CRM_Contatos!$A$5:$A$304,0)),"ID não encontrado"))</f>
        <v/>
      </c>
      <c r="D122" s="1"/>
      <c r="E122" s="1"/>
      <c r="F122" s="1"/>
      <c r="G122" s="1"/>
    </row>
    <row r="123" customFormat="false" ht="15" hidden="false" customHeight="false" outlineLevel="0" collapsed="false">
      <c r="A123" s="25"/>
      <c r="B123" s="1"/>
      <c r="C123" s="33" t="str">
        <f aca="false">IF(B123="","",IFERROR(INDEX(CRM_Contatos!$B$5:$B$304,MATCH(B123,CRM_Contatos!$A$5:$A$304,0)),"ID não encontrado"))</f>
        <v/>
      </c>
      <c r="D123" s="1"/>
      <c r="E123" s="1"/>
      <c r="F123" s="1"/>
      <c r="G123" s="1"/>
    </row>
    <row r="124" customFormat="false" ht="15" hidden="false" customHeight="false" outlineLevel="0" collapsed="false">
      <c r="A124" s="25"/>
      <c r="B124" s="1"/>
      <c r="C124" s="33" t="str">
        <f aca="false">IF(B124="","",IFERROR(INDEX(CRM_Contatos!$B$5:$B$304,MATCH(B124,CRM_Contatos!$A$5:$A$304,0)),"ID não encontrado"))</f>
        <v/>
      </c>
      <c r="D124" s="1"/>
      <c r="E124" s="1"/>
      <c r="F124" s="1"/>
      <c r="G124" s="1"/>
    </row>
    <row r="125" customFormat="false" ht="15" hidden="false" customHeight="false" outlineLevel="0" collapsed="false">
      <c r="A125" s="25"/>
      <c r="B125" s="1"/>
      <c r="C125" s="33" t="str">
        <f aca="false">IF(B125="","",IFERROR(INDEX(CRM_Contatos!$B$5:$B$304,MATCH(B125,CRM_Contatos!$A$5:$A$304,0)),"ID não encontrado"))</f>
        <v/>
      </c>
      <c r="D125" s="1"/>
      <c r="E125" s="1"/>
      <c r="F125" s="1"/>
      <c r="G125" s="1"/>
    </row>
    <row r="126" customFormat="false" ht="15" hidden="false" customHeight="false" outlineLevel="0" collapsed="false">
      <c r="A126" s="25"/>
      <c r="B126" s="1"/>
      <c r="C126" s="33" t="str">
        <f aca="false">IF(B126="","",IFERROR(INDEX(CRM_Contatos!$B$5:$B$304,MATCH(B126,CRM_Contatos!$A$5:$A$304,0)),"ID não encontrado"))</f>
        <v/>
      </c>
      <c r="D126" s="1"/>
      <c r="E126" s="1"/>
      <c r="F126" s="1"/>
      <c r="G126" s="1"/>
    </row>
    <row r="127" customFormat="false" ht="15" hidden="false" customHeight="false" outlineLevel="0" collapsed="false">
      <c r="A127" s="25"/>
      <c r="B127" s="1"/>
      <c r="C127" s="33" t="str">
        <f aca="false">IF(B127="","",IFERROR(INDEX(CRM_Contatos!$B$5:$B$304,MATCH(B127,CRM_Contatos!$A$5:$A$304,0)),"ID não encontrado"))</f>
        <v/>
      </c>
      <c r="D127" s="1"/>
      <c r="E127" s="1"/>
      <c r="F127" s="1"/>
      <c r="G127" s="1"/>
    </row>
    <row r="128" customFormat="false" ht="15" hidden="false" customHeight="false" outlineLevel="0" collapsed="false">
      <c r="A128" s="25"/>
      <c r="B128" s="1"/>
      <c r="C128" s="33" t="str">
        <f aca="false">IF(B128="","",IFERROR(INDEX(CRM_Contatos!$B$5:$B$304,MATCH(B128,CRM_Contatos!$A$5:$A$304,0)),"ID não encontrado"))</f>
        <v/>
      </c>
      <c r="D128" s="1"/>
      <c r="E128" s="1"/>
      <c r="F128" s="1"/>
      <c r="G128" s="1"/>
    </row>
    <row r="129" customFormat="false" ht="15" hidden="false" customHeight="false" outlineLevel="0" collapsed="false">
      <c r="A129" s="25"/>
      <c r="B129" s="1"/>
      <c r="C129" s="33" t="str">
        <f aca="false">IF(B129="","",IFERROR(INDEX(CRM_Contatos!$B$5:$B$304,MATCH(B129,CRM_Contatos!$A$5:$A$304,0)),"ID não encontrado"))</f>
        <v/>
      </c>
      <c r="D129" s="1"/>
      <c r="E129" s="1"/>
      <c r="F129" s="1"/>
      <c r="G129" s="1"/>
    </row>
    <row r="130" customFormat="false" ht="15" hidden="false" customHeight="false" outlineLevel="0" collapsed="false">
      <c r="A130" s="25"/>
      <c r="B130" s="1"/>
      <c r="C130" s="33" t="str">
        <f aca="false">IF(B130="","",IFERROR(INDEX(CRM_Contatos!$B$5:$B$304,MATCH(B130,CRM_Contatos!$A$5:$A$304,0)),"ID não encontrado"))</f>
        <v/>
      </c>
      <c r="D130" s="1"/>
      <c r="E130" s="1"/>
      <c r="F130" s="1"/>
      <c r="G130" s="1"/>
    </row>
    <row r="131" customFormat="false" ht="15" hidden="false" customHeight="false" outlineLevel="0" collapsed="false">
      <c r="A131" s="25"/>
      <c r="B131" s="1"/>
      <c r="C131" s="33" t="str">
        <f aca="false">IF(B131="","",IFERROR(INDEX(CRM_Contatos!$B$5:$B$304,MATCH(B131,CRM_Contatos!$A$5:$A$304,0)),"ID não encontrado"))</f>
        <v/>
      </c>
      <c r="D131" s="1"/>
      <c r="E131" s="1"/>
      <c r="F131" s="1"/>
      <c r="G131" s="1"/>
    </row>
    <row r="132" customFormat="false" ht="15" hidden="false" customHeight="false" outlineLevel="0" collapsed="false">
      <c r="A132" s="25"/>
      <c r="B132" s="1"/>
      <c r="C132" s="33" t="str">
        <f aca="false">IF(B132="","",IFERROR(INDEX(CRM_Contatos!$B$5:$B$304,MATCH(B132,CRM_Contatos!$A$5:$A$304,0)),"ID não encontrado"))</f>
        <v/>
      </c>
      <c r="D132" s="1"/>
      <c r="E132" s="1"/>
      <c r="F132" s="1"/>
      <c r="G132" s="1"/>
    </row>
    <row r="133" customFormat="false" ht="15" hidden="false" customHeight="false" outlineLevel="0" collapsed="false">
      <c r="A133" s="25"/>
      <c r="B133" s="1"/>
      <c r="C133" s="33" t="str">
        <f aca="false">IF(B133="","",IFERROR(INDEX(CRM_Contatos!$B$5:$B$304,MATCH(B133,CRM_Contatos!$A$5:$A$304,0)),"ID não encontrado"))</f>
        <v/>
      </c>
      <c r="D133" s="1"/>
      <c r="E133" s="1"/>
      <c r="F133" s="1"/>
      <c r="G133" s="1"/>
    </row>
    <row r="134" customFormat="false" ht="15" hidden="false" customHeight="false" outlineLevel="0" collapsed="false">
      <c r="A134" s="25"/>
      <c r="B134" s="1"/>
      <c r="C134" s="33" t="str">
        <f aca="false">IF(B134="","",IFERROR(INDEX(CRM_Contatos!$B$5:$B$304,MATCH(B134,CRM_Contatos!$A$5:$A$304,0)),"ID não encontrado"))</f>
        <v/>
      </c>
      <c r="D134" s="1"/>
      <c r="E134" s="1"/>
      <c r="F134" s="1"/>
      <c r="G134" s="1"/>
    </row>
    <row r="135" customFormat="false" ht="15" hidden="false" customHeight="false" outlineLevel="0" collapsed="false">
      <c r="A135" s="25"/>
      <c r="B135" s="1"/>
      <c r="C135" s="33" t="str">
        <f aca="false">IF(B135="","",IFERROR(INDEX(CRM_Contatos!$B$5:$B$304,MATCH(B135,CRM_Contatos!$A$5:$A$304,0)),"ID não encontrado"))</f>
        <v/>
      </c>
      <c r="D135" s="1"/>
      <c r="E135" s="1"/>
      <c r="F135" s="1"/>
      <c r="G135" s="1"/>
    </row>
    <row r="136" customFormat="false" ht="15" hidden="false" customHeight="false" outlineLevel="0" collapsed="false">
      <c r="A136" s="25"/>
      <c r="B136" s="1"/>
      <c r="C136" s="33" t="str">
        <f aca="false">IF(B136="","",IFERROR(INDEX(CRM_Contatos!$B$5:$B$304,MATCH(B136,CRM_Contatos!$A$5:$A$304,0)),"ID não encontrado"))</f>
        <v/>
      </c>
      <c r="D136" s="1"/>
      <c r="E136" s="1"/>
      <c r="F136" s="1"/>
      <c r="G136" s="1"/>
    </row>
    <row r="137" customFormat="false" ht="15" hidden="false" customHeight="false" outlineLevel="0" collapsed="false">
      <c r="A137" s="25"/>
      <c r="B137" s="1"/>
      <c r="C137" s="33" t="str">
        <f aca="false">IF(B137="","",IFERROR(INDEX(CRM_Contatos!$B$5:$B$304,MATCH(B137,CRM_Contatos!$A$5:$A$304,0)),"ID não encontrado"))</f>
        <v/>
      </c>
      <c r="D137" s="1"/>
      <c r="E137" s="1"/>
      <c r="F137" s="1"/>
      <c r="G137" s="1"/>
    </row>
    <row r="138" customFormat="false" ht="15" hidden="false" customHeight="false" outlineLevel="0" collapsed="false">
      <c r="A138" s="25"/>
      <c r="B138" s="1"/>
      <c r="C138" s="33" t="str">
        <f aca="false">IF(B138="","",IFERROR(INDEX(CRM_Contatos!$B$5:$B$304,MATCH(B138,CRM_Contatos!$A$5:$A$304,0)),"ID não encontrado"))</f>
        <v/>
      </c>
      <c r="D138" s="1"/>
      <c r="E138" s="1"/>
      <c r="F138" s="1"/>
      <c r="G138" s="1"/>
    </row>
    <row r="139" customFormat="false" ht="15" hidden="false" customHeight="false" outlineLevel="0" collapsed="false">
      <c r="A139" s="25"/>
      <c r="B139" s="1"/>
      <c r="C139" s="33" t="str">
        <f aca="false">IF(B139="","",IFERROR(INDEX(CRM_Contatos!$B$5:$B$304,MATCH(B139,CRM_Contatos!$A$5:$A$304,0)),"ID não encontrado"))</f>
        <v/>
      </c>
      <c r="D139" s="1"/>
      <c r="E139" s="1"/>
      <c r="F139" s="1"/>
      <c r="G139" s="1"/>
    </row>
    <row r="140" customFormat="false" ht="15" hidden="false" customHeight="false" outlineLevel="0" collapsed="false">
      <c r="A140" s="25"/>
      <c r="B140" s="1"/>
      <c r="C140" s="33" t="str">
        <f aca="false">IF(B140="","",IFERROR(INDEX(CRM_Contatos!$B$5:$B$304,MATCH(B140,CRM_Contatos!$A$5:$A$304,0)),"ID não encontrado"))</f>
        <v/>
      </c>
      <c r="D140" s="1"/>
      <c r="E140" s="1"/>
      <c r="F140" s="1"/>
      <c r="G140" s="1"/>
    </row>
    <row r="141" customFormat="false" ht="15" hidden="false" customHeight="false" outlineLevel="0" collapsed="false">
      <c r="A141" s="25"/>
      <c r="B141" s="1"/>
      <c r="C141" s="33" t="str">
        <f aca="false">IF(B141="","",IFERROR(INDEX(CRM_Contatos!$B$5:$B$304,MATCH(B141,CRM_Contatos!$A$5:$A$304,0)),"ID não encontrado"))</f>
        <v/>
      </c>
      <c r="D141" s="1"/>
      <c r="E141" s="1"/>
      <c r="F141" s="1"/>
      <c r="G141" s="1"/>
    </row>
    <row r="142" customFormat="false" ht="15" hidden="false" customHeight="false" outlineLevel="0" collapsed="false">
      <c r="A142" s="25"/>
      <c r="B142" s="1"/>
      <c r="C142" s="33" t="str">
        <f aca="false">IF(B142="","",IFERROR(INDEX(CRM_Contatos!$B$5:$B$304,MATCH(B142,CRM_Contatos!$A$5:$A$304,0)),"ID não encontrado"))</f>
        <v/>
      </c>
      <c r="D142" s="1"/>
      <c r="E142" s="1"/>
      <c r="F142" s="1"/>
      <c r="G142" s="1"/>
    </row>
    <row r="143" customFormat="false" ht="15" hidden="false" customHeight="false" outlineLevel="0" collapsed="false">
      <c r="A143" s="25"/>
      <c r="B143" s="1"/>
      <c r="C143" s="33" t="str">
        <f aca="false">IF(B143="","",IFERROR(INDEX(CRM_Contatos!$B$5:$B$304,MATCH(B143,CRM_Contatos!$A$5:$A$304,0)),"ID não encontrado"))</f>
        <v/>
      </c>
      <c r="D143" s="1"/>
      <c r="E143" s="1"/>
      <c r="F143" s="1"/>
      <c r="G143" s="1"/>
    </row>
    <row r="144" customFormat="false" ht="15" hidden="false" customHeight="false" outlineLevel="0" collapsed="false">
      <c r="A144" s="25"/>
      <c r="B144" s="1"/>
      <c r="C144" s="33" t="str">
        <f aca="false">IF(B144="","",IFERROR(INDEX(CRM_Contatos!$B$5:$B$304,MATCH(B144,CRM_Contatos!$A$5:$A$304,0)),"ID não encontrado"))</f>
        <v/>
      </c>
      <c r="D144" s="1"/>
      <c r="E144" s="1"/>
      <c r="F144" s="1"/>
      <c r="G144" s="1"/>
    </row>
    <row r="145" customFormat="false" ht="15" hidden="false" customHeight="false" outlineLevel="0" collapsed="false">
      <c r="A145" s="25"/>
      <c r="B145" s="1"/>
      <c r="C145" s="33" t="str">
        <f aca="false">IF(B145="","",IFERROR(INDEX(CRM_Contatos!$B$5:$B$304,MATCH(B145,CRM_Contatos!$A$5:$A$304,0)),"ID não encontrado"))</f>
        <v/>
      </c>
      <c r="D145" s="1"/>
      <c r="E145" s="1"/>
      <c r="F145" s="1"/>
      <c r="G145" s="1"/>
    </row>
    <row r="146" customFormat="false" ht="15" hidden="false" customHeight="false" outlineLevel="0" collapsed="false">
      <c r="A146" s="25"/>
      <c r="B146" s="1"/>
      <c r="C146" s="33" t="str">
        <f aca="false">IF(B146="","",IFERROR(INDEX(CRM_Contatos!$B$5:$B$304,MATCH(B146,CRM_Contatos!$A$5:$A$304,0)),"ID não encontrado"))</f>
        <v/>
      </c>
      <c r="D146" s="1"/>
      <c r="E146" s="1"/>
      <c r="F146" s="1"/>
      <c r="G146" s="1"/>
    </row>
    <row r="147" customFormat="false" ht="15" hidden="false" customHeight="false" outlineLevel="0" collapsed="false">
      <c r="A147" s="25"/>
      <c r="B147" s="1"/>
      <c r="C147" s="33" t="str">
        <f aca="false">IF(B147="","",IFERROR(INDEX(CRM_Contatos!$B$5:$B$304,MATCH(B147,CRM_Contatos!$A$5:$A$304,0)),"ID não encontrado"))</f>
        <v/>
      </c>
      <c r="D147" s="1"/>
      <c r="E147" s="1"/>
      <c r="F147" s="1"/>
      <c r="G147" s="1"/>
    </row>
    <row r="148" customFormat="false" ht="15" hidden="false" customHeight="false" outlineLevel="0" collapsed="false">
      <c r="A148" s="25"/>
      <c r="B148" s="1"/>
      <c r="C148" s="33" t="str">
        <f aca="false">IF(B148="","",IFERROR(INDEX(CRM_Contatos!$B$5:$B$304,MATCH(B148,CRM_Contatos!$A$5:$A$304,0)),"ID não encontrado"))</f>
        <v/>
      </c>
      <c r="D148" s="1"/>
      <c r="E148" s="1"/>
      <c r="F148" s="1"/>
      <c r="G148" s="1"/>
    </row>
    <row r="149" customFormat="false" ht="15" hidden="false" customHeight="false" outlineLevel="0" collapsed="false">
      <c r="A149" s="25"/>
      <c r="B149" s="1"/>
      <c r="C149" s="33" t="str">
        <f aca="false">IF(B149="","",IFERROR(INDEX(CRM_Contatos!$B$5:$B$304,MATCH(B149,CRM_Contatos!$A$5:$A$304,0)),"ID não encontrado"))</f>
        <v/>
      </c>
      <c r="D149" s="1"/>
      <c r="E149" s="1"/>
      <c r="F149" s="1"/>
      <c r="G149" s="1"/>
    </row>
    <row r="150" customFormat="false" ht="15" hidden="false" customHeight="false" outlineLevel="0" collapsed="false">
      <c r="A150" s="25"/>
      <c r="B150" s="1"/>
      <c r="C150" s="33" t="str">
        <f aca="false">IF(B150="","",IFERROR(INDEX(CRM_Contatos!$B$5:$B$304,MATCH(B150,CRM_Contatos!$A$5:$A$304,0)),"ID não encontrado"))</f>
        <v/>
      </c>
      <c r="D150" s="1"/>
      <c r="E150" s="1"/>
      <c r="F150" s="1"/>
      <c r="G150" s="1"/>
    </row>
    <row r="151" customFormat="false" ht="15" hidden="false" customHeight="false" outlineLevel="0" collapsed="false">
      <c r="A151" s="25"/>
      <c r="B151" s="1"/>
      <c r="C151" s="33" t="str">
        <f aca="false">IF(B151="","",IFERROR(INDEX(CRM_Contatos!$B$5:$B$304,MATCH(B151,CRM_Contatos!$A$5:$A$304,0)),"ID não encontrado"))</f>
        <v/>
      </c>
      <c r="D151" s="1"/>
      <c r="E151" s="1"/>
      <c r="F151" s="1"/>
      <c r="G151" s="1"/>
    </row>
    <row r="152" customFormat="false" ht="15" hidden="false" customHeight="false" outlineLevel="0" collapsed="false">
      <c r="A152" s="25"/>
      <c r="B152" s="1"/>
      <c r="C152" s="33" t="str">
        <f aca="false">IF(B152="","",IFERROR(INDEX(CRM_Contatos!$B$5:$B$304,MATCH(B152,CRM_Contatos!$A$5:$A$304,0)),"ID não encontrado"))</f>
        <v/>
      </c>
      <c r="D152" s="1"/>
      <c r="E152" s="1"/>
      <c r="F152" s="1"/>
      <c r="G152" s="1"/>
    </row>
    <row r="153" customFormat="false" ht="15" hidden="false" customHeight="false" outlineLevel="0" collapsed="false">
      <c r="A153" s="25"/>
      <c r="B153" s="1"/>
      <c r="C153" s="33" t="str">
        <f aca="false">IF(B153="","",IFERROR(INDEX(CRM_Contatos!$B$5:$B$304,MATCH(B153,CRM_Contatos!$A$5:$A$304,0)),"ID não encontrado"))</f>
        <v/>
      </c>
      <c r="D153" s="1"/>
      <c r="E153" s="1"/>
      <c r="F153" s="1"/>
      <c r="G153" s="1"/>
    </row>
    <row r="154" customFormat="false" ht="15" hidden="false" customHeight="false" outlineLevel="0" collapsed="false">
      <c r="A154" s="25"/>
      <c r="B154" s="1"/>
      <c r="C154" s="33" t="str">
        <f aca="false">IF(B154="","",IFERROR(INDEX(CRM_Contatos!$B$5:$B$304,MATCH(B154,CRM_Contatos!$A$5:$A$304,0)),"ID não encontrado"))</f>
        <v/>
      </c>
      <c r="D154" s="1"/>
      <c r="E154" s="1"/>
      <c r="F154" s="1"/>
      <c r="G154" s="1"/>
    </row>
    <row r="155" customFormat="false" ht="15" hidden="false" customHeight="false" outlineLevel="0" collapsed="false">
      <c r="A155" s="25"/>
      <c r="B155" s="1"/>
      <c r="C155" s="33" t="str">
        <f aca="false">IF(B155="","",IFERROR(INDEX(CRM_Contatos!$B$5:$B$304,MATCH(B155,CRM_Contatos!$A$5:$A$304,0)),"ID não encontrado"))</f>
        <v/>
      </c>
      <c r="D155" s="1"/>
      <c r="E155" s="1"/>
      <c r="F155" s="1"/>
      <c r="G155" s="1"/>
    </row>
    <row r="156" customFormat="false" ht="15" hidden="false" customHeight="false" outlineLevel="0" collapsed="false">
      <c r="A156" s="25"/>
      <c r="B156" s="1"/>
      <c r="C156" s="33" t="str">
        <f aca="false">IF(B156="","",IFERROR(INDEX(CRM_Contatos!$B$5:$B$304,MATCH(B156,CRM_Contatos!$A$5:$A$304,0)),"ID não encontrado"))</f>
        <v/>
      </c>
      <c r="D156" s="1"/>
      <c r="E156" s="1"/>
      <c r="F156" s="1"/>
      <c r="G156" s="1"/>
    </row>
    <row r="157" customFormat="false" ht="15" hidden="false" customHeight="false" outlineLevel="0" collapsed="false">
      <c r="A157" s="25"/>
      <c r="B157" s="1"/>
      <c r="C157" s="33" t="str">
        <f aca="false">IF(B157="","",IFERROR(INDEX(CRM_Contatos!$B$5:$B$304,MATCH(B157,CRM_Contatos!$A$5:$A$304,0)),"ID não encontrado"))</f>
        <v/>
      </c>
      <c r="D157" s="1"/>
      <c r="E157" s="1"/>
      <c r="F157" s="1"/>
      <c r="G157" s="1"/>
    </row>
    <row r="158" customFormat="false" ht="15" hidden="false" customHeight="false" outlineLevel="0" collapsed="false">
      <c r="A158" s="25"/>
      <c r="B158" s="1"/>
      <c r="C158" s="33" t="str">
        <f aca="false">IF(B158="","",IFERROR(INDEX(CRM_Contatos!$B$5:$B$304,MATCH(B158,CRM_Contatos!$A$5:$A$304,0)),"ID não encontrado"))</f>
        <v/>
      </c>
      <c r="D158" s="1"/>
      <c r="E158" s="1"/>
      <c r="F158" s="1"/>
      <c r="G158" s="1"/>
    </row>
    <row r="159" customFormat="false" ht="15" hidden="false" customHeight="false" outlineLevel="0" collapsed="false">
      <c r="A159" s="25"/>
      <c r="B159" s="1"/>
      <c r="C159" s="33" t="str">
        <f aca="false">IF(B159="","",IFERROR(INDEX(CRM_Contatos!$B$5:$B$304,MATCH(B159,CRM_Contatos!$A$5:$A$304,0)),"ID não encontrado"))</f>
        <v/>
      </c>
      <c r="D159" s="1"/>
      <c r="E159" s="1"/>
      <c r="F159" s="1"/>
      <c r="G159" s="1"/>
    </row>
    <row r="160" customFormat="false" ht="15" hidden="false" customHeight="false" outlineLevel="0" collapsed="false">
      <c r="A160" s="25"/>
      <c r="B160" s="1"/>
      <c r="C160" s="33" t="str">
        <f aca="false">IF(B160="","",IFERROR(INDEX(CRM_Contatos!$B$5:$B$304,MATCH(B160,CRM_Contatos!$A$5:$A$304,0)),"ID não encontrado"))</f>
        <v/>
      </c>
      <c r="D160" s="1"/>
      <c r="E160" s="1"/>
      <c r="F160" s="1"/>
      <c r="G160" s="1"/>
    </row>
    <row r="161" customFormat="false" ht="15" hidden="false" customHeight="false" outlineLevel="0" collapsed="false">
      <c r="A161" s="25"/>
      <c r="B161" s="1"/>
      <c r="C161" s="33" t="str">
        <f aca="false">IF(B161="","",IFERROR(INDEX(CRM_Contatos!$B$5:$B$304,MATCH(B161,CRM_Contatos!$A$5:$A$304,0)),"ID não encontrado"))</f>
        <v/>
      </c>
      <c r="D161" s="1"/>
      <c r="E161" s="1"/>
      <c r="F161" s="1"/>
      <c r="G161" s="1"/>
    </row>
    <row r="162" customFormat="false" ht="15" hidden="false" customHeight="false" outlineLevel="0" collapsed="false">
      <c r="A162" s="25"/>
      <c r="B162" s="1"/>
      <c r="C162" s="33" t="str">
        <f aca="false">IF(B162="","",IFERROR(INDEX(CRM_Contatos!$B$5:$B$304,MATCH(B162,CRM_Contatos!$A$5:$A$304,0)),"ID não encontrado"))</f>
        <v/>
      </c>
      <c r="D162" s="1"/>
      <c r="E162" s="1"/>
      <c r="F162" s="1"/>
      <c r="G162" s="1"/>
    </row>
    <row r="163" customFormat="false" ht="15" hidden="false" customHeight="false" outlineLevel="0" collapsed="false">
      <c r="A163" s="25"/>
      <c r="B163" s="1"/>
      <c r="C163" s="33" t="str">
        <f aca="false">IF(B163="","",IFERROR(INDEX(CRM_Contatos!$B$5:$B$304,MATCH(B163,CRM_Contatos!$A$5:$A$304,0)),"ID não encontrado"))</f>
        <v/>
      </c>
      <c r="D163" s="1"/>
      <c r="E163" s="1"/>
      <c r="F163" s="1"/>
      <c r="G163" s="1"/>
    </row>
    <row r="164" customFormat="false" ht="15" hidden="false" customHeight="false" outlineLevel="0" collapsed="false">
      <c r="A164" s="25"/>
      <c r="B164" s="1"/>
      <c r="C164" s="33" t="str">
        <f aca="false">IF(B164="","",IFERROR(INDEX(CRM_Contatos!$B$5:$B$304,MATCH(B164,CRM_Contatos!$A$5:$A$304,0)),"ID não encontrado"))</f>
        <v/>
      </c>
      <c r="D164" s="1"/>
      <c r="E164" s="1"/>
      <c r="F164" s="1"/>
      <c r="G164" s="1"/>
    </row>
    <row r="165" customFormat="false" ht="15" hidden="false" customHeight="false" outlineLevel="0" collapsed="false">
      <c r="A165" s="25"/>
      <c r="B165" s="1"/>
      <c r="C165" s="33" t="str">
        <f aca="false">IF(B165="","",IFERROR(INDEX(CRM_Contatos!$B$5:$B$304,MATCH(B165,CRM_Contatos!$A$5:$A$304,0)),"ID não encontrado"))</f>
        <v/>
      </c>
      <c r="D165" s="1"/>
      <c r="E165" s="1"/>
      <c r="F165" s="1"/>
      <c r="G165" s="1"/>
    </row>
    <row r="166" customFormat="false" ht="15" hidden="false" customHeight="false" outlineLevel="0" collapsed="false">
      <c r="A166" s="25"/>
      <c r="B166" s="1"/>
      <c r="C166" s="33" t="str">
        <f aca="false">IF(B166="","",IFERROR(INDEX(CRM_Contatos!$B$5:$B$304,MATCH(B166,CRM_Contatos!$A$5:$A$304,0)),"ID não encontrado"))</f>
        <v/>
      </c>
      <c r="D166" s="1"/>
      <c r="E166" s="1"/>
      <c r="F166" s="1"/>
      <c r="G166" s="1"/>
    </row>
    <row r="167" customFormat="false" ht="15" hidden="false" customHeight="false" outlineLevel="0" collapsed="false">
      <c r="A167" s="25"/>
      <c r="B167" s="1"/>
      <c r="C167" s="33" t="str">
        <f aca="false">IF(B167="","",IFERROR(INDEX(CRM_Contatos!$B$5:$B$304,MATCH(B167,CRM_Contatos!$A$5:$A$304,0)),"ID não encontrado"))</f>
        <v/>
      </c>
      <c r="D167" s="1"/>
      <c r="E167" s="1"/>
      <c r="F167" s="1"/>
      <c r="G167" s="1"/>
    </row>
    <row r="168" customFormat="false" ht="15" hidden="false" customHeight="false" outlineLevel="0" collapsed="false">
      <c r="A168" s="25"/>
      <c r="B168" s="1"/>
      <c r="C168" s="33" t="str">
        <f aca="false">IF(B168="","",IFERROR(INDEX(CRM_Contatos!$B$5:$B$304,MATCH(B168,CRM_Contatos!$A$5:$A$304,0)),"ID não encontrado"))</f>
        <v/>
      </c>
      <c r="D168" s="1"/>
      <c r="E168" s="1"/>
      <c r="F168" s="1"/>
      <c r="G168" s="1"/>
    </row>
    <row r="169" customFormat="false" ht="15" hidden="false" customHeight="false" outlineLevel="0" collapsed="false">
      <c r="A169" s="25"/>
      <c r="B169" s="1"/>
      <c r="C169" s="33" t="str">
        <f aca="false">IF(B169="","",IFERROR(INDEX(CRM_Contatos!$B$5:$B$304,MATCH(B169,CRM_Contatos!$A$5:$A$304,0)),"ID não encontrado"))</f>
        <v/>
      </c>
      <c r="D169" s="1"/>
      <c r="E169" s="1"/>
      <c r="F169" s="1"/>
      <c r="G169" s="1"/>
    </row>
    <row r="170" customFormat="false" ht="15" hidden="false" customHeight="false" outlineLevel="0" collapsed="false">
      <c r="A170" s="25"/>
      <c r="B170" s="1"/>
      <c r="C170" s="33" t="str">
        <f aca="false">IF(B170="","",IFERROR(INDEX(CRM_Contatos!$B$5:$B$304,MATCH(B170,CRM_Contatos!$A$5:$A$304,0)),"ID não encontrado"))</f>
        <v/>
      </c>
      <c r="D170" s="1"/>
      <c r="E170" s="1"/>
      <c r="F170" s="1"/>
      <c r="G170" s="1"/>
    </row>
    <row r="171" customFormat="false" ht="15" hidden="false" customHeight="false" outlineLevel="0" collapsed="false">
      <c r="A171" s="25"/>
      <c r="B171" s="1"/>
      <c r="C171" s="33" t="str">
        <f aca="false">IF(B171="","",IFERROR(INDEX(CRM_Contatos!$B$5:$B$304,MATCH(B171,CRM_Contatos!$A$5:$A$304,0)),"ID não encontrado"))</f>
        <v/>
      </c>
      <c r="D171" s="1"/>
      <c r="E171" s="1"/>
      <c r="F171" s="1"/>
      <c r="G171" s="1"/>
    </row>
    <row r="172" customFormat="false" ht="15" hidden="false" customHeight="false" outlineLevel="0" collapsed="false">
      <c r="A172" s="25"/>
      <c r="B172" s="1"/>
      <c r="C172" s="33" t="str">
        <f aca="false">IF(B172="","",IFERROR(INDEX(CRM_Contatos!$B$5:$B$304,MATCH(B172,CRM_Contatos!$A$5:$A$304,0)),"ID não encontrado"))</f>
        <v/>
      </c>
      <c r="D172" s="1"/>
      <c r="E172" s="1"/>
      <c r="F172" s="1"/>
      <c r="G172" s="1"/>
    </row>
    <row r="173" customFormat="false" ht="15" hidden="false" customHeight="false" outlineLevel="0" collapsed="false">
      <c r="A173" s="25"/>
      <c r="B173" s="1"/>
      <c r="C173" s="33" t="str">
        <f aca="false">IF(B173="","",IFERROR(INDEX(CRM_Contatos!$B$5:$B$304,MATCH(B173,CRM_Contatos!$A$5:$A$304,0)),"ID não encontrado"))</f>
        <v/>
      </c>
      <c r="D173" s="1"/>
      <c r="E173" s="1"/>
      <c r="F173" s="1"/>
      <c r="G173" s="1"/>
    </row>
    <row r="174" customFormat="false" ht="15" hidden="false" customHeight="false" outlineLevel="0" collapsed="false">
      <c r="A174" s="25"/>
      <c r="B174" s="1"/>
      <c r="C174" s="33" t="str">
        <f aca="false">IF(B174="","",IFERROR(INDEX(CRM_Contatos!$B$5:$B$304,MATCH(B174,CRM_Contatos!$A$5:$A$304,0)),"ID não encontrado"))</f>
        <v/>
      </c>
      <c r="D174" s="1"/>
      <c r="E174" s="1"/>
      <c r="F174" s="1"/>
      <c r="G174" s="1"/>
    </row>
    <row r="175" customFormat="false" ht="15" hidden="false" customHeight="false" outlineLevel="0" collapsed="false">
      <c r="A175" s="25"/>
      <c r="B175" s="1"/>
      <c r="C175" s="33" t="str">
        <f aca="false">IF(B175="","",IFERROR(INDEX(CRM_Contatos!$B$5:$B$304,MATCH(B175,CRM_Contatos!$A$5:$A$304,0)),"ID não encontrado"))</f>
        <v/>
      </c>
      <c r="D175" s="1"/>
      <c r="E175" s="1"/>
      <c r="F175" s="1"/>
      <c r="G175" s="1"/>
    </row>
    <row r="176" customFormat="false" ht="15" hidden="false" customHeight="false" outlineLevel="0" collapsed="false">
      <c r="A176" s="25"/>
      <c r="B176" s="1"/>
      <c r="C176" s="33" t="str">
        <f aca="false">IF(B176="","",IFERROR(INDEX(CRM_Contatos!$B$5:$B$304,MATCH(B176,CRM_Contatos!$A$5:$A$304,0)),"ID não encontrado"))</f>
        <v/>
      </c>
      <c r="D176" s="1"/>
      <c r="E176" s="1"/>
      <c r="F176" s="1"/>
      <c r="G176" s="1"/>
    </row>
    <row r="177" customFormat="false" ht="15" hidden="false" customHeight="false" outlineLevel="0" collapsed="false">
      <c r="A177" s="25"/>
      <c r="B177" s="1"/>
      <c r="C177" s="33" t="str">
        <f aca="false">IF(B177="","",IFERROR(INDEX(CRM_Contatos!$B$5:$B$304,MATCH(B177,CRM_Contatos!$A$5:$A$304,0)),"ID não encontrado"))</f>
        <v/>
      </c>
      <c r="D177" s="1"/>
      <c r="E177" s="1"/>
      <c r="F177" s="1"/>
      <c r="G177" s="1"/>
    </row>
    <row r="178" customFormat="false" ht="15" hidden="false" customHeight="false" outlineLevel="0" collapsed="false">
      <c r="A178" s="25"/>
      <c r="B178" s="1"/>
      <c r="C178" s="33" t="str">
        <f aca="false">IF(B178="","",IFERROR(INDEX(CRM_Contatos!$B$5:$B$304,MATCH(B178,CRM_Contatos!$A$5:$A$304,0)),"ID não encontrado"))</f>
        <v/>
      </c>
      <c r="D178" s="1"/>
      <c r="E178" s="1"/>
      <c r="F178" s="1"/>
      <c r="G178" s="1"/>
    </row>
    <row r="179" customFormat="false" ht="15" hidden="false" customHeight="false" outlineLevel="0" collapsed="false">
      <c r="A179" s="25"/>
      <c r="B179" s="1"/>
      <c r="C179" s="33" t="str">
        <f aca="false">IF(B179="","",IFERROR(INDEX(CRM_Contatos!$B$5:$B$304,MATCH(B179,CRM_Contatos!$A$5:$A$304,0)),"ID não encontrado"))</f>
        <v/>
      </c>
      <c r="D179" s="1"/>
      <c r="E179" s="1"/>
      <c r="F179" s="1"/>
      <c r="G179" s="1"/>
    </row>
    <row r="180" customFormat="false" ht="15" hidden="false" customHeight="false" outlineLevel="0" collapsed="false">
      <c r="A180" s="25"/>
      <c r="B180" s="1"/>
      <c r="C180" s="33" t="str">
        <f aca="false">IF(B180="","",IFERROR(INDEX(CRM_Contatos!$B$5:$B$304,MATCH(B180,CRM_Contatos!$A$5:$A$304,0)),"ID não encontrado"))</f>
        <v/>
      </c>
      <c r="D180" s="1"/>
      <c r="E180" s="1"/>
      <c r="F180" s="1"/>
      <c r="G180" s="1"/>
    </row>
    <row r="181" customFormat="false" ht="15" hidden="false" customHeight="false" outlineLevel="0" collapsed="false">
      <c r="A181" s="25"/>
      <c r="B181" s="1"/>
      <c r="C181" s="33" t="str">
        <f aca="false">IF(B181="","",IFERROR(INDEX(CRM_Contatos!$B$5:$B$304,MATCH(B181,CRM_Contatos!$A$5:$A$304,0)),"ID não encontrado"))</f>
        <v/>
      </c>
      <c r="D181" s="1"/>
      <c r="E181" s="1"/>
      <c r="F181" s="1"/>
      <c r="G181" s="1"/>
    </row>
    <row r="182" customFormat="false" ht="15" hidden="false" customHeight="false" outlineLevel="0" collapsed="false">
      <c r="A182" s="25"/>
      <c r="B182" s="1"/>
      <c r="C182" s="33" t="str">
        <f aca="false">IF(B182="","",IFERROR(INDEX(CRM_Contatos!$B$5:$B$304,MATCH(B182,CRM_Contatos!$A$5:$A$304,0)),"ID não encontrado"))</f>
        <v/>
      </c>
      <c r="D182" s="1"/>
      <c r="E182" s="1"/>
      <c r="F182" s="1"/>
      <c r="G182" s="1"/>
    </row>
    <row r="183" customFormat="false" ht="15" hidden="false" customHeight="false" outlineLevel="0" collapsed="false">
      <c r="A183" s="25"/>
      <c r="B183" s="1"/>
      <c r="C183" s="33" t="str">
        <f aca="false">IF(B183="","",IFERROR(INDEX(CRM_Contatos!$B$5:$B$304,MATCH(B183,CRM_Contatos!$A$5:$A$304,0)),"ID não encontrado"))</f>
        <v/>
      </c>
      <c r="D183" s="1"/>
      <c r="E183" s="1"/>
      <c r="F183" s="1"/>
      <c r="G183" s="1"/>
    </row>
    <row r="184" customFormat="false" ht="15" hidden="false" customHeight="false" outlineLevel="0" collapsed="false">
      <c r="A184" s="25"/>
      <c r="B184" s="1"/>
      <c r="C184" s="33" t="str">
        <f aca="false">IF(B184="","",IFERROR(INDEX(CRM_Contatos!$B$5:$B$304,MATCH(B184,CRM_Contatos!$A$5:$A$304,0)),"ID não encontrado"))</f>
        <v/>
      </c>
      <c r="D184" s="1"/>
      <c r="E184" s="1"/>
      <c r="F184" s="1"/>
      <c r="G184" s="1"/>
    </row>
    <row r="185" customFormat="false" ht="15" hidden="false" customHeight="false" outlineLevel="0" collapsed="false">
      <c r="A185" s="25"/>
      <c r="B185" s="1"/>
      <c r="C185" s="33" t="str">
        <f aca="false">IF(B185="","",IFERROR(INDEX(CRM_Contatos!$B$5:$B$304,MATCH(B185,CRM_Contatos!$A$5:$A$304,0)),"ID não encontrado"))</f>
        <v/>
      </c>
      <c r="D185" s="1"/>
      <c r="E185" s="1"/>
      <c r="F185" s="1"/>
      <c r="G185" s="1"/>
    </row>
    <row r="186" customFormat="false" ht="15" hidden="false" customHeight="false" outlineLevel="0" collapsed="false">
      <c r="A186" s="25"/>
      <c r="B186" s="1"/>
      <c r="C186" s="33" t="str">
        <f aca="false">IF(B186="","",IFERROR(INDEX(CRM_Contatos!$B$5:$B$304,MATCH(B186,CRM_Contatos!$A$5:$A$304,0)),"ID não encontrado"))</f>
        <v/>
      </c>
      <c r="D186" s="1"/>
      <c r="E186" s="1"/>
      <c r="F186" s="1"/>
      <c r="G186" s="1"/>
    </row>
    <row r="187" customFormat="false" ht="15" hidden="false" customHeight="false" outlineLevel="0" collapsed="false">
      <c r="A187" s="25"/>
      <c r="B187" s="1"/>
      <c r="C187" s="33" t="str">
        <f aca="false">IF(B187="","",IFERROR(INDEX(CRM_Contatos!$B$5:$B$304,MATCH(B187,CRM_Contatos!$A$5:$A$304,0)),"ID não encontrado"))</f>
        <v/>
      </c>
      <c r="D187" s="1"/>
      <c r="E187" s="1"/>
      <c r="F187" s="1"/>
      <c r="G187" s="1"/>
    </row>
    <row r="188" customFormat="false" ht="15" hidden="false" customHeight="false" outlineLevel="0" collapsed="false">
      <c r="A188" s="25"/>
      <c r="B188" s="1"/>
      <c r="C188" s="33" t="str">
        <f aca="false">IF(B188="","",IFERROR(INDEX(CRM_Contatos!$B$5:$B$304,MATCH(B188,CRM_Contatos!$A$5:$A$304,0)),"ID não encontrado"))</f>
        <v/>
      </c>
      <c r="D188" s="1"/>
      <c r="E188" s="1"/>
      <c r="F188" s="1"/>
      <c r="G188" s="1"/>
    </row>
    <row r="189" customFormat="false" ht="15" hidden="false" customHeight="false" outlineLevel="0" collapsed="false">
      <c r="A189" s="25"/>
      <c r="B189" s="1"/>
      <c r="C189" s="33" t="str">
        <f aca="false">IF(B189="","",IFERROR(INDEX(CRM_Contatos!$B$5:$B$304,MATCH(B189,CRM_Contatos!$A$5:$A$304,0)),"ID não encontrado"))</f>
        <v/>
      </c>
      <c r="D189" s="1"/>
      <c r="E189" s="1"/>
      <c r="F189" s="1"/>
      <c r="G189" s="1"/>
    </row>
    <row r="190" customFormat="false" ht="15" hidden="false" customHeight="false" outlineLevel="0" collapsed="false">
      <c r="A190" s="25"/>
      <c r="B190" s="1"/>
      <c r="C190" s="33" t="str">
        <f aca="false">IF(B190="","",IFERROR(INDEX(CRM_Contatos!$B$5:$B$304,MATCH(B190,CRM_Contatos!$A$5:$A$304,0)),"ID não encontrado"))</f>
        <v/>
      </c>
      <c r="D190" s="1"/>
      <c r="E190" s="1"/>
      <c r="F190" s="1"/>
      <c r="G190" s="1"/>
    </row>
    <row r="191" customFormat="false" ht="15" hidden="false" customHeight="false" outlineLevel="0" collapsed="false">
      <c r="A191" s="25"/>
      <c r="B191" s="1"/>
      <c r="C191" s="33" t="str">
        <f aca="false">IF(B191="","",IFERROR(INDEX(CRM_Contatos!$B$5:$B$304,MATCH(B191,CRM_Contatos!$A$5:$A$304,0)),"ID não encontrado"))</f>
        <v/>
      </c>
      <c r="D191" s="1"/>
      <c r="E191" s="1"/>
      <c r="F191" s="1"/>
      <c r="G191" s="1"/>
    </row>
    <row r="192" customFormat="false" ht="15" hidden="false" customHeight="false" outlineLevel="0" collapsed="false">
      <c r="A192" s="25"/>
      <c r="B192" s="1"/>
      <c r="C192" s="33" t="str">
        <f aca="false">IF(B192="","",IFERROR(INDEX(CRM_Contatos!$B$5:$B$304,MATCH(B192,CRM_Contatos!$A$5:$A$304,0)),"ID não encontrado"))</f>
        <v/>
      </c>
      <c r="D192" s="1"/>
      <c r="E192" s="1"/>
      <c r="F192" s="1"/>
      <c r="G192" s="1"/>
    </row>
    <row r="193" customFormat="false" ht="15" hidden="false" customHeight="false" outlineLevel="0" collapsed="false">
      <c r="A193" s="25"/>
      <c r="B193" s="1"/>
      <c r="C193" s="33" t="str">
        <f aca="false">IF(B193="","",IFERROR(INDEX(CRM_Contatos!$B$5:$B$304,MATCH(B193,CRM_Contatos!$A$5:$A$304,0)),"ID não encontrado"))</f>
        <v/>
      </c>
      <c r="D193" s="1"/>
      <c r="E193" s="1"/>
      <c r="F193" s="1"/>
      <c r="G193" s="1"/>
    </row>
    <row r="194" customFormat="false" ht="15" hidden="false" customHeight="false" outlineLevel="0" collapsed="false">
      <c r="A194" s="25"/>
      <c r="B194" s="1"/>
      <c r="C194" s="33" t="str">
        <f aca="false">IF(B194="","",IFERROR(INDEX(CRM_Contatos!$B$5:$B$304,MATCH(B194,CRM_Contatos!$A$5:$A$304,0)),"ID não encontrado"))</f>
        <v/>
      </c>
      <c r="D194" s="1"/>
      <c r="E194" s="1"/>
      <c r="F194" s="1"/>
      <c r="G194" s="1"/>
    </row>
    <row r="195" customFormat="false" ht="15" hidden="false" customHeight="false" outlineLevel="0" collapsed="false">
      <c r="A195" s="25"/>
      <c r="B195" s="1"/>
      <c r="C195" s="33" t="str">
        <f aca="false">IF(B195="","",IFERROR(INDEX(CRM_Contatos!$B$5:$B$304,MATCH(B195,CRM_Contatos!$A$5:$A$304,0)),"ID não encontrado"))</f>
        <v/>
      </c>
      <c r="D195" s="1"/>
      <c r="E195" s="1"/>
      <c r="F195" s="1"/>
      <c r="G195" s="1"/>
    </row>
    <row r="196" customFormat="false" ht="15" hidden="false" customHeight="false" outlineLevel="0" collapsed="false">
      <c r="A196" s="25"/>
      <c r="B196" s="1"/>
      <c r="C196" s="33" t="str">
        <f aca="false">IF(B196="","",IFERROR(INDEX(CRM_Contatos!$B$5:$B$304,MATCH(B196,CRM_Contatos!$A$5:$A$304,0)),"ID não encontrado"))</f>
        <v/>
      </c>
      <c r="D196" s="1"/>
      <c r="E196" s="1"/>
      <c r="F196" s="1"/>
      <c r="G196" s="1"/>
    </row>
    <row r="197" customFormat="false" ht="15" hidden="false" customHeight="false" outlineLevel="0" collapsed="false">
      <c r="A197" s="25"/>
      <c r="B197" s="1"/>
      <c r="C197" s="33" t="str">
        <f aca="false">IF(B197="","",IFERROR(INDEX(CRM_Contatos!$B$5:$B$304,MATCH(B197,CRM_Contatos!$A$5:$A$304,0)),"ID não encontrado"))</f>
        <v/>
      </c>
      <c r="D197" s="1"/>
      <c r="E197" s="1"/>
      <c r="F197" s="1"/>
      <c r="G197" s="1"/>
    </row>
    <row r="198" customFormat="false" ht="15" hidden="false" customHeight="false" outlineLevel="0" collapsed="false">
      <c r="A198" s="25"/>
      <c r="B198" s="1"/>
      <c r="C198" s="33" t="str">
        <f aca="false">IF(B198="","",IFERROR(INDEX(CRM_Contatos!$B$5:$B$304,MATCH(B198,CRM_Contatos!$A$5:$A$304,0)),"ID não encontrado"))</f>
        <v/>
      </c>
      <c r="D198" s="1"/>
      <c r="E198" s="1"/>
      <c r="F198" s="1"/>
      <c r="G198" s="1"/>
    </row>
    <row r="199" customFormat="false" ht="15" hidden="false" customHeight="false" outlineLevel="0" collapsed="false">
      <c r="A199" s="25"/>
      <c r="B199" s="1"/>
      <c r="C199" s="33" t="str">
        <f aca="false">IF(B199="","",IFERROR(INDEX(CRM_Contatos!$B$5:$B$304,MATCH(B199,CRM_Contatos!$A$5:$A$304,0)),"ID não encontrado"))</f>
        <v/>
      </c>
      <c r="D199" s="1"/>
      <c r="E199" s="1"/>
      <c r="F199" s="1"/>
      <c r="G199" s="1"/>
    </row>
    <row r="200" customFormat="false" ht="15" hidden="false" customHeight="false" outlineLevel="0" collapsed="false">
      <c r="A200" s="25"/>
      <c r="B200" s="1"/>
      <c r="C200" s="33" t="str">
        <f aca="false">IF(B200="","",IFERROR(INDEX(CRM_Contatos!$B$5:$B$304,MATCH(B200,CRM_Contatos!$A$5:$A$304,0)),"ID não encontrado"))</f>
        <v/>
      </c>
      <c r="D200" s="1"/>
      <c r="E200" s="1"/>
      <c r="F200" s="1"/>
      <c r="G200" s="1"/>
    </row>
    <row r="201" customFormat="false" ht="15" hidden="false" customHeight="false" outlineLevel="0" collapsed="false">
      <c r="A201" s="25"/>
      <c r="B201" s="1"/>
      <c r="C201" s="33" t="str">
        <f aca="false">IF(B201="","",IFERROR(INDEX(CRM_Contatos!$B$5:$B$304,MATCH(B201,CRM_Contatos!$A$5:$A$304,0)),"ID não encontrado"))</f>
        <v/>
      </c>
      <c r="D201" s="1"/>
      <c r="E201" s="1"/>
      <c r="F201" s="1"/>
      <c r="G201" s="1"/>
    </row>
    <row r="202" customFormat="false" ht="15" hidden="false" customHeight="false" outlineLevel="0" collapsed="false">
      <c r="A202" s="25"/>
      <c r="B202" s="1"/>
      <c r="C202" s="33" t="str">
        <f aca="false">IF(B202="","",IFERROR(INDEX(CRM_Contatos!$B$5:$B$304,MATCH(B202,CRM_Contatos!$A$5:$A$304,0)),"ID não encontrado"))</f>
        <v/>
      </c>
      <c r="D202" s="1"/>
      <c r="E202" s="1"/>
      <c r="F202" s="1"/>
      <c r="G202" s="1"/>
    </row>
    <row r="203" customFormat="false" ht="15" hidden="false" customHeight="false" outlineLevel="0" collapsed="false">
      <c r="A203" s="25"/>
      <c r="B203" s="1"/>
      <c r="C203" s="33" t="str">
        <f aca="false">IF(B203="","",IFERROR(INDEX(CRM_Contatos!$B$5:$B$304,MATCH(B203,CRM_Contatos!$A$5:$A$304,0)),"ID não encontrado"))</f>
        <v/>
      </c>
      <c r="D203" s="1"/>
      <c r="E203" s="1"/>
      <c r="F203" s="1"/>
      <c r="G203" s="1"/>
    </row>
    <row r="204" customFormat="false" ht="15" hidden="false" customHeight="false" outlineLevel="0" collapsed="false">
      <c r="A204" s="25"/>
      <c r="B204" s="1"/>
      <c r="C204" s="33" t="str">
        <f aca="false">IF(B204="","",IFERROR(INDEX(CRM_Contatos!$B$5:$B$304,MATCH(B204,CRM_Contatos!$A$5:$A$304,0)),"ID não encontrado"))</f>
        <v/>
      </c>
      <c r="D204" s="1"/>
      <c r="E204" s="1"/>
      <c r="F204" s="1"/>
      <c r="G204" s="1"/>
    </row>
    <row r="205" customFormat="false" ht="15" hidden="false" customHeight="false" outlineLevel="0" collapsed="false">
      <c r="A205" s="25"/>
      <c r="B205" s="1"/>
      <c r="C205" s="33" t="str">
        <f aca="false">IF(B205="","",IFERROR(INDEX(CRM_Contatos!$B$5:$B$304,MATCH(B205,CRM_Contatos!$A$5:$A$304,0)),"ID não encontrado"))</f>
        <v/>
      </c>
      <c r="D205" s="1"/>
      <c r="E205" s="1"/>
      <c r="F205" s="1"/>
      <c r="G205" s="1"/>
    </row>
    <row r="206" customFormat="false" ht="15" hidden="false" customHeight="false" outlineLevel="0" collapsed="false">
      <c r="A206" s="25"/>
      <c r="B206" s="1"/>
      <c r="C206" s="33" t="str">
        <f aca="false">IF(B206="","",IFERROR(INDEX(CRM_Contatos!$B$5:$B$304,MATCH(B206,CRM_Contatos!$A$5:$A$304,0)),"ID não encontrado"))</f>
        <v/>
      </c>
      <c r="D206" s="1"/>
      <c r="E206" s="1"/>
      <c r="F206" s="1"/>
      <c r="G206" s="1"/>
    </row>
    <row r="207" customFormat="false" ht="15" hidden="false" customHeight="false" outlineLevel="0" collapsed="false">
      <c r="A207" s="25"/>
      <c r="B207" s="1"/>
      <c r="C207" s="33" t="str">
        <f aca="false">IF(B207="","",IFERROR(INDEX(CRM_Contatos!$B$5:$B$304,MATCH(B207,CRM_Contatos!$A$5:$A$304,0)),"ID não encontrado"))</f>
        <v/>
      </c>
      <c r="D207" s="1"/>
      <c r="E207" s="1"/>
      <c r="F207" s="1"/>
      <c r="G207" s="1"/>
    </row>
    <row r="208" customFormat="false" ht="15" hidden="false" customHeight="false" outlineLevel="0" collapsed="false">
      <c r="A208" s="25"/>
      <c r="B208" s="1"/>
      <c r="C208" s="33" t="str">
        <f aca="false">IF(B208="","",IFERROR(INDEX(CRM_Contatos!$B$5:$B$304,MATCH(B208,CRM_Contatos!$A$5:$A$304,0)),"ID não encontrado"))</f>
        <v/>
      </c>
      <c r="D208" s="1"/>
      <c r="E208" s="1"/>
      <c r="F208" s="1"/>
      <c r="G208" s="1"/>
    </row>
    <row r="209" customFormat="false" ht="15" hidden="false" customHeight="false" outlineLevel="0" collapsed="false">
      <c r="A209" s="25"/>
      <c r="B209" s="1"/>
      <c r="C209" s="33" t="str">
        <f aca="false">IF(B209="","",IFERROR(INDEX(CRM_Contatos!$B$5:$B$304,MATCH(B209,CRM_Contatos!$A$5:$A$304,0)),"ID não encontrado"))</f>
        <v/>
      </c>
      <c r="D209" s="1"/>
      <c r="E209" s="1"/>
      <c r="F209" s="1"/>
      <c r="G209" s="1"/>
    </row>
    <row r="210" customFormat="false" ht="15" hidden="false" customHeight="false" outlineLevel="0" collapsed="false">
      <c r="A210" s="25"/>
      <c r="B210" s="1"/>
      <c r="C210" s="33" t="str">
        <f aca="false">IF(B210="","",IFERROR(INDEX(CRM_Contatos!$B$5:$B$304,MATCH(B210,CRM_Contatos!$A$5:$A$304,0)),"ID não encontrado"))</f>
        <v/>
      </c>
      <c r="D210" s="1"/>
      <c r="E210" s="1"/>
      <c r="F210" s="1"/>
      <c r="G210" s="1"/>
    </row>
    <row r="211" customFormat="false" ht="15" hidden="false" customHeight="false" outlineLevel="0" collapsed="false">
      <c r="A211" s="25"/>
      <c r="B211" s="1"/>
      <c r="C211" s="33" t="str">
        <f aca="false">IF(B211="","",IFERROR(INDEX(CRM_Contatos!$B$5:$B$304,MATCH(B211,CRM_Contatos!$A$5:$A$304,0)),"ID não encontrado"))</f>
        <v/>
      </c>
      <c r="D211" s="1"/>
      <c r="E211" s="1"/>
      <c r="F211" s="1"/>
      <c r="G211" s="1"/>
    </row>
    <row r="212" customFormat="false" ht="15" hidden="false" customHeight="false" outlineLevel="0" collapsed="false">
      <c r="A212" s="25"/>
      <c r="B212" s="1"/>
      <c r="C212" s="33" t="str">
        <f aca="false">IF(B212="","",IFERROR(INDEX(CRM_Contatos!$B$5:$B$304,MATCH(B212,CRM_Contatos!$A$5:$A$304,0)),"ID não encontrado"))</f>
        <v/>
      </c>
      <c r="D212" s="1"/>
      <c r="E212" s="1"/>
      <c r="F212" s="1"/>
      <c r="G212" s="1"/>
    </row>
    <row r="213" customFormat="false" ht="15" hidden="false" customHeight="false" outlineLevel="0" collapsed="false">
      <c r="A213" s="25"/>
      <c r="B213" s="1"/>
      <c r="C213" s="33" t="str">
        <f aca="false">IF(B213="","",IFERROR(INDEX(CRM_Contatos!$B$5:$B$304,MATCH(B213,CRM_Contatos!$A$5:$A$304,0)),"ID não encontrado"))</f>
        <v/>
      </c>
      <c r="D213" s="1"/>
      <c r="E213" s="1"/>
      <c r="F213" s="1"/>
      <c r="G213" s="1"/>
    </row>
    <row r="214" customFormat="false" ht="15" hidden="false" customHeight="false" outlineLevel="0" collapsed="false">
      <c r="A214" s="25"/>
      <c r="B214" s="1"/>
      <c r="C214" s="33" t="str">
        <f aca="false">IF(B214="","",IFERROR(INDEX(CRM_Contatos!$B$5:$B$304,MATCH(B214,CRM_Contatos!$A$5:$A$304,0)),"ID não encontrado"))</f>
        <v/>
      </c>
      <c r="D214" s="1"/>
      <c r="E214" s="1"/>
      <c r="F214" s="1"/>
      <c r="G214" s="1"/>
    </row>
    <row r="215" customFormat="false" ht="15" hidden="false" customHeight="false" outlineLevel="0" collapsed="false">
      <c r="A215" s="25"/>
      <c r="B215" s="1"/>
      <c r="C215" s="33" t="str">
        <f aca="false">IF(B215="","",IFERROR(INDEX(CRM_Contatos!$B$5:$B$304,MATCH(B215,CRM_Contatos!$A$5:$A$304,0)),"ID não encontrado"))</f>
        <v/>
      </c>
      <c r="D215" s="1"/>
      <c r="E215" s="1"/>
      <c r="F215" s="1"/>
      <c r="G215" s="1"/>
    </row>
    <row r="216" customFormat="false" ht="15" hidden="false" customHeight="false" outlineLevel="0" collapsed="false">
      <c r="A216" s="25"/>
      <c r="B216" s="1"/>
      <c r="C216" s="33" t="str">
        <f aca="false">IF(B216="","",IFERROR(INDEX(CRM_Contatos!$B$5:$B$304,MATCH(B216,CRM_Contatos!$A$5:$A$304,0)),"ID não encontrado"))</f>
        <v/>
      </c>
      <c r="D216" s="1"/>
      <c r="E216" s="1"/>
      <c r="F216" s="1"/>
      <c r="G216" s="1"/>
    </row>
    <row r="217" customFormat="false" ht="15" hidden="false" customHeight="false" outlineLevel="0" collapsed="false">
      <c r="A217" s="25"/>
      <c r="B217" s="1"/>
      <c r="C217" s="33" t="str">
        <f aca="false">IF(B217="","",IFERROR(INDEX(CRM_Contatos!$B$5:$B$304,MATCH(B217,CRM_Contatos!$A$5:$A$304,0)),"ID não encontrado"))</f>
        <v/>
      </c>
      <c r="D217" s="1"/>
      <c r="E217" s="1"/>
      <c r="F217" s="1"/>
      <c r="G217" s="1"/>
    </row>
    <row r="218" customFormat="false" ht="15" hidden="false" customHeight="false" outlineLevel="0" collapsed="false">
      <c r="A218" s="25"/>
      <c r="B218" s="1"/>
      <c r="C218" s="33" t="str">
        <f aca="false">IF(B218="","",IFERROR(INDEX(CRM_Contatos!$B$5:$B$304,MATCH(B218,CRM_Contatos!$A$5:$A$304,0)),"ID não encontrado"))</f>
        <v/>
      </c>
      <c r="D218" s="1"/>
      <c r="E218" s="1"/>
      <c r="F218" s="1"/>
      <c r="G218" s="1"/>
    </row>
    <row r="219" customFormat="false" ht="15" hidden="false" customHeight="false" outlineLevel="0" collapsed="false">
      <c r="A219" s="25"/>
      <c r="B219" s="1"/>
      <c r="C219" s="33" t="str">
        <f aca="false">IF(B219="","",IFERROR(INDEX(CRM_Contatos!$B$5:$B$304,MATCH(B219,CRM_Contatos!$A$5:$A$304,0)),"ID não encontrado"))</f>
        <v/>
      </c>
      <c r="D219" s="1"/>
      <c r="E219" s="1"/>
      <c r="F219" s="1"/>
      <c r="G219" s="1"/>
    </row>
    <row r="220" customFormat="false" ht="15" hidden="false" customHeight="false" outlineLevel="0" collapsed="false">
      <c r="A220" s="25"/>
      <c r="B220" s="1"/>
      <c r="C220" s="33" t="str">
        <f aca="false">IF(B220="","",IFERROR(INDEX(CRM_Contatos!$B$5:$B$304,MATCH(B220,CRM_Contatos!$A$5:$A$304,0)),"ID não encontrado"))</f>
        <v/>
      </c>
      <c r="D220" s="1"/>
      <c r="E220" s="1"/>
      <c r="F220" s="1"/>
      <c r="G220" s="1"/>
    </row>
    <row r="221" customFormat="false" ht="15" hidden="false" customHeight="false" outlineLevel="0" collapsed="false">
      <c r="A221" s="25"/>
      <c r="B221" s="1"/>
      <c r="C221" s="33" t="str">
        <f aca="false">IF(B221="","",IFERROR(INDEX(CRM_Contatos!$B$5:$B$304,MATCH(B221,CRM_Contatos!$A$5:$A$304,0)),"ID não encontrado"))</f>
        <v/>
      </c>
      <c r="D221" s="1"/>
      <c r="E221" s="1"/>
      <c r="F221" s="1"/>
      <c r="G221" s="1"/>
    </row>
    <row r="222" customFormat="false" ht="15" hidden="false" customHeight="false" outlineLevel="0" collapsed="false">
      <c r="A222" s="25"/>
      <c r="B222" s="1"/>
      <c r="C222" s="33" t="str">
        <f aca="false">IF(B222="","",IFERROR(INDEX(CRM_Contatos!$B$5:$B$304,MATCH(B222,CRM_Contatos!$A$5:$A$304,0)),"ID não encontrado"))</f>
        <v/>
      </c>
      <c r="D222" s="1"/>
      <c r="E222" s="1"/>
      <c r="F222" s="1"/>
      <c r="G222" s="1"/>
    </row>
    <row r="223" customFormat="false" ht="15" hidden="false" customHeight="false" outlineLevel="0" collapsed="false">
      <c r="A223" s="25"/>
      <c r="B223" s="1"/>
      <c r="C223" s="33" t="str">
        <f aca="false">IF(B223="","",IFERROR(INDEX(CRM_Contatos!$B$5:$B$304,MATCH(B223,CRM_Contatos!$A$5:$A$304,0)),"ID não encontrado"))</f>
        <v/>
      </c>
      <c r="D223" s="1"/>
      <c r="E223" s="1"/>
      <c r="F223" s="1"/>
      <c r="G223" s="1"/>
    </row>
    <row r="224" customFormat="false" ht="15" hidden="false" customHeight="false" outlineLevel="0" collapsed="false">
      <c r="A224" s="25"/>
      <c r="B224" s="1"/>
      <c r="C224" s="33" t="str">
        <f aca="false">IF(B224="","",IFERROR(INDEX(CRM_Contatos!$B$5:$B$304,MATCH(B224,CRM_Contatos!$A$5:$A$304,0)),"ID não encontrado"))</f>
        <v/>
      </c>
      <c r="D224" s="1"/>
      <c r="E224" s="1"/>
      <c r="F224" s="1"/>
      <c r="G224" s="1"/>
    </row>
    <row r="225" customFormat="false" ht="15" hidden="false" customHeight="false" outlineLevel="0" collapsed="false">
      <c r="A225" s="25"/>
      <c r="B225" s="1"/>
      <c r="C225" s="33" t="str">
        <f aca="false">IF(B225="","",IFERROR(INDEX(CRM_Contatos!$B$5:$B$304,MATCH(B225,CRM_Contatos!$A$5:$A$304,0)),"ID não encontrado"))</f>
        <v/>
      </c>
      <c r="D225" s="1"/>
      <c r="E225" s="1"/>
      <c r="F225" s="1"/>
      <c r="G225" s="1"/>
    </row>
    <row r="226" customFormat="false" ht="15" hidden="false" customHeight="false" outlineLevel="0" collapsed="false">
      <c r="A226" s="25"/>
      <c r="B226" s="1"/>
      <c r="C226" s="33" t="str">
        <f aca="false">IF(B226="","",IFERROR(INDEX(CRM_Contatos!$B$5:$B$304,MATCH(B226,CRM_Contatos!$A$5:$A$304,0)),"ID não encontrado"))</f>
        <v/>
      </c>
      <c r="D226" s="1"/>
      <c r="E226" s="1"/>
      <c r="F226" s="1"/>
      <c r="G226" s="1"/>
    </row>
    <row r="227" customFormat="false" ht="15" hidden="false" customHeight="false" outlineLevel="0" collapsed="false">
      <c r="A227" s="25"/>
      <c r="B227" s="1"/>
      <c r="C227" s="33" t="str">
        <f aca="false">IF(B227="","",IFERROR(INDEX(CRM_Contatos!$B$5:$B$304,MATCH(B227,CRM_Contatos!$A$5:$A$304,0)),"ID não encontrado"))</f>
        <v/>
      </c>
      <c r="D227" s="1"/>
      <c r="E227" s="1"/>
      <c r="F227" s="1"/>
      <c r="G227" s="1"/>
    </row>
    <row r="228" customFormat="false" ht="15" hidden="false" customHeight="false" outlineLevel="0" collapsed="false">
      <c r="A228" s="25"/>
      <c r="B228" s="1"/>
      <c r="C228" s="33" t="str">
        <f aca="false">IF(B228="","",IFERROR(INDEX(CRM_Contatos!$B$5:$B$304,MATCH(B228,CRM_Contatos!$A$5:$A$304,0)),"ID não encontrado"))</f>
        <v/>
      </c>
      <c r="D228" s="1"/>
      <c r="E228" s="1"/>
      <c r="F228" s="1"/>
      <c r="G228" s="1"/>
    </row>
    <row r="229" customFormat="false" ht="15" hidden="false" customHeight="false" outlineLevel="0" collapsed="false">
      <c r="A229" s="25"/>
      <c r="B229" s="1"/>
      <c r="C229" s="33" t="str">
        <f aca="false">IF(B229="","",IFERROR(INDEX(CRM_Contatos!$B$5:$B$304,MATCH(B229,CRM_Contatos!$A$5:$A$304,0)),"ID não encontrado"))</f>
        <v/>
      </c>
      <c r="D229" s="1"/>
      <c r="E229" s="1"/>
      <c r="F229" s="1"/>
      <c r="G229" s="1"/>
    </row>
    <row r="230" customFormat="false" ht="15" hidden="false" customHeight="false" outlineLevel="0" collapsed="false">
      <c r="A230" s="25"/>
      <c r="B230" s="1"/>
      <c r="C230" s="33" t="str">
        <f aca="false">IF(B230="","",IFERROR(INDEX(CRM_Contatos!$B$5:$B$304,MATCH(B230,CRM_Contatos!$A$5:$A$304,0)),"ID não encontrado"))</f>
        <v/>
      </c>
      <c r="D230" s="1"/>
      <c r="E230" s="1"/>
      <c r="F230" s="1"/>
      <c r="G230" s="1"/>
    </row>
    <row r="231" customFormat="false" ht="15" hidden="false" customHeight="false" outlineLevel="0" collapsed="false">
      <c r="A231" s="25"/>
      <c r="B231" s="1"/>
      <c r="C231" s="33" t="str">
        <f aca="false">IF(B231="","",IFERROR(INDEX(CRM_Contatos!$B$5:$B$304,MATCH(B231,CRM_Contatos!$A$5:$A$304,0)),"ID não encontrado"))</f>
        <v/>
      </c>
      <c r="D231" s="1"/>
      <c r="E231" s="1"/>
      <c r="F231" s="1"/>
      <c r="G231" s="1"/>
    </row>
    <row r="232" customFormat="false" ht="15" hidden="false" customHeight="false" outlineLevel="0" collapsed="false">
      <c r="A232" s="25"/>
      <c r="B232" s="1"/>
      <c r="C232" s="33" t="str">
        <f aca="false">IF(B232="","",IFERROR(INDEX(CRM_Contatos!$B$5:$B$304,MATCH(B232,CRM_Contatos!$A$5:$A$304,0)),"ID não encontrado"))</f>
        <v/>
      </c>
      <c r="D232" s="1"/>
      <c r="E232" s="1"/>
      <c r="F232" s="1"/>
      <c r="G232" s="1"/>
    </row>
    <row r="233" customFormat="false" ht="15" hidden="false" customHeight="false" outlineLevel="0" collapsed="false">
      <c r="A233" s="25"/>
      <c r="B233" s="1"/>
      <c r="C233" s="33" t="str">
        <f aca="false">IF(B233="","",IFERROR(INDEX(CRM_Contatos!$B$5:$B$304,MATCH(B233,CRM_Contatos!$A$5:$A$304,0)),"ID não encontrado"))</f>
        <v/>
      </c>
      <c r="D233" s="1"/>
      <c r="E233" s="1"/>
      <c r="F233" s="1"/>
      <c r="G233" s="1"/>
    </row>
    <row r="234" customFormat="false" ht="15" hidden="false" customHeight="false" outlineLevel="0" collapsed="false">
      <c r="A234" s="25"/>
      <c r="B234" s="1"/>
      <c r="C234" s="33" t="str">
        <f aca="false">IF(B234="","",IFERROR(INDEX(CRM_Contatos!$B$5:$B$304,MATCH(B234,CRM_Contatos!$A$5:$A$304,0)),"ID não encontrado"))</f>
        <v/>
      </c>
      <c r="D234" s="1"/>
      <c r="E234" s="1"/>
      <c r="F234" s="1"/>
      <c r="G234" s="1"/>
    </row>
    <row r="235" customFormat="false" ht="15" hidden="false" customHeight="false" outlineLevel="0" collapsed="false">
      <c r="A235" s="25"/>
      <c r="B235" s="1"/>
      <c r="C235" s="33" t="str">
        <f aca="false">IF(B235="","",IFERROR(INDEX(CRM_Contatos!$B$5:$B$304,MATCH(B235,CRM_Contatos!$A$5:$A$304,0)),"ID não encontrado"))</f>
        <v/>
      </c>
      <c r="D235" s="1"/>
      <c r="E235" s="1"/>
      <c r="F235" s="1"/>
      <c r="G235" s="1"/>
    </row>
    <row r="236" customFormat="false" ht="15" hidden="false" customHeight="false" outlineLevel="0" collapsed="false">
      <c r="A236" s="25"/>
      <c r="B236" s="1"/>
      <c r="C236" s="33" t="str">
        <f aca="false">IF(B236="","",IFERROR(INDEX(CRM_Contatos!$B$5:$B$304,MATCH(B236,CRM_Contatos!$A$5:$A$304,0)),"ID não encontrado"))</f>
        <v/>
      </c>
      <c r="D236" s="1"/>
      <c r="E236" s="1"/>
      <c r="F236" s="1"/>
      <c r="G236" s="1"/>
    </row>
    <row r="237" customFormat="false" ht="15" hidden="false" customHeight="false" outlineLevel="0" collapsed="false">
      <c r="A237" s="25"/>
      <c r="B237" s="1"/>
      <c r="C237" s="33" t="str">
        <f aca="false">IF(B237="","",IFERROR(INDEX(CRM_Contatos!$B$5:$B$304,MATCH(B237,CRM_Contatos!$A$5:$A$304,0)),"ID não encontrado"))</f>
        <v/>
      </c>
      <c r="D237" s="1"/>
      <c r="E237" s="1"/>
      <c r="F237" s="1"/>
      <c r="G237" s="1"/>
    </row>
    <row r="238" customFormat="false" ht="15" hidden="false" customHeight="false" outlineLevel="0" collapsed="false">
      <c r="A238" s="25"/>
      <c r="B238" s="1"/>
      <c r="C238" s="33" t="str">
        <f aca="false">IF(B238="","",IFERROR(INDEX(CRM_Contatos!$B$5:$B$304,MATCH(B238,CRM_Contatos!$A$5:$A$304,0)),"ID não encontrado"))</f>
        <v/>
      </c>
      <c r="D238" s="1"/>
      <c r="E238" s="1"/>
      <c r="F238" s="1"/>
      <c r="G238" s="1"/>
    </row>
    <row r="239" customFormat="false" ht="15" hidden="false" customHeight="false" outlineLevel="0" collapsed="false">
      <c r="A239" s="25"/>
      <c r="B239" s="1"/>
      <c r="C239" s="33" t="str">
        <f aca="false">IF(B239="","",IFERROR(INDEX(CRM_Contatos!$B$5:$B$304,MATCH(B239,CRM_Contatos!$A$5:$A$304,0)),"ID não encontrado"))</f>
        <v/>
      </c>
      <c r="D239" s="1"/>
      <c r="E239" s="1"/>
      <c r="F239" s="1"/>
      <c r="G239" s="1"/>
    </row>
    <row r="240" customFormat="false" ht="15" hidden="false" customHeight="false" outlineLevel="0" collapsed="false">
      <c r="A240" s="25"/>
      <c r="B240" s="1"/>
      <c r="C240" s="33" t="str">
        <f aca="false">IF(B240="","",IFERROR(INDEX(CRM_Contatos!$B$5:$B$304,MATCH(B240,CRM_Contatos!$A$5:$A$304,0)),"ID não encontrado"))</f>
        <v/>
      </c>
      <c r="D240" s="1"/>
      <c r="E240" s="1"/>
      <c r="F240" s="1"/>
      <c r="G240" s="1"/>
    </row>
    <row r="241" customFormat="false" ht="15" hidden="false" customHeight="false" outlineLevel="0" collapsed="false">
      <c r="A241" s="25"/>
      <c r="B241" s="1"/>
      <c r="C241" s="33" t="str">
        <f aca="false">IF(B241="","",IFERROR(INDEX(CRM_Contatos!$B$5:$B$304,MATCH(B241,CRM_Contatos!$A$5:$A$304,0)),"ID não encontrado"))</f>
        <v/>
      </c>
      <c r="D241" s="1"/>
      <c r="E241" s="1"/>
      <c r="F241" s="1"/>
      <c r="G241" s="1"/>
    </row>
    <row r="242" customFormat="false" ht="15" hidden="false" customHeight="false" outlineLevel="0" collapsed="false">
      <c r="A242" s="25"/>
      <c r="B242" s="1"/>
      <c r="C242" s="33" t="str">
        <f aca="false">IF(B242="","",IFERROR(INDEX(CRM_Contatos!$B$5:$B$304,MATCH(B242,CRM_Contatos!$A$5:$A$304,0)),"ID não encontrado"))</f>
        <v/>
      </c>
      <c r="D242" s="1"/>
      <c r="E242" s="1"/>
      <c r="F242" s="1"/>
      <c r="G242" s="1"/>
    </row>
    <row r="243" customFormat="false" ht="15" hidden="false" customHeight="false" outlineLevel="0" collapsed="false">
      <c r="A243" s="25"/>
      <c r="B243" s="1"/>
      <c r="C243" s="33" t="str">
        <f aca="false">IF(B243="","",IFERROR(INDEX(CRM_Contatos!$B$5:$B$304,MATCH(B243,CRM_Contatos!$A$5:$A$304,0)),"ID não encontrado"))</f>
        <v/>
      </c>
      <c r="D243" s="1"/>
      <c r="E243" s="1"/>
      <c r="F243" s="1"/>
      <c r="G243" s="1"/>
    </row>
    <row r="244" customFormat="false" ht="15" hidden="false" customHeight="false" outlineLevel="0" collapsed="false">
      <c r="A244" s="25"/>
      <c r="B244" s="1"/>
      <c r="C244" s="33" t="str">
        <f aca="false">IF(B244="","",IFERROR(INDEX(CRM_Contatos!$B$5:$B$304,MATCH(B244,CRM_Contatos!$A$5:$A$304,0)),"ID não encontrado"))</f>
        <v/>
      </c>
      <c r="D244" s="1"/>
      <c r="E244" s="1"/>
      <c r="F244" s="1"/>
      <c r="G244" s="1"/>
    </row>
    <row r="245" customFormat="false" ht="15" hidden="false" customHeight="false" outlineLevel="0" collapsed="false">
      <c r="A245" s="25"/>
      <c r="B245" s="1"/>
      <c r="C245" s="33" t="str">
        <f aca="false">IF(B245="","",IFERROR(INDEX(CRM_Contatos!$B$5:$B$304,MATCH(B245,CRM_Contatos!$A$5:$A$304,0)),"ID não encontrado"))</f>
        <v/>
      </c>
      <c r="D245" s="1"/>
      <c r="E245" s="1"/>
      <c r="F245" s="1"/>
      <c r="G245" s="1"/>
    </row>
    <row r="246" customFormat="false" ht="15" hidden="false" customHeight="false" outlineLevel="0" collapsed="false">
      <c r="A246" s="25"/>
      <c r="B246" s="1"/>
      <c r="C246" s="33" t="str">
        <f aca="false">IF(B246="","",IFERROR(INDEX(CRM_Contatos!$B$5:$B$304,MATCH(B246,CRM_Contatos!$A$5:$A$304,0)),"ID não encontrado"))</f>
        <v/>
      </c>
      <c r="D246" s="1"/>
      <c r="E246" s="1"/>
      <c r="F246" s="1"/>
      <c r="G246" s="1"/>
    </row>
    <row r="247" customFormat="false" ht="15" hidden="false" customHeight="false" outlineLevel="0" collapsed="false">
      <c r="A247" s="25"/>
      <c r="B247" s="1"/>
      <c r="C247" s="33" t="str">
        <f aca="false">IF(B247="","",IFERROR(INDEX(CRM_Contatos!$B$5:$B$304,MATCH(B247,CRM_Contatos!$A$5:$A$304,0)),"ID não encontrado"))</f>
        <v/>
      </c>
      <c r="D247" s="1"/>
      <c r="E247" s="1"/>
      <c r="F247" s="1"/>
      <c r="G247" s="1"/>
    </row>
    <row r="248" customFormat="false" ht="15" hidden="false" customHeight="false" outlineLevel="0" collapsed="false">
      <c r="A248" s="25"/>
      <c r="B248" s="1"/>
      <c r="C248" s="33" t="str">
        <f aca="false">IF(B248="","",IFERROR(INDEX(CRM_Contatos!$B$5:$B$304,MATCH(B248,CRM_Contatos!$A$5:$A$304,0)),"ID não encontrado"))</f>
        <v/>
      </c>
      <c r="D248" s="1"/>
      <c r="E248" s="1"/>
      <c r="F248" s="1"/>
      <c r="G248" s="1"/>
    </row>
    <row r="249" customFormat="false" ht="15" hidden="false" customHeight="false" outlineLevel="0" collapsed="false">
      <c r="A249" s="25"/>
      <c r="B249" s="1"/>
      <c r="C249" s="33" t="str">
        <f aca="false">IF(B249="","",IFERROR(INDEX(CRM_Contatos!$B$5:$B$304,MATCH(B249,CRM_Contatos!$A$5:$A$304,0)),"ID não encontrado"))</f>
        <v/>
      </c>
      <c r="D249" s="1"/>
      <c r="E249" s="1"/>
      <c r="F249" s="1"/>
      <c r="G249" s="1"/>
    </row>
    <row r="250" customFormat="false" ht="15" hidden="false" customHeight="false" outlineLevel="0" collapsed="false">
      <c r="A250" s="25"/>
      <c r="B250" s="1"/>
      <c r="C250" s="33" t="str">
        <f aca="false">IF(B250="","",IFERROR(INDEX(CRM_Contatos!$B$5:$B$304,MATCH(B250,CRM_Contatos!$A$5:$A$304,0)),"ID não encontrado"))</f>
        <v/>
      </c>
      <c r="D250" s="1"/>
      <c r="E250" s="1"/>
      <c r="F250" s="1"/>
      <c r="G250" s="1"/>
    </row>
    <row r="251" customFormat="false" ht="15" hidden="false" customHeight="false" outlineLevel="0" collapsed="false">
      <c r="A251" s="25"/>
      <c r="B251" s="1"/>
      <c r="C251" s="33" t="str">
        <f aca="false">IF(B251="","",IFERROR(INDEX(CRM_Contatos!$B$5:$B$304,MATCH(B251,CRM_Contatos!$A$5:$A$304,0)),"ID não encontrado"))</f>
        <v/>
      </c>
      <c r="D251" s="1"/>
      <c r="E251" s="1"/>
      <c r="F251" s="1"/>
      <c r="G251" s="1"/>
    </row>
    <row r="252" customFormat="false" ht="15" hidden="false" customHeight="false" outlineLevel="0" collapsed="false">
      <c r="A252" s="25"/>
      <c r="B252" s="1"/>
      <c r="C252" s="33" t="str">
        <f aca="false">IF(B252="","",IFERROR(INDEX(CRM_Contatos!$B$5:$B$304,MATCH(B252,CRM_Contatos!$A$5:$A$304,0)),"ID não encontrado"))</f>
        <v/>
      </c>
      <c r="D252" s="1"/>
      <c r="E252" s="1"/>
      <c r="F252" s="1"/>
      <c r="G252" s="1"/>
    </row>
    <row r="253" customFormat="false" ht="15" hidden="false" customHeight="false" outlineLevel="0" collapsed="false">
      <c r="A253" s="25"/>
      <c r="B253" s="1"/>
      <c r="C253" s="33" t="str">
        <f aca="false">IF(B253="","",IFERROR(INDEX(CRM_Contatos!$B$5:$B$304,MATCH(B253,CRM_Contatos!$A$5:$A$304,0)),"ID não encontrado"))</f>
        <v/>
      </c>
      <c r="D253" s="1"/>
      <c r="E253" s="1"/>
      <c r="F253" s="1"/>
      <c r="G253" s="1"/>
    </row>
    <row r="254" customFormat="false" ht="15" hidden="false" customHeight="false" outlineLevel="0" collapsed="false">
      <c r="A254" s="25"/>
      <c r="B254" s="1"/>
      <c r="C254" s="33" t="str">
        <f aca="false">IF(B254="","",IFERROR(INDEX(CRM_Contatos!$B$5:$B$304,MATCH(B254,CRM_Contatos!$A$5:$A$304,0)),"ID não encontrado"))</f>
        <v/>
      </c>
      <c r="D254" s="1"/>
      <c r="E254" s="1"/>
      <c r="F254" s="1"/>
      <c r="G254" s="1"/>
    </row>
    <row r="255" customFormat="false" ht="15" hidden="false" customHeight="false" outlineLevel="0" collapsed="false">
      <c r="A255" s="25"/>
      <c r="B255" s="1"/>
      <c r="C255" s="33" t="str">
        <f aca="false">IF(B255="","",IFERROR(INDEX(CRM_Contatos!$B$5:$B$304,MATCH(B255,CRM_Contatos!$A$5:$A$304,0)),"ID não encontrado"))</f>
        <v/>
      </c>
      <c r="D255" s="1"/>
      <c r="E255" s="1"/>
      <c r="F255" s="1"/>
      <c r="G255" s="1"/>
    </row>
    <row r="256" customFormat="false" ht="15" hidden="false" customHeight="false" outlineLevel="0" collapsed="false">
      <c r="A256" s="25"/>
      <c r="B256" s="1"/>
      <c r="C256" s="33" t="str">
        <f aca="false">IF(B256="","",IFERROR(INDEX(CRM_Contatos!$B$5:$B$304,MATCH(B256,CRM_Contatos!$A$5:$A$304,0)),"ID não encontrado"))</f>
        <v/>
      </c>
      <c r="D256" s="1"/>
      <c r="E256" s="1"/>
      <c r="F256" s="1"/>
      <c r="G256" s="1"/>
    </row>
    <row r="257" customFormat="false" ht="15" hidden="false" customHeight="false" outlineLevel="0" collapsed="false">
      <c r="A257" s="25"/>
      <c r="B257" s="1"/>
      <c r="C257" s="33" t="str">
        <f aca="false">IF(B257="","",IFERROR(INDEX(CRM_Contatos!$B$5:$B$304,MATCH(B257,CRM_Contatos!$A$5:$A$304,0)),"ID não encontrado"))</f>
        <v/>
      </c>
      <c r="D257" s="1"/>
      <c r="E257" s="1"/>
      <c r="F257" s="1"/>
      <c r="G257" s="1"/>
    </row>
    <row r="258" customFormat="false" ht="15" hidden="false" customHeight="false" outlineLevel="0" collapsed="false">
      <c r="A258" s="25"/>
      <c r="B258" s="1"/>
      <c r="C258" s="33" t="str">
        <f aca="false">IF(B258="","",IFERROR(INDEX(CRM_Contatos!$B$5:$B$304,MATCH(B258,CRM_Contatos!$A$5:$A$304,0)),"ID não encontrado"))</f>
        <v/>
      </c>
      <c r="D258" s="1"/>
      <c r="E258" s="1"/>
      <c r="F258" s="1"/>
      <c r="G258" s="1"/>
    </row>
    <row r="259" customFormat="false" ht="15" hidden="false" customHeight="false" outlineLevel="0" collapsed="false">
      <c r="A259" s="25"/>
      <c r="B259" s="1"/>
      <c r="C259" s="33" t="str">
        <f aca="false">IF(B259="","",IFERROR(INDEX(CRM_Contatos!$B$5:$B$304,MATCH(B259,CRM_Contatos!$A$5:$A$304,0)),"ID não encontrado"))</f>
        <v/>
      </c>
      <c r="D259" s="1"/>
      <c r="E259" s="1"/>
      <c r="F259" s="1"/>
      <c r="G259" s="1"/>
    </row>
    <row r="260" customFormat="false" ht="15" hidden="false" customHeight="false" outlineLevel="0" collapsed="false">
      <c r="A260" s="25"/>
      <c r="B260" s="1"/>
      <c r="C260" s="33" t="str">
        <f aca="false">IF(B260="","",IFERROR(INDEX(CRM_Contatos!$B$5:$B$304,MATCH(B260,CRM_Contatos!$A$5:$A$304,0)),"ID não encontrado"))</f>
        <v/>
      </c>
      <c r="D260" s="1"/>
      <c r="E260" s="1"/>
      <c r="F260" s="1"/>
      <c r="G260" s="1"/>
    </row>
    <row r="261" customFormat="false" ht="15" hidden="false" customHeight="false" outlineLevel="0" collapsed="false">
      <c r="A261" s="25"/>
      <c r="B261" s="1"/>
      <c r="C261" s="33" t="str">
        <f aca="false">IF(B261="","",IFERROR(INDEX(CRM_Contatos!$B$5:$B$304,MATCH(B261,CRM_Contatos!$A$5:$A$304,0)),"ID não encontrado"))</f>
        <v/>
      </c>
      <c r="D261" s="1"/>
      <c r="E261" s="1"/>
      <c r="F261" s="1"/>
      <c r="G261" s="1"/>
    </row>
    <row r="262" customFormat="false" ht="15" hidden="false" customHeight="false" outlineLevel="0" collapsed="false">
      <c r="A262" s="25"/>
      <c r="B262" s="1"/>
      <c r="C262" s="33" t="str">
        <f aca="false">IF(B262="","",IFERROR(INDEX(CRM_Contatos!$B$5:$B$304,MATCH(B262,CRM_Contatos!$A$5:$A$304,0)),"ID não encontrado"))</f>
        <v/>
      </c>
      <c r="D262" s="1"/>
      <c r="E262" s="1"/>
      <c r="F262" s="1"/>
      <c r="G262" s="1"/>
    </row>
    <row r="263" customFormat="false" ht="15" hidden="false" customHeight="false" outlineLevel="0" collapsed="false">
      <c r="A263" s="25"/>
      <c r="B263" s="1"/>
      <c r="C263" s="33" t="str">
        <f aca="false">IF(B263="","",IFERROR(INDEX(CRM_Contatos!$B$5:$B$304,MATCH(B263,CRM_Contatos!$A$5:$A$304,0)),"ID não encontrado"))</f>
        <v/>
      </c>
      <c r="D263" s="1"/>
      <c r="E263" s="1"/>
      <c r="F263" s="1"/>
      <c r="G263" s="1"/>
    </row>
    <row r="264" customFormat="false" ht="15" hidden="false" customHeight="false" outlineLevel="0" collapsed="false">
      <c r="A264" s="25"/>
      <c r="B264" s="1"/>
      <c r="C264" s="33" t="str">
        <f aca="false">IF(B264="","",IFERROR(INDEX(CRM_Contatos!$B$5:$B$304,MATCH(B264,CRM_Contatos!$A$5:$A$304,0)),"ID não encontrado"))</f>
        <v/>
      </c>
      <c r="D264" s="1"/>
      <c r="E264" s="1"/>
      <c r="F264" s="1"/>
      <c r="G264" s="1"/>
    </row>
    <row r="265" customFormat="false" ht="15" hidden="false" customHeight="false" outlineLevel="0" collapsed="false">
      <c r="A265" s="25"/>
      <c r="B265" s="1"/>
      <c r="C265" s="33" t="str">
        <f aca="false">IF(B265="","",IFERROR(INDEX(CRM_Contatos!$B$5:$B$304,MATCH(B265,CRM_Contatos!$A$5:$A$304,0)),"ID não encontrado"))</f>
        <v/>
      </c>
      <c r="D265" s="1"/>
      <c r="E265" s="1"/>
      <c r="F265" s="1"/>
      <c r="G265" s="1"/>
    </row>
    <row r="266" customFormat="false" ht="15" hidden="false" customHeight="false" outlineLevel="0" collapsed="false">
      <c r="A266" s="25"/>
      <c r="B266" s="1"/>
      <c r="C266" s="33" t="str">
        <f aca="false">IF(B266="","",IFERROR(INDEX(CRM_Contatos!$B$5:$B$304,MATCH(B266,CRM_Contatos!$A$5:$A$304,0)),"ID não encontrado"))</f>
        <v/>
      </c>
      <c r="D266" s="1"/>
      <c r="E266" s="1"/>
      <c r="F266" s="1"/>
      <c r="G266" s="1"/>
    </row>
    <row r="267" customFormat="false" ht="15" hidden="false" customHeight="false" outlineLevel="0" collapsed="false">
      <c r="A267" s="25"/>
      <c r="B267" s="1"/>
      <c r="C267" s="33" t="str">
        <f aca="false">IF(B267="","",IFERROR(INDEX(CRM_Contatos!$B$5:$B$304,MATCH(B267,CRM_Contatos!$A$5:$A$304,0)),"ID não encontrado"))</f>
        <v/>
      </c>
      <c r="D267" s="1"/>
      <c r="E267" s="1"/>
      <c r="F267" s="1"/>
      <c r="G267" s="1"/>
    </row>
    <row r="268" customFormat="false" ht="15" hidden="false" customHeight="false" outlineLevel="0" collapsed="false">
      <c r="A268" s="25"/>
      <c r="B268" s="1"/>
      <c r="C268" s="33" t="str">
        <f aca="false">IF(B268="","",IFERROR(INDEX(CRM_Contatos!$B$5:$B$304,MATCH(B268,CRM_Contatos!$A$5:$A$304,0)),"ID não encontrado"))</f>
        <v/>
      </c>
      <c r="D268" s="1"/>
      <c r="E268" s="1"/>
      <c r="F268" s="1"/>
      <c r="G268" s="1"/>
    </row>
    <row r="269" customFormat="false" ht="15" hidden="false" customHeight="false" outlineLevel="0" collapsed="false">
      <c r="A269" s="25"/>
      <c r="B269" s="1"/>
      <c r="C269" s="33" t="str">
        <f aca="false">IF(B269="","",IFERROR(INDEX(CRM_Contatos!$B$5:$B$304,MATCH(B269,CRM_Contatos!$A$5:$A$304,0)),"ID não encontrado"))</f>
        <v/>
      </c>
      <c r="D269" s="1"/>
      <c r="E269" s="1"/>
      <c r="F269" s="1"/>
      <c r="G269" s="1"/>
    </row>
    <row r="270" customFormat="false" ht="15" hidden="false" customHeight="false" outlineLevel="0" collapsed="false">
      <c r="A270" s="25"/>
      <c r="B270" s="1"/>
      <c r="C270" s="33" t="str">
        <f aca="false">IF(B270="","",IFERROR(INDEX(CRM_Contatos!$B$5:$B$304,MATCH(B270,CRM_Contatos!$A$5:$A$304,0)),"ID não encontrado"))</f>
        <v/>
      </c>
      <c r="D270" s="1"/>
      <c r="E270" s="1"/>
      <c r="F270" s="1"/>
      <c r="G270" s="1"/>
    </row>
    <row r="271" customFormat="false" ht="15" hidden="false" customHeight="false" outlineLevel="0" collapsed="false">
      <c r="A271" s="25"/>
      <c r="B271" s="1"/>
      <c r="C271" s="33" t="str">
        <f aca="false">IF(B271="","",IFERROR(INDEX(CRM_Contatos!$B$5:$B$304,MATCH(B271,CRM_Contatos!$A$5:$A$304,0)),"ID não encontrado"))</f>
        <v/>
      </c>
      <c r="D271" s="1"/>
      <c r="E271" s="1"/>
      <c r="F271" s="1"/>
      <c r="G271" s="1"/>
    </row>
    <row r="272" customFormat="false" ht="15" hidden="false" customHeight="false" outlineLevel="0" collapsed="false">
      <c r="A272" s="25"/>
      <c r="B272" s="1"/>
      <c r="C272" s="33" t="str">
        <f aca="false">IF(B272="","",IFERROR(INDEX(CRM_Contatos!$B$5:$B$304,MATCH(B272,CRM_Contatos!$A$5:$A$304,0)),"ID não encontrado"))</f>
        <v/>
      </c>
      <c r="D272" s="1"/>
      <c r="E272" s="1"/>
      <c r="F272" s="1"/>
      <c r="G272" s="1"/>
    </row>
    <row r="273" customFormat="false" ht="15" hidden="false" customHeight="false" outlineLevel="0" collapsed="false">
      <c r="A273" s="25"/>
      <c r="B273" s="1"/>
      <c r="C273" s="33" t="str">
        <f aca="false">IF(B273="","",IFERROR(INDEX(CRM_Contatos!$B$5:$B$304,MATCH(B273,CRM_Contatos!$A$5:$A$304,0)),"ID não encontrado"))</f>
        <v/>
      </c>
      <c r="D273" s="1"/>
      <c r="E273" s="1"/>
      <c r="F273" s="1"/>
      <c r="G273" s="1"/>
    </row>
    <row r="274" customFormat="false" ht="15" hidden="false" customHeight="false" outlineLevel="0" collapsed="false">
      <c r="A274" s="25"/>
      <c r="B274" s="1"/>
      <c r="C274" s="33" t="str">
        <f aca="false">IF(B274="","",IFERROR(INDEX(CRM_Contatos!$B$5:$B$304,MATCH(B274,CRM_Contatos!$A$5:$A$304,0)),"ID não encontrado"))</f>
        <v/>
      </c>
      <c r="D274" s="1"/>
      <c r="E274" s="1"/>
      <c r="F274" s="1"/>
      <c r="G274" s="1"/>
    </row>
    <row r="275" customFormat="false" ht="15" hidden="false" customHeight="false" outlineLevel="0" collapsed="false">
      <c r="A275" s="25"/>
      <c r="B275" s="1"/>
      <c r="C275" s="33" t="str">
        <f aca="false">IF(B275="","",IFERROR(INDEX(CRM_Contatos!$B$5:$B$304,MATCH(B275,CRM_Contatos!$A$5:$A$304,0)),"ID não encontrado"))</f>
        <v/>
      </c>
      <c r="D275" s="1"/>
      <c r="E275" s="1"/>
      <c r="F275" s="1"/>
      <c r="G275" s="1"/>
    </row>
    <row r="276" customFormat="false" ht="15" hidden="false" customHeight="false" outlineLevel="0" collapsed="false">
      <c r="A276" s="25"/>
      <c r="B276" s="1"/>
      <c r="C276" s="33" t="str">
        <f aca="false">IF(B276="","",IFERROR(INDEX(CRM_Contatos!$B$5:$B$304,MATCH(B276,CRM_Contatos!$A$5:$A$304,0)),"ID não encontrado"))</f>
        <v/>
      </c>
      <c r="D276" s="1"/>
      <c r="E276" s="1"/>
      <c r="F276" s="1"/>
      <c r="G276" s="1"/>
    </row>
    <row r="277" customFormat="false" ht="15" hidden="false" customHeight="false" outlineLevel="0" collapsed="false">
      <c r="A277" s="25"/>
      <c r="B277" s="1"/>
      <c r="C277" s="33" t="str">
        <f aca="false">IF(B277="","",IFERROR(INDEX(CRM_Contatos!$B$5:$B$304,MATCH(B277,CRM_Contatos!$A$5:$A$304,0)),"ID não encontrado"))</f>
        <v/>
      </c>
      <c r="D277" s="1"/>
      <c r="E277" s="1"/>
      <c r="F277" s="1"/>
      <c r="G277" s="1"/>
    </row>
    <row r="278" customFormat="false" ht="15" hidden="false" customHeight="false" outlineLevel="0" collapsed="false">
      <c r="A278" s="25"/>
      <c r="B278" s="1"/>
      <c r="C278" s="33" t="str">
        <f aca="false">IF(B278="","",IFERROR(INDEX(CRM_Contatos!$B$5:$B$304,MATCH(B278,CRM_Contatos!$A$5:$A$304,0)),"ID não encontrado"))</f>
        <v/>
      </c>
      <c r="D278" s="1"/>
      <c r="E278" s="1"/>
      <c r="F278" s="1"/>
      <c r="G278" s="1"/>
    </row>
    <row r="279" customFormat="false" ht="15" hidden="false" customHeight="false" outlineLevel="0" collapsed="false">
      <c r="A279" s="25"/>
      <c r="B279" s="1"/>
      <c r="C279" s="33" t="str">
        <f aca="false">IF(B279="","",IFERROR(INDEX(CRM_Contatos!$B$5:$B$304,MATCH(B279,CRM_Contatos!$A$5:$A$304,0)),"ID não encontrado"))</f>
        <v/>
      </c>
      <c r="D279" s="1"/>
      <c r="E279" s="1"/>
      <c r="F279" s="1"/>
      <c r="G279" s="1"/>
    </row>
    <row r="280" customFormat="false" ht="15" hidden="false" customHeight="false" outlineLevel="0" collapsed="false">
      <c r="A280" s="25"/>
      <c r="B280" s="1"/>
      <c r="C280" s="33" t="str">
        <f aca="false">IF(B280="","",IFERROR(INDEX(CRM_Contatos!$B$5:$B$304,MATCH(B280,CRM_Contatos!$A$5:$A$304,0)),"ID não encontrado"))</f>
        <v/>
      </c>
      <c r="D280" s="1"/>
      <c r="E280" s="1"/>
      <c r="F280" s="1"/>
      <c r="G280" s="1"/>
    </row>
    <row r="281" customFormat="false" ht="15" hidden="false" customHeight="false" outlineLevel="0" collapsed="false">
      <c r="A281" s="25"/>
      <c r="B281" s="1"/>
      <c r="C281" s="33" t="str">
        <f aca="false">IF(B281="","",IFERROR(INDEX(CRM_Contatos!$B$5:$B$304,MATCH(B281,CRM_Contatos!$A$5:$A$304,0)),"ID não encontrado"))</f>
        <v/>
      </c>
      <c r="D281" s="1"/>
      <c r="E281" s="1"/>
      <c r="F281" s="1"/>
      <c r="G281" s="1"/>
    </row>
    <row r="282" customFormat="false" ht="15" hidden="false" customHeight="false" outlineLevel="0" collapsed="false">
      <c r="A282" s="25"/>
      <c r="B282" s="1"/>
      <c r="C282" s="33" t="str">
        <f aca="false">IF(B282="","",IFERROR(INDEX(CRM_Contatos!$B$5:$B$304,MATCH(B282,CRM_Contatos!$A$5:$A$304,0)),"ID não encontrado"))</f>
        <v/>
      </c>
      <c r="D282" s="1"/>
      <c r="E282" s="1"/>
      <c r="F282" s="1"/>
      <c r="G282" s="1"/>
    </row>
    <row r="283" customFormat="false" ht="15" hidden="false" customHeight="false" outlineLevel="0" collapsed="false">
      <c r="A283" s="25"/>
      <c r="B283" s="1"/>
      <c r="C283" s="33" t="str">
        <f aca="false">IF(B283="","",IFERROR(INDEX(CRM_Contatos!$B$5:$B$304,MATCH(B283,CRM_Contatos!$A$5:$A$304,0)),"ID não encontrado"))</f>
        <v/>
      </c>
      <c r="D283" s="1"/>
      <c r="E283" s="1"/>
      <c r="F283" s="1"/>
      <c r="G283" s="1"/>
    </row>
    <row r="284" customFormat="false" ht="15" hidden="false" customHeight="false" outlineLevel="0" collapsed="false">
      <c r="A284" s="25"/>
      <c r="B284" s="1"/>
      <c r="C284" s="33" t="str">
        <f aca="false">IF(B284="","",IFERROR(INDEX(CRM_Contatos!$B$5:$B$304,MATCH(B284,CRM_Contatos!$A$5:$A$304,0)),"ID não encontrado"))</f>
        <v/>
      </c>
      <c r="D284" s="1"/>
      <c r="E284" s="1"/>
      <c r="F284" s="1"/>
      <c r="G284" s="1"/>
    </row>
    <row r="285" customFormat="false" ht="15" hidden="false" customHeight="false" outlineLevel="0" collapsed="false">
      <c r="A285" s="25"/>
      <c r="B285" s="1"/>
      <c r="C285" s="33" t="str">
        <f aca="false">IF(B285="","",IFERROR(INDEX(CRM_Contatos!$B$5:$B$304,MATCH(B285,CRM_Contatos!$A$5:$A$304,0)),"ID não encontrado"))</f>
        <v/>
      </c>
      <c r="D285" s="1"/>
      <c r="E285" s="1"/>
      <c r="F285" s="1"/>
      <c r="G285" s="1"/>
    </row>
    <row r="286" customFormat="false" ht="15" hidden="false" customHeight="false" outlineLevel="0" collapsed="false">
      <c r="A286" s="25"/>
      <c r="B286" s="1"/>
      <c r="C286" s="33" t="str">
        <f aca="false">IF(B286="","",IFERROR(INDEX(CRM_Contatos!$B$5:$B$304,MATCH(B286,CRM_Contatos!$A$5:$A$304,0)),"ID não encontrado"))</f>
        <v/>
      </c>
      <c r="D286" s="1"/>
      <c r="E286" s="1"/>
      <c r="F286" s="1"/>
      <c r="G286" s="1"/>
    </row>
    <row r="287" customFormat="false" ht="15" hidden="false" customHeight="false" outlineLevel="0" collapsed="false">
      <c r="A287" s="25"/>
      <c r="B287" s="1"/>
      <c r="C287" s="33" t="str">
        <f aca="false">IF(B287="","",IFERROR(INDEX(CRM_Contatos!$B$5:$B$304,MATCH(B287,CRM_Contatos!$A$5:$A$304,0)),"ID não encontrado"))</f>
        <v/>
      </c>
      <c r="D287" s="1"/>
      <c r="E287" s="1"/>
      <c r="F287" s="1"/>
      <c r="G287" s="1"/>
    </row>
    <row r="288" customFormat="false" ht="15" hidden="false" customHeight="false" outlineLevel="0" collapsed="false">
      <c r="A288" s="25"/>
      <c r="B288" s="1"/>
      <c r="C288" s="33" t="str">
        <f aca="false">IF(B288="","",IFERROR(INDEX(CRM_Contatos!$B$5:$B$304,MATCH(B288,CRM_Contatos!$A$5:$A$304,0)),"ID não encontrado"))</f>
        <v/>
      </c>
      <c r="D288" s="1"/>
      <c r="E288" s="1"/>
      <c r="F288" s="1"/>
      <c r="G288" s="1"/>
    </row>
    <row r="289" customFormat="false" ht="15" hidden="false" customHeight="false" outlineLevel="0" collapsed="false">
      <c r="A289" s="25"/>
      <c r="B289" s="1"/>
      <c r="C289" s="33" t="str">
        <f aca="false">IF(B289="","",IFERROR(INDEX(CRM_Contatos!$B$5:$B$304,MATCH(B289,CRM_Contatos!$A$5:$A$304,0)),"ID não encontrado"))</f>
        <v/>
      </c>
      <c r="D289" s="1"/>
      <c r="E289" s="1"/>
      <c r="F289" s="1"/>
      <c r="G289" s="1"/>
    </row>
    <row r="290" customFormat="false" ht="15" hidden="false" customHeight="false" outlineLevel="0" collapsed="false">
      <c r="A290" s="25"/>
      <c r="B290" s="1"/>
      <c r="C290" s="33" t="str">
        <f aca="false">IF(B290="","",IFERROR(INDEX(CRM_Contatos!$B$5:$B$304,MATCH(B290,CRM_Contatos!$A$5:$A$304,0)),"ID não encontrado"))</f>
        <v/>
      </c>
      <c r="D290" s="1"/>
      <c r="E290" s="1"/>
      <c r="F290" s="1"/>
      <c r="G290" s="1"/>
    </row>
    <row r="291" customFormat="false" ht="15" hidden="false" customHeight="false" outlineLevel="0" collapsed="false">
      <c r="A291" s="25"/>
      <c r="B291" s="1"/>
      <c r="C291" s="33" t="str">
        <f aca="false">IF(B291="","",IFERROR(INDEX(CRM_Contatos!$B$5:$B$304,MATCH(B291,CRM_Contatos!$A$5:$A$304,0)),"ID não encontrado"))</f>
        <v/>
      </c>
      <c r="D291" s="1"/>
      <c r="E291" s="1"/>
      <c r="F291" s="1"/>
      <c r="G291" s="1"/>
    </row>
    <row r="292" customFormat="false" ht="15" hidden="false" customHeight="false" outlineLevel="0" collapsed="false">
      <c r="A292" s="25"/>
      <c r="B292" s="1"/>
      <c r="C292" s="33" t="str">
        <f aca="false">IF(B292="","",IFERROR(INDEX(CRM_Contatos!$B$5:$B$304,MATCH(B292,CRM_Contatos!$A$5:$A$304,0)),"ID não encontrado"))</f>
        <v/>
      </c>
      <c r="D292" s="1"/>
      <c r="E292" s="1"/>
      <c r="F292" s="1"/>
      <c r="G292" s="1"/>
    </row>
    <row r="293" customFormat="false" ht="15" hidden="false" customHeight="false" outlineLevel="0" collapsed="false">
      <c r="A293" s="25"/>
      <c r="B293" s="1"/>
      <c r="C293" s="33" t="str">
        <f aca="false">IF(B293="","",IFERROR(INDEX(CRM_Contatos!$B$5:$B$304,MATCH(B293,CRM_Contatos!$A$5:$A$304,0)),"ID não encontrado"))</f>
        <v/>
      </c>
      <c r="D293" s="1"/>
      <c r="E293" s="1"/>
      <c r="F293" s="1"/>
      <c r="G293" s="1"/>
    </row>
    <row r="294" customFormat="false" ht="15" hidden="false" customHeight="false" outlineLevel="0" collapsed="false">
      <c r="A294" s="25"/>
      <c r="B294" s="1"/>
      <c r="C294" s="33" t="str">
        <f aca="false">IF(B294="","",IFERROR(INDEX(CRM_Contatos!$B$5:$B$304,MATCH(B294,CRM_Contatos!$A$5:$A$304,0)),"ID não encontrado"))</f>
        <v/>
      </c>
      <c r="D294" s="1"/>
      <c r="E294" s="1"/>
      <c r="F294" s="1"/>
      <c r="G294" s="1"/>
    </row>
    <row r="295" customFormat="false" ht="15" hidden="false" customHeight="false" outlineLevel="0" collapsed="false">
      <c r="A295" s="25"/>
      <c r="B295" s="1"/>
      <c r="C295" s="33" t="str">
        <f aca="false">IF(B295="","",IFERROR(INDEX(CRM_Contatos!$B$5:$B$304,MATCH(B295,CRM_Contatos!$A$5:$A$304,0)),"ID não encontrado"))</f>
        <v/>
      </c>
      <c r="D295" s="1"/>
      <c r="E295" s="1"/>
      <c r="F295" s="1"/>
      <c r="G295" s="1"/>
    </row>
    <row r="296" customFormat="false" ht="15" hidden="false" customHeight="false" outlineLevel="0" collapsed="false">
      <c r="A296" s="25"/>
      <c r="B296" s="1"/>
      <c r="C296" s="33" t="str">
        <f aca="false">IF(B296="","",IFERROR(INDEX(CRM_Contatos!$B$5:$B$304,MATCH(B296,CRM_Contatos!$A$5:$A$304,0)),"ID não encontrado"))</f>
        <v/>
      </c>
      <c r="D296" s="1"/>
      <c r="E296" s="1"/>
      <c r="F296" s="1"/>
      <c r="G296" s="1"/>
    </row>
    <row r="297" customFormat="false" ht="15" hidden="false" customHeight="false" outlineLevel="0" collapsed="false">
      <c r="A297" s="25"/>
      <c r="B297" s="1"/>
      <c r="C297" s="33" t="str">
        <f aca="false">IF(B297="","",IFERROR(INDEX(CRM_Contatos!$B$5:$B$304,MATCH(B297,CRM_Contatos!$A$5:$A$304,0)),"ID não encontrado"))</f>
        <v/>
      </c>
      <c r="D297" s="1"/>
      <c r="E297" s="1"/>
      <c r="F297" s="1"/>
      <c r="G297" s="1"/>
    </row>
    <row r="298" customFormat="false" ht="15" hidden="false" customHeight="false" outlineLevel="0" collapsed="false">
      <c r="A298" s="25"/>
      <c r="B298" s="1"/>
      <c r="C298" s="33" t="str">
        <f aca="false">IF(B298="","",IFERROR(INDEX(CRM_Contatos!$B$5:$B$304,MATCH(B298,CRM_Contatos!$A$5:$A$304,0)),"ID não encontrado"))</f>
        <v/>
      </c>
      <c r="D298" s="1"/>
      <c r="E298" s="1"/>
      <c r="F298" s="1"/>
      <c r="G298" s="1"/>
    </row>
    <row r="299" customFormat="false" ht="15" hidden="false" customHeight="false" outlineLevel="0" collapsed="false">
      <c r="A299" s="25"/>
      <c r="B299" s="1"/>
      <c r="C299" s="33" t="str">
        <f aca="false">IF(B299="","",IFERROR(INDEX(CRM_Contatos!$B$5:$B$304,MATCH(B299,CRM_Contatos!$A$5:$A$304,0)),"ID não encontrado"))</f>
        <v/>
      </c>
      <c r="D299" s="1"/>
      <c r="E299" s="1"/>
      <c r="F299" s="1"/>
      <c r="G299" s="1"/>
    </row>
    <row r="300" customFormat="false" ht="15" hidden="false" customHeight="false" outlineLevel="0" collapsed="false">
      <c r="A300" s="25"/>
      <c r="B300" s="1"/>
      <c r="C300" s="33" t="str">
        <f aca="false">IF(B300="","",IFERROR(INDEX(CRM_Contatos!$B$5:$B$304,MATCH(B300,CRM_Contatos!$A$5:$A$304,0)),"ID não encontrado"))</f>
        <v/>
      </c>
      <c r="D300" s="1"/>
      <c r="E300" s="1"/>
      <c r="F300" s="1"/>
      <c r="G300" s="1"/>
    </row>
    <row r="301" customFormat="false" ht="15" hidden="false" customHeight="false" outlineLevel="0" collapsed="false">
      <c r="A301" s="25"/>
      <c r="B301" s="1"/>
      <c r="C301" s="33" t="str">
        <f aca="false">IF(B301="","",IFERROR(INDEX(CRM_Contatos!$B$5:$B$304,MATCH(B301,CRM_Contatos!$A$5:$A$304,0)),"ID não encontrado"))</f>
        <v/>
      </c>
      <c r="D301" s="1"/>
      <c r="E301" s="1"/>
      <c r="F301" s="1"/>
      <c r="G301" s="1"/>
    </row>
    <row r="302" customFormat="false" ht="15" hidden="false" customHeight="false" outlineLevel="0" collapsed="false">
      <c r="A302" s="25"/>
      <c r="B302" s="1"/>
      <c r="C302" s="33" t="str">
        <f aca="false">IF(B302="","",IFERROR(INDEX(CRM_Contatos!$B$5:$B$304,MATCH(B302,CRM_Contatos!$A$5:$A$304,0)),"ID não encontrado"))</f>
        <v/>
      </c>
      <c r="D302" s="1"/>
      <c r="E302" s="1"/>
      <c r="F302" s="1"/>
      <c r="G302" s="1"/>
    </row>
    <row r="303" customFormat="false" ht="15" hidden="false" customHeight="false" outlineLevel="0" collapsed="false">
      <c r="A303" s="25"/>
      <c r="B303" s="1"/>
      <c r="C303" s="33" t="str">
        <f aca="false">IF(B303="","",IFERROR(INDEX(CRM_Contatos!$B$5:$B$304,MATCH(B303,CRM_Contatos!$A$5:$A$304,0)),"ID não encontrado"))</f>
        <v/>
      </c>
      <c r="D303" s="1"/>
      <c r="E303" s="1"/>
      <c r="F303" s="1"/>
      <c r="G303" s="1"/>
    </row>
    <row r="304" customFormat="false" ht="15" hidden="false" customHeight="false" outlineLevel="0" collapsed="false">
      <c r="A304" s="25"/>
      <c r="B304" s="1"/>
      <c r="C304" s="33" t="str">
        <f aca="false">IF(B304="","",IFERROR(INDEX(CRM_Contatos!$B$5:$B$304,MATCH(B304,CRM_Contatos!$A$5:$A$304,0)),"ID não encontrado"))</f>
        <v/>
      </c>
      <c r="D304" s="1"/>
      <c r="E304" s="1"/>
      <c r="F304" s="1"/>
      <c r="G304" s="1"/>
    </row>
  </sheetData>
  <autoFilter ref="A4:G304"/>
  <dataValidations count="2">
    <dataValidation allowBlank="true" errorStyle="stop" operator="between" showDropDown="false" showErrorMessage="false" showInputMessage="false" sqref="D5:D304" type="list">
      <formula1>Listas!$I$4:$I$40</formula1>
      <formula2>0</formula2>
    </dataValidation>
    <dataValidation allowBlank="true" errorStyle="stop" operator="between" showDropDown="false" showErrorMessage="false" showInputMessage="false" sqref="G5:G304" type="list">
      <formula1>Listas!$L$4:$L$40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6" t="s">
        <v>226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3" t="s">
        <v>227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30" hidden="false" customHeight="true" outlineLevel="0" collapsed="false">
      <c r="A4" s="18" t="s">
        <v>218</v>
      </c>
      <c r="B4" s="18" t="s">
        <v>81</v>
      </c>
      <c r="C4" s="18" t="s">
        <v>83</v>
      </c>
      <c r="D4" s="18" t="s">
        <v>82</v>
      </c>
      <c r="E4" s="18" t="s">
        <v>228</v>
      </c>
      <c r="F4" s="18" t="s">
        <v>229</v>
      </c>
      <c r="G4" s="18" t="s">
        <v>230</v>
      </c>
      <c r="H4" s="18" t="s">
        <v>231</v>
      </c>
      <c r="I4" s="18" t="s">
        <v>232</v>
      </c>
      <c r="J4" s="18" t="s">
        <v>96</v>
      </c>
      <c r="K4" s="18" t="s">
        <v>233</v>
      </c>
      <c r="L4" s="18" t="s">
        <v>234</v>
      </c>
    </row>
    <row r="5" customFormat="false" ht="15" hidden="false" customHeight="false" outlineLevel="0" collapsed="false">
      <c r="A5" s="25" t="n">
        <v>46244</v>
      </c>
      <c r="B5" s="19" t="s">
        <v>105</v>
      </c>
      <c r="C5" s="33" t="str">
        <f aca="false">IF(B5="","",IFERROR(INDEX(Catálogo!$C$5:$C$304,MATCH(B5,Catálogo!$A$5:$A$304,0)),"ISBN não cadastrado"))</f>
        <v>Bruno Exemplo</v>
      </c>
      <c r="D5" s="33" t="str">
        <f aca="false">IF(B5="","",IFERROR(INDEX(Catálogo!$B$5:$B$304,MATCH(B5,Catálogo!$A$5:$A$304,0)),"ISBN não cadastrado"))</f>
        <v>Cartas ao Mar</v>
      </c>
      <c r="E5" s="24" t="n">
        <v>120</v>
      </c>
      <c r="F5" s="21" t="n">
        <v>49.9</v>
      </c>
      <c r="G5" s="1"/>
      <c r="H5" s="19" t="s">
        <v>19</v>
      </c>
      <c r="I5" s="28" t="n">
        <f aca="false">IF(B5="","",E5*IFERROR(INDEX(Catálogo!$G$5:$G$304,MATCH(B5,Catálogo!$A$5:$A$304,0)),0))</f>
        <v>5988</v>
      </c>
      <c r="J5" s="22" t="n">
        <f aca="false">IF(B5="","",E5*F5)</f>
        <v>5988</v>
      </c>
      <c r="K5" s="23" t="n">
        <f aca="false">IF(OR(B5="",I5=0),"",1-J5/I5)</f>
        <v>0</v>
      </c>
      <c r="L5" s="19" t="s">
        <v>235</v>
      </c>
    </row>
    <row r="6" customFormat="false" ht="15" hidden="false" customHeight="false" outlineLevel="0" collapsed="false">
      <c r="A6" s="25" t="n">
        <v>46267</v>
      </c>
      <c r="B6" s="19" t="s">
        <v>105</v>
      </c>
      <c r="C6" s="33" t="str">
        <f aca="false">IF(B6="","",IFERROR(INDEX(Catálogo!$C$5:$C$304,MATCH(B6,Catálogo!$A$5:$A$304,0)),"ISBN não cadastrado"))</f>
        <v>Bruno Exemplo</v>
      </c>
      <c r="D6" s="33" t="str">
        <f aca="false">IF(B6="","",IFERROR(INDEX(Catálogo!$B$5:$B$304,MATCH(B6,Catálogo!$A$5:$A$304,0)),"ISBN não cadastrado"))</f>
        <v>Cartas ao Mar</v>
      </c>
      <c r="E6" s="24" t="n">
        <v>40</v>
      </c>
      <c r="F6" s="21" t="n">
        <v>27.45</v>
      </c>
      <c r="G6" s="19" t="s">
        <v>180</v>
      </c>
      <c r="H6" s="19" t="s">
        <v>25</v>
      </c>
      <c r="I6" s="28" t="n">
        <f aca="false">IF(B6="","",E6*IFERROR(INDEX(Catálogo!$G$5:$G$304,MATCH(B6,Catálogo!$A$5:$A$304,0)),0))</f>
        <v>1996</v>
      </c>
      <c r="J6" s="22" t="n">
        <f aca="false">IF(B6="","",E6*F6)</f>
        <v>1098</v>
      </c>
      <c r="K6" s="23" t="n">
        <f aca="false">IF(OR(B6="",I6=0),"",1-J6/I6)</f>
        <v>0.449899799599198</v>
      </c>
      <c r="L6" s="19" t="s">
        <v>236</v>
      </c>
    </row>
    <row r="7" customFormat="false" ht="15" hidden="false" customHeight="false" outlineLevel="0" collapsed="false">
      <c r="A7" s="25" t="n">
        <v>46296</v>
      </c>
      <c r="B7" s="19" t="s">
        <v>98</v>
      </c>
      <c r="C7" s="33" t="str">
        <f aca="false">IF(B7="","",IFERROR(INDEX(Catálogo!$C$5:$C$304,MATCH(B7,Catálogo!$A$5:$A$304,0)),"ISBN não cadastrado"))</f>
        <v>Ana Exemplo</v>
      </c>
      <c r="D7" s="33" t="str">
        <f aca="false">IF(B7="","",IFERROR(INDEX(Catálogo!$B$5:$B$304,MATCH(B7,Catálogo!$A$5:$A$304,0)),"ISBN não cadastrado"))</f>
        <v>O Limiar</v>
      </c>
      <c r="E7" s="24" t="n">
        <v>60</v>
      </c>
      <c r="F7" s="21" t="n">
        <v>59.9</v>
      </c>
      <c r="G7" s="1"/>
      <c r="H7" s="19" t="s">
        <v>19</v>
      </c>
      <c r="I7" s="28" t="n">
        <f aca="false">IF(B7="","",E7*IFERROR(INDEX(Catálogo!$G$5:$G$304,MATCH(B7,Catálogo!$A$5:$A$304,0)),0))</f>
        <v>4194</v>
      </c>
      <c r="J7" s="22" t="n">
        <f aca="false">IF(B7="","",E7*F7)</f>
        <v>3594</v>
      </c>
      <c r="K7" s="23" t="n">
        <f aca="false">IF(OR(B7="",I7=0),"",1-J7/I7)</f>
        <v>0.143061516452074</v>
      </c>
      <c r="L7" s="19" t="s">
        <v>237</v>
      </c>
    </row>
    <row r="8" customFormat="false" ht="15" hidden="false" customHeight="false" outlineLevel="0" collapsed="false">
      <c r="A8" s="25"/>
      <c r="B8" s="1"/>
      <c r="C8" s="33" t="str">
        <f aca="false">IF(B8="","",IFERROR(INDEX(Catálogo!$C$5:$C$304,MATCH(B8,Catálogo!$A$5:$A$304,0)),"ISBN não cadastrado"))</f>
        <v/>
      </c>
      <c r="D8" s="33" t="str">
        <f aca="false">IF(B8="","",IFERROR(INDEX(Catálogo!$B$5:$B$304,MATCH(B8,Catálogo!$A$5:$A$304,0)),"ISBN não cadastrado"))</f>
        <v/>
      </c>
      <c r="E8" s="24"/>
      <c r="F8" s="21"/>
      <c r="G8" s="1"/>
      <c r="H8" s="1"/>
      <c r="I8" s="28" t="str">
        <f aca="false">IF(B8="","",E8*IFERROR(INDEX(Catálogo!$G$5:$G$304,MATCH(B8,Catálogo!$A$5:$A$304,0)),0))</f>
        <v/>
      </c>
      <c r="J8" s="22" t="str">
        <f aca="false">IF(B8="","",E8*F8)</f>
        <v/>
      </c>
      <c r="K8" s="23" t="str">
        <f aca="false">IF(OR(B8="",I8=0),"",1-J8/I8)</f>
        <v/>
      </c>
      <c r="L8" s="1"/>
    </row>
    <row r="9" customFormat="false" ht="15" hidden="false" customHeight="false" outlineLevel="0" collapsed="false">
      <c r="A9" s="25"/>
      <c r="B9" s="1"/>
      <c r="C9" s="33" t="str">
        <f aca="false">IF(B9="","",IFERROR(INDEX(Catálogo!$C$5:$C$304,MATCH(B9,Catálogo!$A$5:$A$304,0)),"ISBN não cadastrado"))</f>
        <v/>
      </c>
      <c r="D9" s="33" t="str">
        <f aca="false">IF(B9="","",IFERROR(INDEX(Catálogo!$B$5:$B$304,MATCH(B9,Catálogo!$A$5:$A$304,0)),"ISBN não cadastrado"))</f>
        <v/>
      </c>
      <c r="E9" s="24"/>
      <c r="F9" s="21"/>
      <c r="G9" s="1"/>
      <c r="H9" s="1"/>
      <c r="I9" s="28" t="str">
        <f aca="false">IF(B9="","",E9*IFERROR(INDEX(Catálogo!$G$5:$G$304,MATCH(B9,Catálogo!$A$5:$A$304,0)),0))</f>
        <v/>
      </c>
      <c r="J9" s="22" t="str">
        <f aca="false">IF(B9="","",E9*F9)</f>
        <v/>
      </c>
      <c r="K9" s="23" t="str">
        <f aca="false">IF(OR(B9="",I9=0),"",1-J9/I9)</f>
        <v/>
      </c>
      <c r="L9" s="1"/>
    </row>
    <row r="10" customFormat="false" ht="15" hidden="false" customHeight="false" outlineLevel="0" collapsed="false">
      <c r="A10" s="25"/>
      <c r="B10" s="1"/>
      <c r="C10" s="33" t="str">
        <f aca="false">IF(B10="","",IFERROR(INDEX(Catálogo!$C$5:$C$304,MATCH(B10,Catálogo!$A$5:$A$304,0)),"ISBN não cadastrado"))</f>
        <v/>
      </c>
      <c r="D10" s="33" t="str">
        <f aca="false">IF(B10="","",IFERROR(INDEX(Catálogo!$B$5:$B$304,MATCH(B10,Catálogo!$A$5:$A$304,0)),"ISBN não cadastrado"))</f>
        <v/>
      </c>
      <c r="E10" s="24"/>
      <c r="F10" s="21"/>
      <c r="G10" s="1"/>
      <c r="H10" s="1"/>
      <c r="I10" s="28" t="str">
        <f aca="false">IF(B10="","",E10*IFERROR(INDEX(Catálogo!$G$5:$G$304,MATCH(B10,Catálogo!$A$5:$A$304,0)),0))</f>
        <v/>
      </c>
      <c r="J10" s="22" t="str">
        <f aca="false">IF(B10="","",E10*F10)</f>
        <v/>
      </c>
      <c r="K10" s="23" t="str">
        <f aca="false">IF(OR(B10="",I10=0),"",1-J10/I10)</f>
        <v/>
      </c>
      <c r="L10" s="1"/>
    </row>
    <row r="11" customFormat="false" ht="15" hidden="false" customHeight="false" outlineLevel="0" collapsed="false">
      <c r="A11" s="25"/>
      <c r="B11" s="1"/>
      <c r="C11" s="33" t="str">
        <f aca="false">IF(B11="","",IFERROR(INDEX(Catálogo!$C$5:$C$304,MATCH(B11,Catálogo!$A$5:$A$304,0)),"ISBN não cadastrado"))</f>
        <v/>
      </c>
      <c r="D11" s="33" t="str">
        <f aca="false">IF(B11="","",IFERROR(INDEX(Catálogo!$B$5:$B$304,MATCH(B11,Catálogo!$A$5:$A$304,0)),"ISBN não cadastrado"))</f>
        <v/>
      </c>
      <c r="E11" s="24"/>
      <c r="F11" s="21"/>
      <c r="G11" s="1"/>
      <c r="H11" s="1"/>
      <c r="I11" s="28" t="str">
        <f aca="false">IF(B11="","",E11*IFERROR(INDEX(Catálogo!$G$5:$G$304,MATCH(B11,Catálogo!$A$5:$A$304,0)),0))</f>
        <v/>
      </c>
      <c r="J11" s="22" t="str">
        <f aca="false">IF(B11="","",E11*F11)</f>
        <v/>
      </c>
      <c r="K11" s="23" t="str">
        <f aca="false">IF(OR(B11="",I11=0),"",1-J11/I11)</f>
        <v/>
      </c>
      <c r="L11" s="1"/>
    </row>
    <row r="12" customFormat="false" ht="15" hidden="false" customHeight="false" outlineLevel="0" collapsed="false">
      <c r="A12" s="25"/>
      <c r="B12" s="1"/>
      <c r="C12" s="33" t="str">
        <f aca="false">IF(B12="","",IFERROR(INDEX(Catálogo!$C$5:$C$304,MATCH(B12,Catálogo!$A$5:$A$304,0)),"ISBN não cadastrado"))</f>
        <v/>
      </c>
      <c r="D12" s="33" t="str">
        <f aca="false">IF(B12="","",IFERROR(INDEX(Catálogo!$B$5:$B$304,MATCH(B12,Catálogo!$A$5:$A$304,0)),"ISBN não cadastrado"))</f>
        <v/>
      </c>
      <c r="E12" s="24"/>
      <c r="F12" s="21"/>
      <c r="G12" s="1"/>
      <c r="H12" s="1"/>
      <c r="I12" s="28" t="str">
        <f aca="false">IF(B12="","",E12*IFERROR(INDEX(Catálogo!$G$5:$G$304,MATCH(B12,Catálogo!$A$5:$A$304,0)),0))</f>
        <v/>
      </c>
      <c r="J12" s="22" t="str">
        <f aca="false">IF(B12="","",E12*F12)</f>
        <v/>
      </c>
      <c r="K12" s="23" t="str">
        <f aca="false">IF(OR(B12="",I12=0),"",1-J12/I12)</f>
        <v/>
      </c>
      <c r="L12" s="1"/>
    </row>
    <row r="13" customFormat="false" ht="15" hidden="false" customHeight="false" outlineLevel="0" collapsed="false">
      <c r="A13" s="25"/>
      <c r="B13" s="1"/>
      <c r="C13" s="33" t="str">
        <f aca="false">IF(B13="","",IFERROR(INDEX(Catálogo!$C$5:$C$304,MATCH(B13,Catálogo!$A$5:$A$304,0)),"ISBN não cadastrado"))</f>
        <v/>
      </c>
      <c r="D13" s="33" t="str">
        <f aca="false">IF(B13="","",IFERROR(INDEX(Catálogo!$B$5:$B$304,MATCH(B13,Catálogo!$A$5:$A$304,0)),"ISBN não cadastrado"))</f>
        <v/>
      </c>
      <c r="E13" s="24"/>
      <c r="F13" s="21"/>
      <c r="G13" s="1"/>
      <c r="H13" s="1"/>
      <c r="I13" s="28" t="str">
        <f aca="false">IF(B13="","",E13*IFERROR(INDEX(Catálogo!$G$5:$G$304,MATCH(B13,Catálogo!$A$5:$A$304,0)),0))</f>
        <v/>
      </c>
      <c r="J13" s="22" t="str">
        <f aca="false">IF(B13="","",E13*F13)</f>
        <v/>
      </c>
      <c r="K13" s="23" t="str">
        <f aca="false">IF(OR(B13="",I13=0),"",1-J13/I13)</f>
        <v/>
      </c>
      <c r="L13" s="1"/>
    </row>
    <row r="14" customFormat="false" ht="15" hidden="false" customHeight="false" outlineLevel="0" collapsed="false">
      <c r="A14" s="25"/>
      <c r="B14" s="1"/>
      <c r="C14" s="33" t="str">
        <f aca="false">IF(B14="","",IFERROR(INDEX(Catálogo!$C$5:$C$304,MATCH(B14,Catálogo!$A$5:$A$304,0)),"ISBN não cadastrado"))</f>
        <v/>
      </c>
      <c r="D14" s="33" t="str">
        <f aca="false">IF(B14="","",IFERROR(INDEX(Catálogo!$B$5:$B$304,MATCH(B14,Catálogo!$A$5:$A$304,0)),"ISBN não cadastrado"))</f>
        <v/>
      </c>
      <c r="E14" s="24"/>
      <c r="F14" s="21"/>
      <c r="G14" s="1"/>
      <c r="H14" s="1"/>
      <c r="I14" s="28" t="str">
        <f aca="false">IF(B14="","",E14*IFERROR(INDEX(Catálogo!$G$5:$G$304,MATCH(B14,Catálogo!$A$5:$A$304,0)),0))</f>
        <v/>
      </c>
      <c r="J14" s="22" t="str">
        <f aca="false">IF(B14="","",E14*F14)</f>
        <v/>
      </c>
      <c r="K14" s="23" t="str">
        <f aca="false">IF(OR(B14="",I14=0),"",1-J14/I14)</f>
        <v/>
      </c>
      <c r="L14" s="1"/>
    </row>
    <row r="15" customFormat="false" ht="15" hidden="false" customHeight="false" outlineLevel="0" collapsed="false">
      <c r="A15" s="25"/>
      <c r="B15" s="1"/>
      <c r="C15" s="33" t="str">
        <f aca="false">IF(B15="","",IFERROR(INDEX(Catálogo!$C$5:$C$304,MATCH(B15,Catálogo!$A$5:$A$304,0)),"ISBN não cadastrado"))</f>
        <v/>
      </c>
      <c r="D15" s="33" t="str">
        <f aca="false">IF(B15="","",IFERROR(INDEX(Catálogo!$B$5:$B$304,MATCH(B15,Catálogo!$A$5:$A$304,0)),"ISBN não cadastrado"))</f>
        <v/>
      </c>
      <c r="E15" s="24"/>
      <c r="F15" s="21"/>
      <c r="G15" s="1"/>
      <c r="H15" s="1"/>
      <c r="I15" s="28" t="str">
        <f aca="false">IF(B15="","",E15*IFERROR(INDEX(Catálogo!$G$5:$G$304,MATCH(B15,Catálogo!$A$5:$A$304,0)),0))</f>
        <v/>
      </c>
      <c r="J15" s="22" t="str">
        <f aca="false">IF(B15="","",E15*F15)</f>
        <v/>
      </c>
      <c r="K15" s="23" t="str">
        <f aca="false">IF(OR(B15="",I15=0),"",1-J15/I15)</f>
        <v/>
      </c>
      <c r="L15" s="1"/>
    </row>
    <row r="16" customFormat="false" ht="15" hidden="false" customHeight="false" outlineLevel="0" collapsed="false">
      <c r="A16" s="25"/>
      <c r="B16" s="1"/>
      <c r="C16" s="33" t="str">
        <f aca="false">IF(B16="","",IFERROR(INDEX(Catálogo!$C$5:$C$304,MATCH(B16,Catálogo!$A$5:$A$304,0)),"ISBN não cadastrado"))</f>
        <v/>
      </c>
      <c r="D16" s="33" t="str">
        <f aca="false">IF(B16="","",IFERROR(INDEX(Catálogo!$B$5:$B$304,MATCH(B16,Catálogo!$A$5:$A$304,0)),"ISBN não cadastrado"))</f>
        <v/>
      </c>
      <c r="E16" s="24"/>
      <c r="F16" s="21"/>
      <c r="G16" s="1"/>
      <c r="H16" s="1"/>
      <c r="I16" s="28" t="str">
        <f aca="false">IF(B16="","",E16*IFERROR(INDEX(Catálogo!$G$5:$G$304,MATCH(B16,Catálogo!$A$5:$A$304,0)),0))</f>
        <v/>
      </c>
      <c r="J16" s="22" t="str">
        <f aca="false">IF(B16="","",E16*F16)</f>
        <v/>
      </c>
      <c r="K16" s="23" t="str">
        <f aca="false">IF(OR(B16="",I16=0),"",1-J16/I16)</f>
        <v/>
      </c>
      <c r="L16" s="1"/>
    </row>
    <row r="17" customFormat="false" ht="15" hidden="false" customHeight="false" outlineLevel="0" collapsed="false">
      <c r="A17" s="25"/>
      <c r="B17" s="1"/>
      <c r="C17" s="33" t="str">
        <f aca="false">IF(B17="","",IFERROR(INDEX(Catálogo!$C$5:$C$304,MATCH(B17,Catálogo!$A$5:$A$304,0)),"ISBN não cadastrado"))</f>
        <v/>
      </c>
      <c r="D17" s="33" t="str">
        <f aca="false">IF(B17="","",IFERROR(INDEX(Catálogo!$B$5:$B$304,MATCH(B17,Catálogo!$A$5:$A$304,0)),"ISBN não cadastrado"))</f>
        <v/>
      </c>
      <c r="E17" s="24"/>
      <c r="F17" s="21"/>
      <c r="G17" s="1"/>
      <c r="H17" s="1"/>
      <c r="I17" s="28" t="str">
        <f aca="false">IF(B17="","",E17*IFERROR(INDEX(Catálogo!$G$5:$G$304,MATCH(B17,Catálogo!$A$5:$A$304,0)),0))</f>
        <v/>
      </c>
      <c r="J17" s="22" t="str">
        <f aca="false">IF(B17="","",E17*F17)</f>
        <v/>
      </c>
      <c r="K17" s="23" t="str">
        <f aca="false">IF(OR(B17="",I17=0),"",1-J17/I17)</f>
        <v/>
      </c>
      <c r="L17" s="1"/>
    </row>
    <row r="18" customFormat="false" ht="15" hidden="false" customHeight="false" outlineLevel="0" collapsed="false">
      <c r="A18" s="25"/>
      <c r="B18" s="1"/>
      <c r="C18" s="33" t="str">
        <f aca="false">IF(B18="","",IFERROR(INDEX(Catálogo!$C$5:$C$304,MATCH(B18,Catálogo!$A$5:$A$304,0)),"ISBN não cadastrado"))</f>
        <v/>
      </c>
      <c r="D18" s="33" t="str">
        <f aca="false">IF(B18="","",IFERROR(INDEX(Catálogo!$B$5:$B$304,MATCH(B18,Catálogo!$A$5:$A$304,0)),"ISBN não cadastrado"))</f>
        <v/>
      </c>
      <c r="E18" s="24"/>
      <c r="F18" s="21"/>
      <c r="G18" s="1"/>
      <c r="H18" s="1"/>
      <c r="I18" s="28" t="str">
        <f aca="false">IF(B18="","",E18*IFERROR(INDEX(Catálogo!$G$5:$G$304,MATCH(B18,Catálogo!$A$5:$A$304,0)),0))</f>
        <v/>
      </c>
      <c r="J18" s="22" t="str">
        <f aca="false">IF(B18="","",E18*F18)</f>
        <v/>
      </c>
      <c r="K18" s="23" t="str">
        <f aca="false">IF(OR(B18="",I18=0),"",1-J18/I18)</f>
        <v/>
      </c>
      <c r="L18" s="1"/>
    </row>
    <row r="19" customFormat="false" ht="15" hidden="false" customHeight="false" outlineLevel="0" collapsed="false">
      <c r="A19" s="25"/>
      <c r="B19" s="1"/>
      <c r="C19" s="33" t="str">
        <f aca="false">IF(B19="","",IFERROR(INDEX(Catálogo!$C$5:$C$304,MATCH(B19,Catálogo!$A$5:$A$304,0)),"ISBN não cadastrado"))</f>
        <v/>
      </c>
      <c r="D19" s="33" t="str">
        <f aca="false">IF(B19="","",IFERROR(INDEX(Catálogo!$B$5:$B$304,MATCH(B19,Catálogo!$A$5:$A$304,0)),"ISBN não cadastrado"))</f>
        <v/>
      </c>
      <c r="E19" s="24"/>
      <c r="F19" s="21"/>
      <c r="G19" s="1"/>
      <c r="H19" s="1"/>
      <c r="I19" s="28" t="str">
        <f aca="false">IF(B19="","",E19*IFERROR(INDEX(Catálogo!$G$5:$G$304,MATCH(B19,Catálogo!$A$5:$A$304,0)),0))</f>
        <v/>
      </c>
      <c r="J19" s="22" t="str">
        <f aca="false">IF(B19="","",E19*F19)</f>
        <v/>
      </c>
      <c r="K19" s="23" t="str">
        <f aca="false">IF(OR(B19="",I19=0),"",1-J19/I19)</f>
        <v/>
      </c>
      <c r="L19" s="1"/>
    </row>
    <row r="20" customFormat="false" ht="15" hidden="false" customHeight="false" outlineLevel="0" collapsed="false">
      <c r="A20" s="25"/>
      <c r="B20" s="1"/>
      <c r="C20" s="33" t="str">
        <f aca="false">IF(B20="","",IFERROR(INDEX(Catálogo!$C$5:$C$304,MATCH(B20,Catálogo!$A$5:$A$304,0)),"ISBN não cadastrado"))</f>
        <v/>
      </c>
      <c r="D20" s="33" t="str">
        <f aca="false">IF(B20="","",IFERROR(INDEX(Catálogo!$B$5:$B$304,MATCH(B20,Catálogo!$A$5:$A$304,0)),"ISBN não cadastrado"))</f>
        <v/>
      </c>
      <c r="E20" s="24"/>
      <c r="F20" s="21"/>
      <c r="G20" s="1"/>
      <c r="H20" s="1"/>
      <c r="I20" s="28" t="str">
        <f aca="false">IF(B20="","",E20*IFERROR(INDEX(Catálogo!$G$5:$G$304,MATCH(B20,Catálogo!$A$5:$A$304,0)),0))</f>
        <v/>
      </c>
      <c r="J20" s="22" t="str">
        <f aca="false">IF(B20="","",E20*F20)</f>
        <v/>
      </c>
      <c r="K20" s="23" t="str">
        <f aca="false">IF(OR(B20="",I20=0),"",1-J20/I20)</f>
        <v/>
      </c>
      <c r="L20" s="1"/>
    </row>
    <row r="21" customFormat="false" ht="15" hidden="false" customHeight="false" outlineLevel="0" collapsed="false">
      <c r="A21" s="25"/>
      <c r="B21" s="1"/>
      <c r="C21" s="33" t="str">
        <f aca="false">IF(B21="","",IFERROR(INDEX(Catálogo!$C$5:$C$304,MATCH(B21,Catálogo!$A$5:$A$304,0)),"ISBN não cadastrado"))</f>
        <v/>
      </c>
      <c r="D21" s="33" t="str">
        <f aca="false">IF(B21="","",IFERROR(INDEX(Catálogo!$B$5:$B$304,MATCH(B21,Catálogo!$A$5:$A$304,0)),"ISBN não cadastrado"))</f>
        <v/>
      </c>
      <c r="E21" s="24"/>
      <c r="F21" s="21"/>
      <c r="G21" s="1"/>
      <c r="H21" s="1"/>
      <c r="I21" s="28" t="str">
        <f aca="false">IF(B21="","",E21*IFERROR(INDEX(Catálogo!$G$5:$G$304,MATCH(B21,Catálogo!$A$5:$A$304,0)),0))</f>
        <v/>
      </c>
      <c r="J21" s="22" t="str">
        <f aca="false">IF(B21="","",E21*F21)</f>
        <v/>
      </c>
      <c r="K21" s="23" t="str">
        <f aca="false">IF(OR(B21="",I21=0),"",1-J21/I21)</f>
        <v/>
      </c>
      <c r="L21" s="1"/>
    </row>
    <row r="22" customFormat="false" ht="15" hidden="false" customHeight="false" outlineLevel="0" collapsed="false">
      <c r="A22" s="25"/>
      <c r="B22" s="1"/>
      <c r="C22" s="33" t="str">
        <f aca="false">IF(B22="","",IFERROR(INDEX(Catálogo!$C$5:$C$304,MATCH(B22,Catálogo!$A$5:$A$304,0)),"ISBN não cadastrado"))</f>
        <v/>
      </c>
      <c r="D22" s="33" t="str">
        <f aca="false">IF(B22="","",IFERROR(INDEX(Catálogo!$B$5:$B$304,MATCH(B22,Catálogo!$A$5:$A$304,0)),"ISBN não cadastrado"))</f>
        <v/>
      </c>
      <c r="E22" s="24"/>
      <c r="F22" s="21"/>
      <c r="G22" s="1"/>
      <c r="H22" s="1"/>
      <c r="I22" s="28" t="str">
        <f aca="false">IF(B22="","",E22*IFERROR(INDEX(Catálogo!$G$5:$G$304,MATCH(B22,Catálogo!$A$5:$A$304,0)),0))</f>
        <v/>
      </c>
      <c r="J22" s="22" t="str">
        <f aca="false">IF(B22="","",E22*F22)</f>
        <v/>
      </c>
      <c r="K22" s="23" t="str">
        <f aca="false">IF(OR(B22="",I22=0),"",1-J22/I22)</f>
        <v/>
      </c>
      <c r="L22" s="1"/>
    </row>
    <row r="23" customFormat="false" ht="15" hidden="false" customHeight="false" outlineLevel="0" collapsed="false">
      <c r="A23" s="25"/>
      <c r="B23" s="1"/>
      <c r="C23" s="33" t="str">
        <f aca="false">IF(B23="","",IFERROR(INDEX(Catálogo!$C$5:$C$304,MATCH(B23,Catálogo!$A$5:$A$304,0)),"ISBN não cadastrado"))</f>
        <v/>
      </c>
      <c r="D23" s="33" t="str">
        <f aca="false">IF(B23="","",IFERROR(INDEX(Catálogo!$B$5:$B$304,MATCH(B23,Catálogo!$A$5:$A$304,0)),"ISBN não cadastrado"))</f>
        <v/>
      </c>
      <c r="E23" s="24"/>
      <c r="F23" s="21"/>
      <c r="G23" s="1"/>
      <c r="H23" s="1"/>
      <c r="I23" s="28" t="str">
        <f aca="false">IF(B23="","",E23*IFERROR(INDEX(Catálogo!$G$5:$G$304,MATCH(B23,Catálogo!$A$5:$A$304,0)),0))</f>
        <v/>
      </c>
      <c r="J23" s="22" t="str">
        <f aca="false">IF(B23="","",E23*F23)</f>
        <v/>
      </c>
      <c r="K23" s="23" t="str">
        <f aca="false">IF(OR(B23="",I23=0),"",1-J23/I23)</f>
        <v/>
      </c>
      <c r="L23" s="1"/>
    </row>
    <row r="24" customFormat="false" ht="15" hidden="false" customHeight="false" outlineLevel="0" collapsed="false">
      <c r="A24" s="25"/>
      <c r="B24" s="1"/>
      <c r="C24" s="33" t="str">
        <f aca="false">IF(B24="","",IFERROR(INDEX(Catálogo!$C$5:$C$304,MATCH(B24,Catálogo!$A$5:$A$304,0)),"ISBN não cadastrado"))</f>
        <v/>
      </c>
      <c r="D24" s="33" t="str">
        <f aca="false">IF(B24="","",IFERROR(INDEX(Catálogo!$B$5:$B$304,MATCH(B24,Catálogo!$A$5:$A$304,0)),"ISBN não cadastrado"))</f>
        <v/>
      </c>
      <c r="E24" s="24"/>
      <c r="F24" s="21"/>
      <c r="G24" s="1"/>
      <c r="H24" s="1"/>
      <c r="I24" s="28" t="str">
        <f aca="false">IF(B24="","",E24*IFERROR(INDEX(Catálogo!$G$5:$G$304,MATCH(B24,Catálogo!$A$5:$A$304,0)),0))</f>
        <v/>
      </c>
      <c r="J24" s="22" t="str">
        <f aca="false">IF(B24="","",E24*F24)</f>
        <v/>
      </c>
      <c r="K24" s="23" t="str">
        <f aca="false">IF(OR(B24="",I24=0),"",1-J24/I24)</f>
        <v/>
      </c>
      <c r="L24" s="1"/>
    </row>
    <row r="25" customFormat="false" ht="15" hidden="false" customHeight="false" outlineLevel="0" collapsed="false">
      <c r="A25" s="25"/>
      <c r="B25" s="1"/>
      <c r="C25" s="33" t="str">
        <f aca="false">IF(B25="","",IFERROR(INDEX(Catálogo!$C$5:$C$304,MATCH(B25,Catálogo!$A$5:$A$304,0)),"ISBN não cadastrado"))</f>
        <v/>
      </c>
      <c r="D25" s="33" t="str">
        <f aca="false">IF(B25="","",IFERROR(INDEX(Catálogo!$B$5:$B$304,MATCH(B25,Catálogo!$A$5:$A$304,0)),"ISBN não cadastrado"))</f>
        <v/>
      </c>
      <c r="E25" s="24"/>
      <c r="F25" s="21"/>
      <c r="G25" s="1"/>
      <c r="H25" s="1"/>
      <c r="I25" s="28" t="str">
        <f aca="false">IF(B25="","",E25*IFERROR(INDEX(Catálogo!$G$5:$G$304,MATCH(B25,Catálogo!$A$5:$A$304,0)),0))</f>
        <v/>
      </c>
      <c r="J25" s="22" t="str">
        <f aca="false">IF(B25="","",E25*F25)</f>
        <v/>
      </c>
      <c r="K25" s="23" t="str">
        <f aca="false">IF(OR(B25="",I25=0),"",1-J25/I25)</f>
        <v/>
      </c>
      <c r="L25" s="1"/>
    </row>
    <row r="26" customFormat="false" ht="15" hidden="false" customHeight="false" outlineLevel="0" collapsed="false">
      <c r="A26" s="25"/>
      <c r="B26" s="1"/>
      <c r="C26" s="33" t="str">
        <f aca="false">IF(B26="","",IFERROR(INDEX(Catálogo!$C$5:$C$304,MATCH(B26,Catálogo!$A$5:$A$304,0)),"ISBN não cadastrado"))</f>
        <v/>
      </c>
      <c r="D26" s="33" t="str">
        <f aca="false">IF(B26="","",IFERROR(INDEX(Catálogo!$B$5:$B$304,MATCH(B26,Catálogo!$A$5:$A$304,0)),"ISBN não cadastrado"))</f>
        <v/>
      </c>
      <c r="E26" s="24"/>
      <c r="F26" s="21"/>
      <c r="G26" s="1"/>
      <c r="H26" s="1"/>
      <c r="I26" s="28" t="str">
        <f aca="false">IF(B26="","",E26*IFERROR(INDEX(Catálogo!$G$5:$G$304,MATCH(B26,Catálogo!$A$5:$A$304,0)),0))</f>
        <v/>
      </c>
      <c r="J26" s="22" t="str">
        <f aca="false">IF(B26="","",E26*F26)</f>
        <v/>
      </c>
      <c r="K26" s="23" t="str">
        <f aca="false">IF(OR(B26="",I26=0),"",1-J26/I26)</f>
        <v/>
      </c>
      <c r="L26" s="1"/>
    </row>
    <row r="27" customFormat="false" ht="15" hidden="false" customHeight="false" outlineLevel="0" collapsed="false">
      <c r="A27" s="25"/>
      <c r="B27" s="1"/>
      <c r="C27" s="33" t="str">
        <f aca="false">IF(B27="","",IFERROR(INDEX(Catálogo!$C$5:$C$304,MATCH(B27,Catálogo!$A$5:$A$304,0)),"ISBN não cadastrado"))</f>
        <v/>
      </c>
      <c r="D27" s="33" t="str">
        <f aca="false">IF(B27="","",IFERROR(INDEX(Catálogo!$B$5:$B$304,MATCH(B27,Catálogo!$A$5:$A$304,0)),"ISBN não cadastrado"))</f>
        <v/>
      </c>
      <c r="E27" s="24"/>
      <c r="F27" s="21"/>
      <c r="G27" s="1"/>
      <c r="H27" s="1"/>
      <c r="I27" s="28" t="str">
        <f aca="false">IF(B27="","",E27*IFERROR(INDEX(Catálogo!$G$5:$G$304,MATCH(B27,Catálogo!$A$5:$A$304,0)),0))</f>
        <v/>
      </c>
      <c r="J27" s="22" t="str">
        <f aca="false">IF(B27="","",E27*F27)</f>
        <v/>
      </c>
      <c r="K27" s="23" t="str">
        <f aca="false">IF(OR(B27="",I27=0),"",1-J27/I27)</f>
        <v/>
      </c>
      <c r="L27" s="1"/>
    </row>
    <row r="28" customFormat="false" ht="15" hidden="false" customHeight="false" outlineLevel="0" collapsed="false">
      <c r="A28" s="25"/>
      <c r="B28" s="1"/>
      <c r="C28" s="33" t="str">
        <f aca="false">IF(B28="","",IFERROR(INDEX(Catálogo!$C$5:$C$304,MATCH(B28,Catálogo!$A$5:$A$304,0)),"ISBN não cadastrado"))</f>
        <v/>
      </c>
      <c r="D28" s="33" t="str">
        <f aca="false">IF(B28="","",IFERROR(INDEX(Catálogo!$B$5:$B$304,MATCH(B28,Catálogo!$A$5:$A$304,0)),"ISBN não cadastrado"))</f>
        <v/>
      </c>
      <c r="E28" s="24"/>
      <c r="F28" s="21"/>
      <c r="G28" s="1"/>
      <c r="H28" s="1"/>
      <c r="I28" s="28" t="str">
        <f aca="false">IF(B28="","",E28*IFERROR(INDEX(Catálogo!$G$5:$G$304,MATCH(B28,Catálogo!$A$5:$A$304,0)),0))</f>
        <v/>
      </c>
      <c r="J28" s="22" t="str">
        <f aca="false">IF(B28="","",E28*F28)</f>
        <v/>
      </c>
      <c r="K28" s="23" t="str">
        <f aca="false">IF(OR(B28="",I28=0),"",1-J28/I28)</f>
        <v/>
      </c>
      <c r="L28" s="1"/>
    </row>
    <row r="29" customFormat="false" ht="15" hidden="false" customHeight="false" outlineLevel="0" collapsed="false">
      <c r="A29" s="25"/>
      <c r="B29" s="1"/>
      <c r="C29" s="33" t="str">
        <f aca="false">IF(B29="","",IFERROR(INDEX(Catálogo!$C$5:$C$304,MATCH(B29,Catálogo!$A$5:$A$304,0)),"ISBN não cadastrado"))</f>
        <v/>
      </c>
      <c r="D29" s="33" t="str">
        <f aca="false">IF(B29="","",IFERROR(INDEX(Catálogo!$B$5:$B$304,MATCH(B29,Catálogo!$A$5:$A$304,0)),"ISBN não cadastrado"))</f>
        <v/>
      </c>
      <c r="E29" s="24"/>
      <c r="F29" s="21"/>
      <c r="G29" s="1"/>
      <c r="H29" s="1"/>
      <c r="I29" s="28" t="str">
        <f aca="false">IF(B29="","",E29*IFERROR(INDEX(Catálogo!$G$5:$G$304,MATCH(B29,Catálogo!$A$5:$A$304,0)),0))</f>
        <v/>
      </c>
      <c r="J29" s="22" t="str">
        <f aca="false">IF(B29="","",E29*F29)</f>
        <v/>
      </c>
      <c r="K29" s="23" t="str">
        <f aca="false">IF(OR(B29="",I29=0),"",1-J29/I29)</f>
        <v/>
      </c>
      <c r="L29" s="1"/>
    </row>
    <row r="30" customFormat="false" ht="15" hidden="false" customHeight="false" outlineLevel="0" collapsed="false">
      <c r="A30" s="25"/>
      <c r="B30" s="1"/>
      <c r="C30" s="33" t="str">
        <f aca="false">IF(B30="","",IFERROR(INDEX(Catálogo!$C$5:$C$304,MATCH(B30,Catálogo!$A$5:$A$304,0)),"ISBN não cadastrado"))</f>
        <v/>
      </c>
      <c r="D30" s="33" t="str">
        <f aca="false">IF(B30="","",IFERROR(INDEX(Catálogo!$B$5:$B$304,MATCH(B30,Catálogo!$A$5:$A$304,0)),"ISBN não cadastrado"))</f>
        <v/>
      </c>
      <c r="E30" s="24"/>
      <c r="F30" s="21"/>
      <c r="G30" s="1"/>
      <c r="H30" s="1"/>
      <c r="I30" s="28" t="str">
        <f aca="false">IF(B30="","",E30*IFERROR(INDEX(Catálogo!$G$5:$G$304,MATCH(B30,Catálogo!$A$5:$A$304,0)),0))</f>
        <v/>
      </c>
      <c r="J30" s="22" t="str">
        <f aca="false">IF(B30="","",E30*F30)</f>
        <v/>
      </c>
      <c r="K30" s="23" t="str">
        <f aca="false">IF(OR(B30="",I30=0),"",1-J30/I30)</f>
        <v/>
      </c>
      <c r="L30" s="1"/>
    </row>
    <row r="31" customFormat="false" ht="15" hidden="false" customHeight="false" outlineLevel="0" collapsed="false">
      <c r="A31" s="25"/>
      <c r="B31" s="1"/>
      <c r="C31" s="33" t="str">
        <f aca="false">IF(B31="","",IFERROR(INDEX(Catálogo!$C$5:$C$304,MATCH(B31,Catálogo!$A$5:$A$304,0)),"ISBN não cadastrado"))</f>
        <v/>
      </c>
      <c r="D31" s="33" t="str">
        <f aca="false">IF(B31="","",IFERROR(INDEX(Catálogo!$B$5:$B$304,MATCH(B31,Catálogo!$A$5:$A$304,0)),"ISBN não cadastrado"))</f>
        <v/>
      </c>
      <c r="E31" s="24"/>
      <c r="F31" s="21"/>
      <c r="G31" s="1"/>
      <c r="H31" s="1"/>
      <c r="I31" s="28" t="str">
        <f aca="false">IF(B31="","",E31*IFERROR(INDEX(Catálogo!$G$5:$G$304,MATCH(B31,Catálogo!$A$5:$A$304,0)),0))</f>
        <v/>
      </c>
      <c r="J31" s="22" t="str">
        <f aca="false">IF(B31="","",E31*F31)</f>
        <v/>
      </c>
      <c r="K31" s="23" t="str">
        <f aca="false">IF(OR(B31="",I31=0),"",1-J31/I31)</f>
        <v/>
      </c>
      <c r="L31" s="1"/>
    </row>
    <row r="32" customFormat="false" ht="15" hidden="false" customHeight="false" outlineLevel="0" collapsed="false">
      <c r="A32" s="25"/>
      <c r="B32" s="1"/>
      <c r="C32" s="33" t="str">
        <f aca="false">IF(B32="","",IFERROR(INDEX(Catálogo!$C$5:$C$304,MATCH(B32,Catálogo!$A$5:$A$304,0)),"ISBN não cadastrado"))</f>
        <v/>
      </c>
      <c r="D32" s="33" t="str">
        <f aca="false">IF(B32="","",IFERROR(INDEX(Catálogo!$B$5:$B$304,MATCH(B32,Catálogo!$A$5:$A$304,0)),"ISBN não cadastrado"))</f>
        <v/>
      </c>
      <c r="E32" s="24"/>
      <c r="F32" s="21"/>
      <c r="G32" s="1"/>
      <c r="H32" s="1"/>
      <c r="I32" s="28" t="str">
        <f aca="false">IF(B32="","",E32*IFERROR(INDEX(Catálogo!$G$5:$G$304,MATCH(B32,Catálogo!$A$5:$A$304,0)),0))</f>
        <v/>
      </c>
      <c r="J32" s="22" t="str">
        <f aca="false">IF(B32="","",E32*F32)</f>
        <v/>
      </c>
      <c r="K32" s="23" t="str">
        <f aca="false">IF(OR(B32="",I32=0),"",1-J32/I32)</f>
        <v/>
      </c>
      <c r="L32" s="1"/>
    </row>
    <row r="33" customFormat="false" ht="15" hidden="false" customHeight="false" outlineLevel="0" collapsed="false">
      <c r="A33" s="25"/>
      <c r="B33" s="1"/>
      <c r="C33" s="33" t="str">
        <f aca="false">IF(B33="","",IFERROR(INDEX(Catálogo!$C$5:$C$304,MATCH(B33,Catálogo!$A$5:$A$304,0)),"ISBN não cadastrado"))</f>
        <v/>
      </c>
      <c r="D33" s="33" t="str">
        <f aca="false">IF(B33="","",IFERROR(INDEX(Catálogo!$B$5:$B$304,MATCH(B33,Catálogo!$A$5:$A$304,0)),"ISBN não cadastrado"))</f>
        <v/>
      </c>
      <c r="E33" s="24"/>
      <c r="F33" s="21"/>
      <c r="G33" s="1"/>
      <c r="H33" s="1"/>
      <c r="I33" s="28" t="str">
        <f aca="false">IF(B33="","",E33*IFERROR(INDEX(Catálogo!$G$5:$G$304,MATCH(B33,Catálogo!$A$5:$A$304,0)),0))</f>
        <v/>
      </c>
      <c r="J33" s="22" t="str">
        <f aca="false">IF(B33="","",E33*F33)</f>
        <v/>
      </c>
      <c r="K33" s="23" t="str">
        <f aca="false">IF(OR(B33="",I33=0),"",1-J33/I33)</f>
        <v/>
      </c>
      <c r="L33" s="1"/>
    </row>
    <row r="34" customFormat="false" ht="15" hidden="false" customHeight="false" outlineLevel="0" collapsed="false">
      <c r="A34" s="25"/>
      <c r="B34" s="1"/>
      <c r="C34" s="33" t="str">
        <f aca="false">IF(B34="","",IFERROR(INDEX(Catálogo!$C$5:$C$304,MATCH(B34,Catálogo!$A$5:$A$304,0)),"ISBN não cadastrado"))</f>
        <v/>
      </c>
      <c r="D34" s="33" t="str">
        <f aca="false">IF(B34="","",IFERROR(INDEX(Catálogo!$B$5:$B$304,MATCH(B34,Catálogo!$A$5:$A$304,0)),"ISBN não cadastrado"))</f>
        <v/>
      </c>
      <c r="E34" s="24"/>
      <c r="F34" s="21"/>
      <c r="G34" s="1"/>
      <c r="H34" s="1"/>
      <c r="I34" s="28" t="str">
        <f aca="false">IF(B34="","",E34*IFERROR(INDEX(Catálogo!$G$5:$G$304,MATCH(B34,Catálogo!$A$5:$A$304,0)),0))</f>
        <v/>
      </c>
      <c r="J34" s="22" t="str">
        <f aca="false">IF(B34="","",E34*F34)</f>
        <v/>
      </c>
      <c r="K34" s="23" t="str">
        <f aca="false">IF(OR(B34="",I34=0),"",1-J34/I34)</f>
        <v/>
      </c>
      <c r="L34" s="1"/>
    </row>
    <row r="35" customFormat="false" ht="15" hidden="false" customHeight="false" outlineLevel="0" collapsed="false">
      <c r="A35" s="25"/>
      <c r="B35" s="1"/>
      <c r="C35" s="33" t="str">
        <f aca="false">IF(B35="","",IFERROR(INDEX(Catálogo!$C$5:$C$304,MATCH(B35,Catálogo!$A$5:$A$304,0)),"ISBN não cadastrado"))</f>
        <v/>
      </c>
      <c r="D35" s="33" t="str">
        <f aca="false">IF(B35="","",IFERROR(INDEX(Catálogo!$B$5:$B$304,MATCH(B35,Catálogo!$A$5:$A$304,0)),"ISBN não cadastrado"))</f>
        <v/>
      </c>
      <c r="E35" s="24"/>
      <c r="F35" s="21"/>
      <c r="G35" s="1"/>
      <c r="H35" s="1"/>
      <c r="I35" s="28" t="str">
        <f aca="false">IF(B35="","",E35*IFERROR(INDEX(Catálogo!$G$5:$G$304,MATCH(B35,Catálogo!$A$5:$A$304,0)),0))</f>
        <v/>
      </c>
      <c r="J35" s="22" t="str">
        <f aca="false">IF(B35="","",E35*F35)</f>
        <v/>
      </c>
      <c r="K35" s="23" t="str">
        <f aca="false">IF(OR(B35="",I35=0),"",1-J35/I35)</f>
        <v/>
      </c>
      <c r="L35" s="1"/>
    </row>
    <row r="36" customFormat="false" ht="15" hidden="false" customHeight="false" outlineLevel="0" collapsed="false">
      <c r="A36" s="25"/>
      <c r="B36" s="1"/>
      <c r="C36" s="33" t="str">
        <f aca="false">IF(B36="","",IFERROR(INDEX(Catálogo!$C$5:$C$304,MATCH(B36,Catálogo!$A$5:$A$304,0)),"ISBN não cadastrado"))</f>
        <v/>
      </c>
      <c r="D36" s="33" t="str">
        <f aca="false">IF(B36="","",IFERROR(INDEX(Catálogo!$B$5:$B$304,MATCH(B36,Catálogo!$A$5:$A$304,0)),"ISBN não cadastrado"))</f>
        <v/>
      </c>
      <c r="E36" s="24"/>
      <c r="F36" s="21"/>
      <c r="G36" s="1"/>
      <c r="H36" s="1"/>
      <c r="I36" s="28" t="str">
        <f aca="false">IF(B36="","",E36*IFERROR(INDEX(Catálogo!$G$5:$G$304,MATCH(B36,Catálogo!$A$5:$A$304,0)),0))</f>
        <v/>
      </c>
      <c r="J36" s="22" t="str">
        <f aca="false">IF(B36="","",E36*F36)</f>
        <v/>
      </c>
      <c r="K36" s="23" t="str">
        <f aca="false">IF(OR(B36="",I36=0),"",1-J36/I36)</f>
        <v/>
      </c>
      <c r="L36" s="1"/>
    </row>
    <row r="37" customFormat="false" ht="15" hidden="false" customHeight="false" outlineLevel="0" collapsed="false">
      <c r="A37" s="25"/>
      <c r="B37" s="1"/>
      <c r="C37" s="33" t="str">
        <f aca="false">IF(B37="","",IFERROR(INDEX(Catálogo!$C$5:$C$304,MATCH(B37,Catálogo!$A$5:$A$304,0)),"ISBN não cadastrado"))</f>
        <v/>
      </c>
      <c r="D37" s="33" t="str">
        <f aca="false">IF(B37="","",IFERROR(INDEX(Catálogo!$B$5:$B$304,MATCH(B37,Catálogo!$A$5:$A$304,0)),"ISBN não cadastrado"))</f>
        <v/>
      </c>
      <c r="E37" s="24"/>
      <c r="F37" s="21"/>
      <c r="G37" s="1"/>
      <c r="H37" s="1"/>
      <c r="I37" s="28" t="str">
        <f aca="false">IF(B37="","",E37*IFERROR(INDEX(Catálogo!$G$5:$G$304,MATCH(B37,Catálogo!$A$5:$A$304,0)),0))</f>
        <v/>
      </c>
      <c r="J37" s="22" t="str">
        <f aca="false">IF(B37="","",E37*F37)</f>
        <v/>
      </c>
      <c r="K37" s="23" t="str">
        <f aca="false">IF(OR(B37="",I37=0),"",1-J37/I37)</f>
        <v/>
      </c>
      <c r="L37" s="1"/>
    </row>
    <row r="38" customFormat="false" ht="15" hidden="false" customHeight="false" outlineLevel="0" collapsed="false">
      <c r="A38" s="25"/>
      <c r="B38" s="1"/>
      <c r="C38" s="33" t="str">
        <f aca="false">IF(B38="","",IFERROR(INDEX(Catálogo!$C$5:$C$304,MATCH(B38,Catálogo!$A$5:$A$304,0)),"ISBN não cadastrado"))</f>
        <v/>
      </c>
      <c r="D38" s="33" t="str">
        <f aca="false">IF(B38="","",IFERROR(INDEX(Catálogo!$B$5:$B$304,MATCH(B38,Catálogo!$A$5:$A$304,0)),"ISBN não cadastrado"))</f>
        <v/>
      </c>
      <c r="E38" s="24"/>
      <c r="F38" s="21"/>
      <c r="G38" s="1"/>
      <c r="H38" s="1"/>
      <c r="I38" s="28" t="str">
        <f aca="false">IF(B38="","",E38*IFERROR(INDEX(Catálogo!$G$5:$G$304,MATCH(B38,Catálogo!$A$5:$A$304,0)),0))</f>
        <v/>
      </c>
      <c r="J38" s="22" t="str">
        <f aca="false">IF(B38="","",E38*F38)</f>
        <v/>
      </c>
      <c r="K38" s="23" t="str">
        <f aca="false">IF(OR(B38="",I38=0),"",1-J38/I38)</f>
        <v/>
      </c>
      <c r="L38" s="1"/>
    </row>
    <row r="39" customFormat="false" ht="15" hidden="false" customHeight="false" outlineLevel="0" collapsed="false">
      <c r="A39" s="25"/>
      <c r="B39" s="1"/>
      <c r="C39" s="33" t="str">
        <f aca="false">IF(B39="","",IFERROR(INDEX(Catálogo!$C$5:$C$304,MATCH(B39,Catálogo!$A$5:$A$304,0)),"ISBN não cadastrado"))</f>
        <v/>
      </c>
      <c r="D39" s="33" t="str">
        <f aca="false">IF(B39="","",IFERROR(INDEX(Catálogo!$B$5:$B$304,MATCH(B39,Catálogo!$A$5:$A$304,0)),"ISBN não cadastrado"))</f>
        <v/>
      </c>
      <c r="E39" s="24"/>
      <c r="F39" s="21"/>
      <c r="G39" s="1"/>
      <c r="H39" s="1"/>
      <c r="I39" s="28" t="str">
        <f aca="false">IF(B39="","",E39*IFERROR(INDEX(Catálogo!$G$5:$G$304,MATCH(B39,Catálogo!$A$5:$A$304,0)),0))</f>
        <v/>
      </c>
      <c r="J39" s="22" t="str">
        <f aca="false">IF(B39="","",E39*F39)</f>
        <v/>
      </c>
      <c r="K39" s="23" t="str">
        <f aca="false">IF(OR(B39="",I39=0),"",1-J39/I39)</f>
        <v/>
      </c>
      <c r="L39" s="1"/>
    </row>
    <row r="40" customFormat="false" ht="15" hidden="false" customHeight="false" outlineLevel="0" collapsed="false">
      <c r="A40" s="25"/>
      <c r="B40" s="1"/>
      <c r="C40" s="33" t="str">
        <f aca="false">IF(B40="","",IFERROR(INDEX(Catálogo!$C$5:$C$304,MATCH(B40,Catálogo!$A$5:$A$304,0)),"ISBN não cadastrado"))</f>
        <v/>
      </c>
      <c r="D40" s="33" t="str">
        <f aca="false">IF(B40="","",IFERROR(INDEX(Catálogo!$B$5:$B$304,MATCH(B40,Catálogo!$A$5:$A$304,0)),"ISBN não cadastrado"))</f>
        <v/>
      </c>
      <c r="E40" s="24"/>
      <c r="F40" s="21"/>
      <c r="G40" s="1"/>
      <c r="H40" s="1"/>
      <c r="I40" s="28" t="str">
        <f aca="false">IF(B40="","",E40*IFERROR(INDEX(Catálogo!$G$5:$G$304,MATCH(B40,Catálogo!$A$5:$A$304,0)),0))</f>
        <v/>
      </c>
      <c r="J40" s="22" t="str">
        <f aca="false">IF(B40="","",E40*F40)</f>
        <v/>
      </c>
      <c r="K40" s="23" t="str">
        <f aca="false">IF(OR(B40="",I40=0),"",1-J40/I40)</f>
        <v/>
      </c>
      <c r="L40" s="1"/>
    </row>
    <row r="41" customFormat="false" ht="15" hidden="false" customHeight="false" outlineLevel="0" collapsed="false">
      <c r="A41" s="25"/>
      <c r="B41" s="1"/>
      <c r="C41" s="33" t="str">
        <f aca="false">IF(B41="","",IFERROR(INDEX(Catálogo!$C$5:$C$304,MATCH(B41,Catálogo!$A$5:$A$304,0)),"ISBN não cadastrado"))</f>
        <v/>
      </c>
      <c r="D41" s="33" t="str">
        <f aca="false">IF(B41="","",IFERROR(INDEX(Catálogo!$B$5:$B$304,MATCH(B41,Catálogo!$A$5:$A$304,0)),"ISBN não cadastrado"))</f>
        <v/>
      </c>
      <c r="E41" s="24"/>
      <c r="F41" s="21"/>
      <c r="G41" s="1"/>
      <c r="H41" s="1"/>
      <c r="I41" s="28" t="str">
        <f aca="false">IF(B41="","",E41*IFERROR(INDEX(Catálogo!$G$5:$G$304,MATCH(B41,Catálogo!$A$5:$A$304,0)),0))</f>
        <v/>
      </c>
      <c r="J41" s="22" t="str">
        <f aca="false">IF(B41="","",E41*F41)</f>
        <v/>
      </c>
      <c r="K41" s="23" t="str">
        <f aca="false">IF(OR(B41="",I41=0),"",1-J41/I41)</f>
        <v/>
      </c>
      <c r="L41" s="1"/>
    </row>
    <row r="42" customFormat="false" ht="15" hidden="false" customHeight="false" outlineLevel="0" collapsed="false">
      <c r="A42" s="25"/>
      <c r="B42" s="1"/>
      <c r="C42" s="33" t="str">
        <f aca="false">IF(B42="","",IFERROR(INDEX(Catálogo!$C$5:$C$304,MATCH(B42,Catálogo!$A$5:$A$304,0)),"ISBN não cadastrado"))</f>
        <v/>
      </c>
      <c r="D42" s="33" t="str">
        <f aca="false">IF(B42="","",IFERROR(INDEX(Catálogo!$B$5:$B$304,MATCH(B42,Catálogo!$A$5:$A$304,0)),"ISBN não cadastrado"))</f>
        <v/>
      </c>
      <c r="E42" s="24"/>
      <c r="F42" s="21"/>
      <c r="G42" s="1"/>
      <c r="H42" s="1"/>
      <c r="I42" s="28" t="str">
        <f aca="false">IF(B42="","",E42*IFERROR(INDEX(Catálogo!$G$5:$G$304,MATCH(B42,Catálogo!$A$5:$A$304,0)),0))</f>
        <v/>
      </c>
      <c r="J42" s="22" t="str">
        <f aca="false">IF(B42="","",E42*F42)</f>
        <v/>
      </c>
      <c r="K42" s="23" t="str">
        <f aca="false">IF(OR(B42="",I42=0),"",1-J42/I42)</f>
        <v/>
      </c>
      <c r="L42" s="1"/>
    </row>
    <row r="43" customFormat="false" ht="15" hidden="false" customHeight="false" outlineLevel="0" collapsed="false">
      <c r="A43" s="25"/>
      <c r="B43" s="1"/>
      <c r="C43" s="33" t="str">
        <f aca="false">IF(B43="","",IFERROR(INDEX(Catálogo!$C$5:$C$304,MATCH(B43,Catálogo!$A$5:$A$304,0)),"ISBN não cadastrado"))</f>
        <v/>
      </c>
      <c r="D43" s="33" t="str">
        <f aca="false">IF(B43="","",IFERROR(INDEX(Catálogo!$B$5:$B$304,MATCH(B43,Catálogo!$A$5:$A$304,0)),"ISBN não cadastrado"))</f>
        <v/>
      </c>
      <c r="E43" s="24"/>
      <c r="F43" s="21"/>
      <c r="G43" s="1"/>
      <c r="H43" s="1"/>
      <c r="I43" s="28" t="str">
        <f aca="false">IF(B43="","",E43*IFERROR(INDEX(Catálogo!$G$5:$G$304,MATCH(B43,Catálogo!$A$5:$A$304,0)),0))</f>
        <v/>
      </c>
      <c r="J43" s="22" t="str">
        <f aca="false">IF(B43="","",E43*F43)</f>
        <v/>
      </c>
      <c r="K43" s="23" t="str">
        <f aca="false">IF(OR(B43="",I43=0),"",1-J43/I43)</f>
        <v/>
      </c>
      <c r="L43" s="1"/>
    </row>
    <row r="44" customFormat="false" ht="15" hidden="false" customHeight="false" outlineLevel="0" collapsed="false">
      <c r="A44" s="25"/>
      <c r="B44" s="1"/>
      <c r="C44" s="33" t="str">
        <f aca="false">IF(B44="","",IFERROR(INDEX(Catálogo!$C$5:$C$304,MATCH(B44,Catálogo!$A$5:$A$304,0)),"ISBN não cadastrado"))</f>
        <v/>
      </c>
      <c r="D44" s="33" t="str">
        <f aca="false">IF(B44="","",IFERROR(INDEX(Catálogo!$B$5:$B$304,MATCH(B44,Catálogo!$A$5:$A$304,0)),"ISBN não cadastrado"))</f>
        <v/>
      </c>
      <c r="E44" s="24"/>
      <c r="F44" s="21"/>
      <c r="G44" s="1"/>
      <c r="H44" s="1"/>
      <c r="I44" s="28" t="str">
        <f aca="false">IF(B44="","",E44*IFERROR(INDEX(Catálogo!$G$5:$G$304,MATCH(B44,Catálogo!$A$5:$A$304,0)),0))</f>
        <v/>
      </c>
      <c r="J44" s="22" t="str">
        <f aca="false">IF(B44="","",E44*F44)</f>
        <v/>
      </c>
      <c r="K44" s="23" t="str">
        <f aca="false">IF(OR(B44="",I44=0),"",1-J44/I44)</f>
        <v/>
      </c>
      <c r="L44" s="1"/>
    </row>
    <row r="45" customFormat="false" ht="15" hidden="false" customHeight="false" outlineLevel="0" collapsed="false">
      <c r="A45" s="25"/>
      <c r="B45" s="1"/>
      <c r="C45" s="33" t="str">
        <f aca="false">IF(B45="","",IFERROR(INDEX(Catálogo!$C$5:$C$304,MATCH(B45,Catálogo!$A$5:$A$304,0)),"ISBN não cadastrado"))</f>
        <v/>
      </c>
      <c r="D45" s="33" t="str">
        <f aca="false">IF(B45="","",IFERROR(INDEX(Catálogo!$B$5:$B$304,MATCH(B45,Catálogo!$A$5:$A$304,0)),"ISBN não cadastrado"))</f>
        <v/>
      </c>
      <c r="E45" s="24"/>
      <c r="F45" s="21"/>
      <c r="G45" s="1"/>
      <c r="H45" s="1"/>
      <c r="I45" s="28" t="str">
        <f aca="false">IF(B45="","",E45*IFERROR(INDEX(Catálogo!$G$5:$G$304,MATCH(B45,Catálogo!$A$5:$A$304,0)),0))</f>
        <v/>
      </c>
      <c r="J45" s="22" t="str">
        <f aca="false">IF(B45="","",E45*F45)</f>
        <v/>
      </c>
      <c r="K45" s="23" t="str">
        <f aca="false">IF(OR(B45="",I45=0),"",1-J45/I45)</f>
        <v/>
      </c>
      <c r="L45" s="1"/>
    </row>
    <row r="46" customFormat="false" ht="15" hidden="false" customHeight="false" outlineLevel="0" collapsed="false">
      <c r="A46" s="25"/>
      <c r="B46" s="1"/>
      <c r="C46" s="33" t="str">
        <f aca="false">IF(B46="","",IFERROR(INDEX(Catálogo!$C$5:$C$304,MATCH(B46,Catálogo!$A$5:$A$304,0)),"ISBN não cadastrado"))</f>
        <v/>
      </c>
      <c r="D46" s="33" t="str">
        <f aca="false">IF(B46="","",IFERROR(INDEX(Catálogo!$B$5:$B$304,MATCH(B46,Catálogo!$A$5:$A$304,0)),"ISBN não cadastrado"))</f>
        <v/>
      </c>
      <c r="E46" s="24"/>
      <c r="F46" s="21"/>
      <c r="G46" s="1"/>
      <c r="H46" s="1"/>
      <c r="I46" s="28" t="str">
        <f aca="false">IF(B46="","",E46*IFERROR(INDEX(Catálogo!$G$5:$G$304,MATCH(B46,Catálogo!$A$5:$A$304,0)),0))</f>
        <v/>
      </c>
      <c r="J46" s="22" t="str">
        <f aca="false">IF(B46="","",E46*F46)</f>
        <v/>
      </c>
      <c r="K46" s="23" t="str">
        <f aca="false">IF(OR(B46="",I46=0),"",1-J46/I46)</f>
        <v/>
      </c>
      <c r="L46" s="1"/>
    </row>
    <row r="47" customFormat="false" ht="15" hidden="false" customHeight="false" outlineLevel="0" collapsed="false">
      <c r="A47" s="25"/>
      <c r="B47" s="1"/>
      <c r="C47" s="33" t="str">
        <f aca="false">IF(B47="","",IFERROR(INDEX(Catálogo!$C$5:$C$304,MATCH(B47,Catálogo!$A$5:$A$304,0)),"ISBN não cadastrado"))</f>
        <v/>
      </c>
      <c r="D47" s="33" t="str">
        <f aca="false">IF(B47="","",IFERROR(INDEX(Catálogo!$B$5:$B$304,MATCH(B47,Catálogo!$A$5:$A$304,0)),"ISBN não cadastrado"))</f>
        <v/>
      </c>
      <c r="E47" s="24"/>
      <c r="F47" s="21"/>
      <c r="G47" s="1"/>
      <c r="H47" s="1"/>
      <c r="I47" s="28" t="str">
        <f aca="false">IF(B47="","",E47*IFERROR(INDEX(Catálogo!$G$5:$G$304,MATCH(B47,Catálogo!$A$5:$A$304,0)),0))</f>
        <v/>
      </c>
      <c r="J47" s="22" t="str">
        <f aca="false">IF(B47="","",E47*F47)</f>
        <v/>
      </c>
      <c r="K47" s="23" t="str">
        <f aca="false">IF(OR(B47="",I47=0),"",1-J47/I47)</f>
        <v/>
      </c>
      <c r="L47" s="1"/>
    </row>
    <row r="48" customFormat="false" ht="15" hidden="false" customHeight="false" outlineLevel="0" collapsed="false">
      <c r="A48" s="25"/>
      <c r="B48" s="1"/>
      <c r="C48" s="33" t="str">
        <f aca="false">IF(B48="","",IFERROR(INDEX(Catálogo!$C$5:$C$304,MATCH(B48,Catálogo!$A$5:$A$304,0)),"ISBN não cadastrado"))</f>
        <v/>
      </c>
      <c r="D48" s="33" t="str">
        <f aca="false">IF(B48="","",IFERROR(INDEX(Catálogo!$B$5:$B$304,MATCH(B48,Catálogo!$A$5:$A$304,0)),"ISBN não cadastrado"))</f>
        <v/>
      </c>
      <c r="E48" s="24"/>
      <c r="F48" s="21"/>
      <c r="G48" s="1"/>
      <c r="H48" s="1"/>
      <c r="I48" s="28" t="str">
        <f aca="false">IF(B48="","",E48*IFERROR(INDEX(Catálogo!$G$5:$G$304,MATCH(B48,Catálogo!$A$5:$A$304,0)),0))</f>
        <v/>
      </c>
      <c r="J48" s="22" t="str">
        <f aca="false">IF(B48="","",E48*F48)</f>
        <v/>
      </c>
      <c r="K48" s="23" t="str">
        <f aca="false">IF(OR(B48="",I48=0),"",1-J48/I48)</f>
        <v/>
      </c>
      <c r="L48" s="1"/>
    </row>
    <row r="49" customFormat="false" ht="15" hidden="false" customHeight="false" outlineLevel="0" collapsed="false">
      <c r="A49" s="25"/>
      <c r="B49" s="1"/>
      <c r="C49" s="33" t="str">
        <f aca="false">IF(B49="","",IFERROR(INDEX(Catálogo!$C$5:$C$304,MATCH(B49,Catálogo!$A$5:$A$304,0)),"ISBN não cadastrado"))</f>
        <v/>
      </c>
      <c r="D49" s="33" t="str">
        <f aca="false">IF(B49="","",IFERROR(INDEX(Catálogo!$B$5:$B$304,MATCH(B49,Catálogo!$A$5:$A$304,0)),"ISBN não cadastrado"))</f>
        <v/>
      </c>
      <c r="E49" s="24"/>
      <c r="F49" s="21"/>
      <c r="G49" s="1"/>
      <c r="H49" s="1"/>
      <c r="I49" s="28" t="str">
        <f aca="false">IF(B49="","",E49*IFERROR(INDEX(Catálogo!$G$5:$G$304,MATCH(B49,Catálogo!$A$5:$A$304,0)),0))</f>
        <v/>
      </c>
      <c r="J49" s="22" t="str">
        <f aca="false">IF(B49="","",E49*F49)</f>
        <v/>
      </c>
      <c r="K49" s="23" t="str">
        <f aca="false">IF(OR(B49="",I49=0),"",1-J49/I49)</f>
        <v/>
      </c>
      <c r="L49" s="1"/>
    </row>
    <row r="50" customFormat="false" ht="15" hidden="false" customHeight="false" outlineLevel="0" collapsed="false">
      <c r="A50" s="25"/>
      <c r="B50" s="1"/>
      <c r="C50" s="33" t="str">
        <f aca="false">IF(B50="","",IFERROR(INDEX(Catálogo!$C$5:$C$304,MATCH(B50,Catálogo!$A$5:$A$304,0)),"ISBN não cadastrado"))</f>
        <v/>
      </c>
      <c r="D50" s="33" t="str">
        <f aca="false">IF(B50="","",IFERROR(INDEX(Catálogo!$B$5:$B$304,MATCH(B50,Catálogo!$A$5:$A$304,0)),"ISBN não cadastrado"))</f>
        <v/>
      </c>
      <c r="E50" s="24"/>
      <c r="F50" s="21"/>
      <c r="G50" s="1"/>
      <c r="H50" s="1"/>
      <c r="I50" s="28" t="str">
        <f aca="false">IF(B50="","",E50*IFERROR(INDEX(Catálogo!$G$5:$G$304,MATCH(B50,Catálogo!$A$5:$A$304,0)),0))</f>
        <v/>
      </c>
      <c r="J50" s="22" t="str">
        <f aca="false">IF(B50="","",E50*F50)</f>
        <v/>
      </c>
      <c r="K50" s="23" t="str">
        <f aca="false">IF(OR(B50="",I50=0),"",1-J50/I50)</f>
        <v/>
      </c>
      <c r="L50" s="1"/>
    </row>
    <row r="51" customFormat="false" ht="15" hidden="false" customHeight="false" outlineLevel="0" collapsed="false">
      <c r="A51" s="25"/>
      <c r="B51" s="1"/>
      <c r="C51" s="33" t="str">
        <f aca="false">IF(B51="","",IFERROR(INDEX(Catálogo!$C$5:$C$304,MATCH(B51,Catálogo!$A$5:$A$304,0)),"ISBN não cadastrado"))</f>
        <v/>
      </c>
      <c r="D51" s="33" t="str">
        <f aca="false">IF(B51="","",IFERROR(INDEX(Catálogo!$B$5:$B$304,MATCH(B51,Catálogo!$A$5:$A$304,0)),"ISBN não cadastrado"))</f>
        <v/>
      </c>
      <c r="E51" s="24"/>
      <c r="F51" s="21"/>
      <c r="G51" s="1"/>
      <c r="H51" s="1"/>
      <c r="I51" s="28" t="str">
        <f aca="false">IF(B51="","",E51*IFERROR(INDEX(Catálogo!$G$5:$G$304,MATCH(B51,Catálogo!$A$5:$A$304,0)),0))</f>
        <v/>
      </c>
      <c r="J51" s="22" t="str">
        <f aca="false">IF(B51="","",E51*F51)</f>
        <v/>
      </c>
      <c r="K51" s="23" t="str">
        <f aca="false">IF(OR(B51="",I51=0),"",1-J51/I51)</f>
        <v/>
      </c>
      <c r="L51" s="1"/>
    </row>
    <row r="52" customFormat="false" ht="15" hidden="false" customHeight="false" outlineLevel="0" collapsed="false">
      <c r="A52" s="25"/>
      <c r="B52" s="1"/>
      <c r="C52" s="33" t="str">
        <f aca="false">IF(B52="","",IFERROR(INDEX(Catálogo!$C$5:$C$304,MATCH(B52,Catálogo!$A$5:$A$304,0)),"ISBN não cadastrado"))</f>
        <v/>
      </c>
      <c r="D52" s="33" t="str">
        <f aca="false">IF(B52="","",IFERROR(INDEX(Catálogo!$B$5:$B$304,MATCH(B52,Catálogo!$A$5:$A$304,0)),"ISBN não cadastrado"))</f>
        <v/>
      </c>
      <c r="E52" s="24"/>
      <c r="F52" s="21"/>
      <c r="G52" s="1"/>
      <c r="H52" s="1"/>
      <c r="I52" s="28" t="str">
        <f aca="false">IF(B52="","",E52*IFERROR(INDEX(Catálogo!$G$5:$G$304,MATCH(B52,Catálogo!$A$5:$A$304,0)),0))</f>
        <v/>
      </c>
      <c r="J52" s="22" t="str">
        <f aca="false">IF(B52="","",E52*F52)</f>
        <v/>
      </c>
      <c r="K52" s="23" t="str">
        <f aca="false">IF(OR(B52="",I52=0),"",1-J52/I52)</f>
        <v/>
      </c>
      <c r="L52" s="1"/>
    </row>
    <row r="53" customFormat="false" ht="15" hidden="false" customHeight="false" outlineLevel="0" collapsed="false">
      <c r="A53" s="25"/>
      <c r="B53" s="1"/>
      <c r="C53" s="33" t="str">
        <f aca="false">IF(B53="","",IFERROR(INDEX(Catálogo!$C$5:$C$304,MATCH(B53,Catálogo!$A$5:$A$304,0)),"ISBN não cadastrado"))</f>
        <v/>
      </c>
      <c r="D53" s="33" t="str">
        <f aca="false">IF(B53="","",IFERROR(INDEX(Catálogo!$B$5:$B$304,MATCH(B53,Catálogo!$A$5:$A$304,0)),"ISBN não cadastrado"))</f>
        <v/>
      </c>
      <c r="E53" s="24"/>
      <c r="F53" s="21"/>
      <c r="G53" s="1"/>
      <c r="H53" s="1"/>
      <c r="I53" s="28" t="str">
        <f aca="false">IF(B53="","",E53*IFERROR(INDEX(Catálogo!$G$5:$G$304,MATCH(B53,Catálogo!$A$5:$A$304,0)),0))</f>
        <v/>
      </c>
      <c r="J53" s="22" t="str">
        <f aca="false">IF(B53="","",E53*F53)</f>
        <v/>
      </c>
      <c r="K53" s="23" t="str">
        <f aca="false">IF(OR(B53="",I53=0),"",1-J53/I53)</f>
        <v/>
      </c>
      <c r="L53" s="1"/>
    </row>
    <row r="54" customFormat="false" ht="15" hidden="false" customHeight="false" outlineLevel="0" collapsed="false">
      <c r="A54" s="25"/>
      <c r="B54" s="1"/>
      <c r="C54" s="33" t="str">
        <f aca="false">IF(B54="","",IFERROR(INDEX(Catálogo!$C$5:$C$304,MATCH(B54,Catálogo!$A$5:$A$304,0)),"ISBN não cadastrado"))</f>
        <v/>
      </c>
      <c r="D54" s="33" t="str">
        <f aca="false">IF(B54="","",IFERROR(INDEX(Catálogo!$B$5:$B$304,MATCH(B54,Catálogo!$A$5:$A$304,0)),"ISBN não cadastrado"))</f>
        <v/>
      </c>
      <c r="E54" s="24"/>
      <c r="F54" s="21"/>
      <c r="G54" s="1"/>
      <c r="H54" s="1"/>
      <c r="I54" s="28" t="str">
        <f aca="false">IF(B54="","",E54*IFERROR(INDEX(Catálogo!$G$5:$G$304,MATCH(B54,Catálogo!$A$5:$A$304,0)),0))</f>
        <v/>
      </c>
      <c r="J54" s="22" t="str">
        <f aca="false">IF(B54="","",E54*F54)</f>
        <v/>
      </c>
      <c r="K54" s="23" t="str">
        <f aca="false">IF(OR(B54="",I54=0),"",1-J54/I54)</f>
        <v/>
      </c>
      <c r="L54" s="1"/>
    </row>
    <row r="55" customFormat="false" ht="15" hidden="false" customHeight="false" outlineLevel="0" collapsed="false">
      <c r="A55" s="25"/>
      <c r="B55" s="1"/>
      <c r="C55" s="33" t="str">
        <f aca="false">IF(B55="","",IFERROR(INDEX(Catálogo!$C$5:$C$304,MATCH(B55,Catálogo!$A$5:$A$304,0)),"ISBN não cadastrado"))</f>
        <v/>
      </c>
      <c r="D55" s="33" t="str">
        <f aca="false">IF(B55="","",IFERROR(INDEX(Catálogo!$B$5:$B$304,MATCH(B55,Catálogo!$A$5:$A$304,0)),"ISBN não cadastrado"))</f>
        <v/>
      </c>
      <c r="E55" s="24"/>
      <c r="F55" s="21"/>
      <c r="G55" s="1"/>
      <c r="H55" s="1"/>
      <c r="I55" s="28" t="str">
        <f aca="false">IF(B55="","",E55*IFERROR(INDEX(Catálogo!$G$5:$G$304,MATCH(B55,Catálogo!$A$5:$A$304,0)),0))</f>
        <v/>
      </c>
      <c r="J55" s="22" t="str">
        <f aca="false">IF(B55="","",E55*F55)</f>
        <v/>
      </c>
      <c r="K55" s="23" t="str">
        <f aca="false">IF(OR(B55="",I55=0),"",1-J55/I55)</f>
        <v/>
      </c>
      <c r="L55" s="1"/>
    </row>
    <row r="56" customFormat="false" ht="15" hidden="false" customHeight="false" outlineLevel="0" collapsed="false">
      <c r="A56" s="25"/>
      <c r="B56" s="1"/>
      <c r="C56" s="33" t="str">
        <f aca="false">IF(B56="","",IFERROR(INDEX(Catálogo!$C$5:$C$304,MATCH(B56,Catálogo!$A$5:$A$304,0)),"ISBN não cadastrado"))</f>
        <v/>
      </c>
      <c r="D56" s="33" t="str">
        <f aca="false">IF(B56="","",IFERROR(INDEX(Catálogo!$B$5:$B$304,MATCH(B56,Catálogo!$A$5:$A$304,0)),"ISBN não cadastrado"))</f>
        <v/>
      </c>
      <c r="E56" s="24"/>
      <c r="F56" s="21"/>
      <c r="G56" s="1"/>
      <c r="H56" s="1"/>
      <c r="I56" s="28" t="str">
        <f aca="false">IF(B56="","",E56*IFERROR(INDEX(Catálogo!$G$5:$G$304,MATCH(B56,Catálogo!$A$5:$A$304,0)),0))</f>
        <v/>
      </c>
      <c r="J56" s="22" t="str">
        <f aca="false">IF(B56="","",E56*F56)</f>
        <v/>
      </c>
      <c r="K56" s="23" t="str">
        <f aca="false">IF(OR(B56="",I56=0),"",1-J56/I56)</f>
        <v/>
      </c>
      <c r="L56" s="1"/>
    </row>
    <row r="57" customFormat="false" ht="15" hidden="false" customHeight="false" outlineLevel="0" collapsed="false">
      <c r="A57" s="25"/>
      <c r="B57" s="1"/>
      <c r="C57" s="33" t="str">
        <f aca="false">IF(B57="","",IFERROR(INDEX(Catálogo!$C$5:$C$304,MATCH(B57,Catálogo!$A$5:$A$304,0)),"ISBN não cadastrado"))</f>
        <v/>
      </c>
      <c r="D57" s="33" t="str">
        <f aca="false">IF(B57="","",IFERROR(INDEX(Catálogo!$B$5:$B$304,MATCH(B57,Catálogo!$A$5:$A$304,0)),"ISBN não cadastrado"))</f>
        <v/>
      </c>
      <c r="E57" s="24"/>
      <c r="F57" s="21"/>
      <c r="G57" s="1"/>
      <c r="H57" s="1"/>
      <c r="I57" s="28" t="str">
        <f aca="false">IF(B57="","",E57*IFERROR(INDEX(Catálogo!$G$5:$G$304,MATCH(B57,Catálogo!$A$5:$A$304,0)),0))</f>
        <v/>
      </c>
      <c r="J57" s="22" t="str">
        <f aca="false">IF(B57="","",E57*F57)</f>
        <v/>
      </c>
      <c r="K57" s="23" t="str">
        <f aca="false">IF(OR(B57="",I57=0),"",1-J57/I57)</f>
        <v/>
      </c>
      <c r="L57" s="1"/>
    </row>
    <row r="58" customFormat="false" ht="15" hidden="false" customHeight="false" outlineLevel="0" collapsed="false">
      <c r="A58" s="25"/>
      <c r="B58" s="1"/>
      <c r="C58" s="33" t="str">
        <f aca="false">IF(B58="","",IFERROR(INDEX(Catálogo!$C$5:$C$304,MATCH(B58,Catálogo!$A$5:$A$304,0)),"ISBN não cadastrado"))</f>
        <v/>
      </c>
      <c r="D58" s="33" t="str">
        <f aca="false">IF(B58="","",IFERROR(INDEX(Catálogo!$B$5:$B$304,MATCH(B58,Catálogo!$A$5:$A$304,0)),"ISBN não cadastrado"))</f>
        <v/>
      </c>
      <c r="E58" s="24"/>
      <c r="F58" s="21"/>
      <c r="G58" s="1"/>
      <c r="H58" s="1"/>
      <c r="I58" s="28" t="str">
        <f aca="false">IF(B58="","",E58*IFERROR(INDEX(Catálogo!$G$5:$G$304,MATCH(B58,Catálogo!$A$5:$A$304,0)),0))</f>
        <v/>
      </c>
      <c r="J58" s="22" t="str">
        <f aca="false">IF(B58="","",E58*F58)</f>
        <v/>
      </c>
      <c r="K58" s="23" t="str">
        <f aca="false">IF(OR(B58="",I58=0),"",1-J58/I58)</f>
        <v/>
      </c>
      <c r="L58" s="1"/>
    </row>
    <row r="59" customFormat="false" ht="15" hidden="false" customHeight="false" outlineLevel="0" collapsed="false">
      <c r="A59" s="25"/>
      <c r="B59" s="1"/>
      <c r="C59" s="33" t="str">
        <f aca="false">IF(B59="","",IFERROR(INDEX(Catálogo!$C$5:$C$304,MATCH(B59,Catálogo!$A$5:$A$304,0)),"ISBN não cadastrado"))</f>
        <v/>
      </c>
      <c r="D59" s="33" t="str">
        <f aca="false">IF(B59="","",IFERROR(INDEX(Catálogo!$B$5:$B$304,MATCH(B59,Catálogo!$A$5:$A$304,0)),"ISBN não cadastrado"))</f>
        <v/>
      </c>
      <c r="E59" s="24"/>
      <c r="F59" s="21"/>
      <c r="G59" s="1"/>
      <c r="H59" s="1"/>
      <c r="I59" s="28" t="str">
        <f aca="false">IF(B59="","",E59*IFERROR(INDEX(Catálogo!$G$5:$G$304,MATCH(B59,Catálogo!$A$5:$A$304,0)),0))</f>
        <v/>
      </c>
      <c r="J59" s="22" t="str">
        <f aca="false">IF(B59="","",E59*F59)</f>
        <v/>
      </c>
      <c r="K59" s="23" t="str">
        <f aca="false">IF(OR(B59="",I59=0),"",1-J59/I59)</f>
        <v/>
      </c>
      <c r="L59" s="1"/>
    </row>
    <row r="60" customFormat="false" ht="15" hidden="false" customHeight="false" outlineLevel="0" collapsed="false">
      <c r="A60" s="25"/>
      <c r="B60" s="1"/>
      <c r="C60" s="33" t="str">
        <f aca="false">IF(B60="","",IFERROR(INDEX(Catálogo!$C$5:$C$304,MATCH(B60,Catálogo!$A$5:$A$304,0)),"ISBN não cadastrado"))</f>
        <v/>
      </c>
      <c r="D60" s="33" t="str">
        <f aca="false">IF(B60="","",IFERROR(INDEX(Catálogo!$B$5:$B$304,MATCH(B60,Catálogo!$A$5:$A$304,0)),"ISBN não cadastrado"))</f>
        <v/>
      </c>
      <c r="E60" s="24"/>
      <c r="F60" s="21"/>
      <c r="G60" s="1"/>
      <c r="H60" s="1"/>
      <c r="I60" s="28" t="str">
        <f aca="false">IF(B60="","",E60*IFERROR(INDEX(Catálogo!$G$5:$G$304,MATCH(B60,Catálogo!$A$5:$A$304,0)),0))</f>
        <v/>
      </c>
      <c r="J60" s="22" t="str">
        <f aca="false">IF(B60="","",E60*F60)</f>
        <v/>
      </c>
      <c r="K60" s="23" t="str">
        <f aca="false">IF(OR(B60="",I60=0),"",1-J60/I60)</f>
        <v/>
      </c>
      <c r="L60" s="1"/>
    </row>
    <row r="61" customFormat="false" ht="15" hidden="false" customHeight="false" outlineLevel="0" collapsed="false">
      <c r="A61" s="25"/>
      <c r="B61" s="1"/>
      <c r="C61" s="33" t="str">
        <f aca="false">IF(B61="","",IFERROR(INDEX(Catálogo!$C$5:$C$304,MATCH(B61,Catálogo!$A$5:$A$304,0)),"ISBN não cadastrado"))</f>
        <v/>
      </c>
      <c r="D61" s="33" t="str">
        <f aca="false">IF(B61="","",IFERROR(INDEX(Catálogo!$B$5:$B$304,MATCH(B61,Catálogo!$A$5:$A$304,0)),"ISBN não cadastrado"))</f>
        <v/>
      </c>
      <c r="E61" s="24"/>
      <c r="F61" s="21"/>
      <c r="G61" s="1"/>
      <c r="H61" s="1"/>
      <c r="I61" s="28" t="str">
        <f aca="false">IF(B61="","",E61*IFERROR(INDEX(Catálogo!$G$5:$G$304,MATCH(B61,Catálogo!$A$5:$A$304,0)),0))</f>
        <v/>
      </c>
      <c r="J61" s="22" t="str">
        <f aca="false">IF(B61="","",E61*F61)</f>
        <v/>
      </c>
      <c r="K61" s="23" t="str">
        <f aca="false">IF(OR(B61="",I61=0),"",1-J61/I61)</f>
        <v/>
      </c>
      <c r="L61" s="1"/>
    </row>
    <row r="62" customFormat="false" ht="15" hidden="false" customHeight="false" outlineLevel="0" collapsed="false">
      <c r="A62" s="25"/>
      <c r="B62" s="1"/>
      <c r="C62" s="33" t="str">
        <f aca="false">IF(B62="","",IFERROR(INDEX(Catálogo!$C$5:$C$304,MATCH(B62,Catálogo!$A$5:$A$304,0)),"ISBN não cadastrado"))</f>
        <v/>
      </c>
      <c r="D62" s="33" t="str">
        <f aca="false">IF(B62="","",IFERROR(INDEX(Catálogo!$B$5:$B$304,MATCH(B62,Catálogo!$A$5:$A$304,0)),"ISBN não cadastrado"))</f>
        <v/>
      </c>
      <c r="E62" s="24"/>
      <c r="F62" s="21"/>
      <c r="G62" s="1"/>
      <c r="H62" s="1"/>
      <c r="I62" s="28" t="str">
        <f aca="false">IF(B62="","",E62*IFERROR(INDEX(Catálogo!$G$5:$G$304,MATCH(B62,Catálogo!$A$5:$A$304,0)),0))</f>
        <v/>
      </c>
      <c r="J62" s="22" t="str">
        <f aca="false">IF(B62="","",E62*F62)</f>
        <v/>
      </c>
      <c r="K62" s="23" t="str">
        <f aca="false">IF(OR(B62="",I62=0),"",1-J62/I62)</f>
        <v/>
      </c>
      <c r="L62" s="1"/>
    </row>
    <row r="63" customFormat="false" ht="15" hidden="false" customHeight="false" outlineLevel="0" collapsed="false">
      <c r="A63" s="25"/>
      <c r="B63" s="1"/>
      <c r="C63" s="33" t="str">
        <f aca="false">IF(B63="","",IFERROR(INDEX(Catálogo!$C$5:$C$304,MATCH(B63,Catálogo!$A$5:$A$304,0)),"ISBN não cadastrado"))</f>
        <v/>
      </c>
      <c r="D63" s="33" t="str">
        <f aca="false">IF(B63="","",IFERROR(INDEX(Catálogo!$B$5:$B$304,MATCH(B63,Catálogo!$A$5:$A$304,0)),"ISBN não cadastrado"))</f>
        <v/>
      </c>
      <c r="E63" s="24"/>
      <c r="F63" s="21"/>
      <c r="G63" s="1"/>
      <c r="H63" s="1"/>
      <c r="I63" s="28" t="str">
        <f aca="false">IF(B63="","",E63*IFERROR(INDEX(Catálogo!$G$5:$G$304,MATCH(B63,Catálogo!$A$5:$A$304,0)),0))</f>
        <v/>
      </c>
      <c r="J63" s="22" t="str">
        <f aca="false">IF(B63="","",E63*F63)</f>
        <v/>
      </c>
      <c r="K63" s="23" t="str">
        <f aca="false">IF(OR(B63="",I63=0),"",1-J63/I63)</f>
        <v/>
      </c>
      <c r="L63" s="1"/>
    </row>
    <row r="64" customFormat="false" ht="15" hidden="false" customHeight="false" outlineLevel="0" collapsed="false">
      <c r="A64" s="25"/>
      <c r="B64" s="1"/>
      <c r="C64" s="33" t="str">
        <f aca="false">IF(B64="","",IFERROR(INDEX(Catálogo!$C$5:$C$304,MATCH(B64,Catálogo!$A$5:$A$304,0)),"ISBN não cadastrado"))</f>
        <v/>
      </c>
      <c r="D64" s="33" t="str">
        <f aca="false">IF(B64="","",IFERROR(INDEX(Catálogo!$B$5:$B$304,MATCH(B64,Catálogo!$A$5:$A$304,0)),"ISBN não cadastrado"))</f>
        <v/>
      </c>
      <c r="E64" s="24"/>
      <c r="F64" s="21"/>
      <c r="G64" s="1"/>
      <c r="H64" s="1"/>
      <c r="I64" s="28" t="str">
        <f aca="false">IF(B64="","",E64*IFERROR(INDEX(Catálogo!$G$5:$G$304,MATCH(B64,Catálogo!$A$5:$A$304,0)),0))</f>
        <v/>
      </c>
      <c r="J64" s="22" t="str">
        <f aca="false">IF(B64="","",E64*F64)</f>
        <v/>
      </c>
      <c r="K64" s="23" t="str">
        <f aca="false">IF(OR(B64="",I64=0),"",1-J64/I64)</f>
        <v/>
      </c>
      <c r="L64" s="1"/>
    </row>
    <row r="65" customFormat="false" ht="15" hidden="false" customHeight="false" outlineLevel="0" collapsed="false">
      <c r="A65" s="25"/>
      <c r="B65" s="1"/>
      <c r="C65" s="33" t="str">
        <f aca="false">IF(B65="","",IFERROR(INDEX(Catálogo!$C$5:$C$304,MATCH(B65,Catálogo!$A$5:$A$304,0)),"ISBN não cadastrado"))</f>
        <v/>
      </c>
      <c r="D65" s="33" t="str">
        <f aca="false">IF(B65="","",IFERROR(INDEX(Catálogo!$B$5:$B$304,MATCH(B65,Catálogo!$A$5:$A$304,0)),"ISBN não cadastrado"))</f>
        <v/>
      </c>
      <c r="E65" s="24"/>
      <c r="F65" s="21"/>
      <c r="G65" s="1"/>
      <c r="H65" s="1"/>
      <c r="I65" s="28" t="str">
        <f aca="false">IF(B65="","",E65*IFERROR(INDEX(Catálogo!$G$5:$G$304,MATCH(B65,Catálogo!$A$5:$A$304,0)),0))</f>
        <v/>
      </c>
      <c r="J65" s="22" t="str">
        <f aca="false">IF(B65="","",E65*F65)</f>
        <v/>
      </c>
      <c r="K65" s="23" t="str">
        <f aca="false">IF(OR(B65="",I65=0),"",1-J65/I65)</f>
        <v/>
      </c>
      <c r="L65" s="1"/>
    </row>
    <row r="66" customFormat="false" ht="15" hidden="false" customHeight="false" outlineLevel="0" collapsed="false">
      <c r="A66" s="25"/>
      <c r="B66" s="1"/>
      <c r="C66" s="33" t="str">
        <f aca="false">IF(B66="","",IFERROR(INDEX(Catálogo!$C$5:$C$304,MATCH(B66,Catálogo!$A$5:$A$304,0)),"ISBN não cadastrado"))</f>
        <v/>
      </c>
      <c r="D66" s="33" t="str">
        <f aca="false">IF(B66="","",IFERROR(INDEX(Catálogo!$B$5:$B$304,MATCH(B66,Catálogo!$A$5:$A$304,0)),"ISBN não cadastrado"))</f>
        <v/>
      </c>
      <c r="E66" s="24"/>
      <c r="F66" s="21"/>
      <c r="G66" s="1"/>
      <c r="H66" s="1"/>
      <c r="I66" s="28" t="str">
        <f aca="false">IF(B66="","",E66*IFERROR(INDEX(Catálogo!$G$5:$G$304,MATCH(B66,Catálogo!$A$5:$A$304,0)),0))</f>
        <v/>
      </c>
      <c r="J66" s="22" t="str">
        <f aca="false">IF(B66="","",E66*F66)</f>
        <v/>
      </c>
      <c r="K66" s="23" t="str">
        <f aca="false">IF(OR(B66="",I66=0),"",1-J66/I66)</f>
        <v/>
      </c>
      <c r="L66" s="1"/>
    </row>
    <row r="67" customFormat="false" ht="15" hidden="false" customHeight="false" outlineLevel="0" collapsed="false">
      <c r="A67" s="25"/>
      <c r="B67" s="1"/>
      <c r="C67" s="33" t="str">
        <f aca="false">IF(B67="","",IFERROR(INDEX(Catálogo!$C$5:$C$304,MATCH(B67,Catálogo!$A$5:$A$304,0)),"ISBN não cadastrado"))</f>
        <v/>
      </c>
      <c r="D67" s="33" t="str">
        <f aca="false">IF(B67="","",IFERROR(INDEX(Catálogo!$B$5:$B$304,MATCH(B67,Catálogo!$A$5:$A$304,0)),"ISBN não cadastrado"))</f>
        <v/>
      </c>
      <c r="E67" s="24"/>
      <c r="F67" s="21"/>
      <c r="G67" s="1"/>
      <c r="H67" s="1"/>
      <c r="I67" s="28" t="str">
        <f aca="false">IF(B67="","",E67*IFERROR(INDEX(Catálogo!$G$5:$G$304,MATCH(B67,Catálogo!$A$5:$A$304,0)),0))</f>
        <v/>
      </c>
      <c r="J67" s="22" t="str">
        <f aca="false">IF(B67="","",E67*F67)</f>
        <v/>
      </c>
      <c r="K67" s="23" t="str">
        <f aca="false">IF(OR(B67="",I67=0),"",1-J67/I67)</f>
        <v/>
      </c>
      <c r="L67" s="1"/>
    </row>
    <row r="68" customFormat="false" ht="15" hidden="false" customHeight="false" outlineLevel="0" collapsed="false">
      <c r="A68" s="25"/>
      <c r="B68" s="1"/>
      <c r="C68" s="33" t="str">
        <f aca="false">IF(B68="","",IFERROR(INDEX(Catálogo!$C$5:$C$304,MATCH(B68,Catálogo!$A$5:$A$304,0)),"ISBN não cadastrado"))</f>
        <v/>
      </c>
      <c r="D68" s="33" t="str">
        <f aca="false">IF(B68="","",IFERROR(INDEX(Catálogo!$B$5:$B$304,MATCH(B68,Catálogo!$A$5:$A$304,0)),"ISBN não cadastrado"))</f>
        <v/>
      </c>
      <c r="E68" s="24"/>
      <c r="F68" s="21"/>
      <c r="G68" s="1"/>
      <c r="H68" s="1"/>
      <c r="I68" s="28" t="str">
        <f aca="false">IF(B68="","",E68*IFERROR(INDEX(Catálogo!$G$5:$G$304,MATCH(B68,Catálogo!$A$5:$A$304,0)),0))</f>
        <v/>
      </c>
      <c r="J68" s="22" t="str">
        <f aca="false">IF(B68="","",E68*F68)</f>
        <v/>
      </c>
      <c r="K68" s="23" t="str">
        <f aca="false">IF(OR(B68="",I68=0),"",1-J68/I68)</f>
        <v/>
      </c>
      <c r="L68" s="1"/>
    </row>
    <row r="69" customFormat="false" ht="15" hidden="false" customHeight="false" outlineLevel="0" collapsed="false">
      <c r="A69" s="25"/>
      <c r="B69" s="1"/>
      <c r="C69" s="33" t="str">
        <f aca="false">IF(B69="","",IFERROR(INDEX(Catálogo!$C$5:$C$304,MATCH(B69,Catálogo!$A$5:$A$304,0)),"ISBN não cadastrado"))</f>
        <v/>
      </c>
      <c r="D69" s="33" t="str">
        <f aca="false">IF(B69="","",IFERROR(INDEX(Catálogo!$B$5:$B$304,MATCH(B69,Catálogo!$A$5:$A$304,0)),"ISBN não cadastrado"))</f>
        <v/>
      </c>
      <c r="E69" s="24"/>
      <c r="F69" s="21"/>
      <c r="G69" s="1"/>
      <c r="H69" s="1"/>
      <c r="I69" s="28" t="str">
        <f aca="false">IF(B69="","",E69*IFERROR(INDEX(Catálogo!$G$5:$G$304,MATCH(B69,Catálogo!$A$5:$A$304,0)),0))</f>
        <v/>
      </c>
      <c r="J69" s="22" t="str">
        <f aca="false">IF(B69="","",E69*F69)</f>
        <v/>
      </c>
      <c r="K69" s="23" t="str">
        <f aca="false">IF(OR(B69="",I69=0),"",1-J69/I69)</f>
        <v/>
      </c>
      <c r="L69" s="1"/>
    </row>
    <row r="70" customFormat="false" ht="15" hidden="false" customHeight="false" outlineLevel="0" collapsed="false">
      <c r="A70" s="25"/>
      <c r="B70" s="1"/>
      <c r="C70" s="33" t="str">
        <f aca="false">IF(B70="","",IFERROR(INDEX(Catálogo!$C$5:$C$304,MATCH(B70,Catálogo!$A$5:$A$304,0)),"ISBN não cadastrado"))</f>
        <v/>
      </c>
      <c r="D70" s="33" t="str">
        <f aca="false">IF(B70="","",IFERROR(INDEX(Catálogo!$B$5:$B$304,MATCH(B70,Catálogo!$A$5:$A$304,0)),"ISBN não cadastrado"))</f>
        <v/>
      </c>
      <c r="E70" s="24"/>
      <c r="F70" s="21"/>
      <c r="G70" s="1"/>
      <c r="H70" s="1"/>
      <c r="I70" s="28" t="str">
        <f aca="false">IF(B70="","",E70*IFERROR(INDEX(Catálogo!$G$5:$G$304,MATCH(B70,Catálogo!$A$5:$A$304,0)),0))</f>
        <v/>
      </c>
      <c r="J70" s="22" t="str">
        <f aca="false">IF(B70="","",E70*F70)</f>
        <v/>
      </c>
      <c r="K70" s="23" t="str">
        <f aca="false">IF(OR(B70="",I70=0),"",1-J70/I70)</f>
        <v/>
      </c>
      <c r="L70" s="1"/>
    </row>
    <row r="71" customFormat="false" ht="15" hidden="false" customHeight="false" outlineLevel="0" collapsed="false">
      <c r="A71" s="25"/>
      <c r="B71" s="1"/>
      <c r="C71" s="33" t="str">
        <f aca="false">IF(B71="","",IFERROR(INDEX(Catálogo!$C$5:$C$304,MATCH(B71,Catálogo!$A$5:$A$304,0)),"ISBN não cadastrado"))</f>
        <v/>
      </c>
      <c r="D71" s="33" t="str">
        <f aca="false">IF(B71="","",IFERROR(INDEX(Catálogo!$B$5:$B$304,MATCH(B71,Catálogo!$A$5:$A$304,0)),"ISBN não cadastrado"))</f>
        <v/>
      </c>
      <c r="E71" s="24"/>
      <c r="F71" s="21"/>
      <c r="G71" s="1"/>
      <c r="H71" s="1"/>
      <c r="I71" s="28" t="str">
        <f aca="false">IF(B71="","",E71*IFERROR(INDEX(Catálogo!$G$5:$G$304,MATCH(B71,Catálogo!$A$5:$A$304,0)),0))</f>
        <v/>
      </c>
      <c r="J71" s="22" t="str">
        <f aca="false">IF(B71="","",E71*F71)</f>
        <v/>
      </c>
      <c r="K71" s="23" t="str">
        <f aca="false">IF(OR(B71="",I71=0),"",1-J71/I71)</f>
        <v/>
      </c>
      <c r="L71" s="1"/>
    </row>
    <row r="72" customFormat="false" ht="15" hidden="false" customHeight="false" outlineLevel="0" collapsed="false">
      <c r="A72" s="25"/>
      <c r="B72" s="1"/>
      <c r="C72" s="33" t="str">
        <f aca="false">IF(B72="","",IFERROR(INDEX(Catálogo!$C$5:$C$304,MATCH(B72,Catálogo!$A$5:$A$304,0)),"ISBN não cadastrado"))</f>
        <v/>
      </c>
      <c r="D72" s="33" t="str">
        <f aca="false">IF(B72="","",IFERROR(INDEX(Catálogo!$B$5:$B$304,MATCH(B72,Catálogo!$A$5:$A$304,0)),"ISBN não cadastrado"))</f>
        <v/>
      </c>
      <c r="E72" s="24"/>
      <c r="F72" s="21"/>
      <c r="G72" s="1"/>
      <c r="H72" s="1"/>
      <c r="I72" s="28" t="str">
        <f aca="false">IF(B72="","",E72*IFERROR(INDEX(Catálogo!$G$5:$G$304,MATCH(B72,Catálogo!$A$5:$A$304,0)),0))</f>
        <v/>
      </c>
      <c r="J72" s="22" t="str">
        <f aca="false">IF(B72="","",E72*F72)</f>
        <v/>
      </c>
      <c r="K72" s="23" t="str">
        <f aca="false">IF(OR(B72="",I72=0),"",1-J72/I72)</f>
        <v/>
      </c>
      <c r="L72" s="1"/>
    </row>
    <row r="73" customFormat="false" ht="15" hidden="false" customHeight="false" outlineLevel="0" collapsed="false">
      <c r="A73" s="25"/>
      <c r="B73" s="1"/>
      <c r="C73" s="33" t="str">
        <f aca="false">IF(B73="","",IFERROR(INDEX(Catálogo!$C$5:$C$304,MATCH(B73,Catálogo!$A$5:$A$304,0)),"ISBN não cadastrado"))</f>
        <v/>
      </c>
      <c r="D73" s="33" t="str">
        <f aca="false">IF(B73="","",IFERROR(INDEX(Catálogo!$B$5:$B$304,MATCH(B73,Catálogo!$A$5:$A$304,0)),"ISBN não cadastrado"))</f>
        <v/>
      </c>
      <c r="E73" s="24"/>
      <c r="F73" s="21"/>
      <c r="G73" s="1"/>
      <c r="H73" s="1"/>
      <c r="I73" s="28" t="str">
        <f aca="false">IF(B73="","",E73*IFERROR(INDEX(Catálogo!$G$5:$G$304,MATCH(B73,Catálogo!$A$5:$A$304,0)),0))</f>
        <v/>
      </c>
      <c r="J73" s="22" t="str">
        <f aca="false">IF(B73="","",E73*F73)</f>
        <v/>
      </c>
      <c r="K73" s="23" t="str">
        <f aca="false">IF(OR(B73="",I73=0),"",1-J73/I73)</f>
        <v/>
      </c>
      <c r="L73" s="1"/>
    </row>
    <row r="74" customFormat="false" ht="15" hidden="false" customHeight="false" outlineLevel="0" collapsed="false">
      <c r="A74" s="25"/>
      <c r="B74" s="1"/>
      <c r="C74" s="33" t="str">
        <f aca="false">IF(B74="","",IFERROR(INDEX(Catálogo!$C$5:$C$304,MATCH(B74,Catálogo!$A$5:$A$304,0)),"ISBN não cadastrado"))</f>
        <v/>
      </c>
      <c r="D74" s="33" t="str">
        <f aca="false">IF(B74="","",IFERROR(INDEX(Catálogo!$B$5:$B$304,MATCH(B74,Catálogo!$A$5:$A$304,0)),"ISBN não cadastrado"))</f>
        <v/>
      </c>
      <c r="E74" s="24"/>
      <c r="F74" s="21"/>
      <c r="G74" s="1"/>
      <c r="H74" s="1"/>
      <c r="I74" s="28" t="str">
        <f aca="false">IF(B74="","",E74*IFERROR(INDEX(Catálogo!$G$5:$G$304,MATCH(B74,Catálogo!$A$5:$A$304,0)),0))</f>
        <v/>
      </c>
      <c r="J74" s="22" t="str">
        <f aca="false">IF(B74="","",E74*F74)</f>
        <v/>
      </c>
      <c r="K74" s="23" t="str">
        <f aca="false">IF(OR(B74="",I74=0),"",1-J74/I74)</f>
        <v/>
      </c>
      <c r="L74" s="1"/>
    </row>
    <row r="75" customFormat="false" ht="15" hidden="false" customHeight="false" outlineLevel="0" collapsed="false">
      <c r="A75" s="25"/>
      <c r="B75" s="1"/>
      <c r="C75" s="33" t="str">
        <f aca="false">IF(B75="","",IFERROR(INDEX(Catálogo!$C$5:$C$304,MATCH(B75,Catálogo!$A$5:$A$304,0)),"ISBN não cadastrado"))</f>
        <v/>
      </c>
      <c r="D75" s="33" t="str">
        <f aca="false">IF(B75="","",IFERROR(INDEX(Catálogo!$B$5:$B$304,MATCH(B75,Catálogo!$A$5:$A$304,0)),"ISBN não cadastrado"))</f>
        <v/>
      </c>
      <c r="E75" s="24"/>
      <c r="F75" s="21"/>
      <c r="G75" s="1"/>
      <c r="H75" s="1"/>
      <c r="I75" s="28" t="str">
        <f aca="false">IF(B75="","",E75*IFERROR(INDEX(Catálogo!$G$5:$G$304,MATCH(B75,Catálogo!$A$5:$A$304,0)),0))</f>
        <v/>
      </c>
      <c r="J75" s="22" t="str">
        <f aca="false">IF(B75="","",E75*F75)</f>
        <v/>
      </c>
      <c r="K75" s="23" t="str">
        <f aca="false">IF(OR(B75="",I75=0),"",1-J75/I75)</f>
        <v/>
      </c>
      <c r="L75" s="1"/>
    </row>
    <row r="76" customFormat="false" ht="15" hidden="false" customHeight="false" outlineLevel="0" collapsed="false">
      <c r="A76" s="25"/>
      <c r="B76" s="1"/>
      <c r="C76" s="33" t="str">
        <f aca="false">IF(B76="","",IFERROR(INDEX(Catálogo!$C$5:$C$304,MATCH(B76,Catálogo!$A$5:$A$304,0)),"ISBN não cadastrado"))</f>
        <v/>
      </c>
      <c r="D76" s="33" t="str">
        <f aca="false">IF(B76="","",IFERROR(INDEX(Catálogo!$B$5:$B$304,MATCH(B76,Catálogo!$A$5:$A$304,0)),"ISBN não cadastrado"))</f>
        <v/>
      </c>
      <c r="E76" s="24"/>
      <c r="F76" s="21"/>
      <c r="G76" s="1"/>
      <c r="H76" s="1"/>
      <c r="I76" s="28" t="str">
        <f aca="false">IF(B76="","",E76*IFERROR(INDEX(Catálogo!$G$5:$G$304,MATCH(B76,Catálogo!$A$5:$A$304,0)),0))</f>
        <v/>
      </c>
      <c r="J76" s="22" t="str">
        <f aca="false">IF(B76="","",E76*F76)</f>
        <v/>
      </c>
      <c r="K76" s="23" t="str">
        <f aca="false">IF(OR(B76="",I76=0),"",1-J76/I76)</f>
        <v/>
      </c>
      <c r="L76" s="1"/>
    </row>
    <row r="77" customFormat="false" ht="15" hidden="false" customHeight="false" outlineLevel="0" collapsed="false">
      <c r="A77" s="25"/>
      <c r="B77" s="1"/>
      <c r="C77" s="33" t="str">
        <f aca="false">IF(B77="","",IFERROR(INDEX(Catálogo!$C$5:$C$304,MATCH(B77,Catálogo!$A$5:$A$304,0)),"ISBN não cadastrado"))</f>
        <v/>
      </c>
      <c r="D77" s="33" t="str">
        <f aca="false">IF(B77="","",IFERROR(INDEX(Catálogo!$B$5:$B$304,MATCH(B77,Catálogo!$A$5:$A$304,0)),"ISBN não cadastrado"))</f>
        <v/>
      </c>
      <c r="E77" s="24"/>
      <c r="F77" s="21"/>
      <c r="G77" s="1"/>
      <c r="H77" s="1"/>
      <c r="I77" s="28" t="str">
        <f aca="false">IF(B77="","",E77*IFERROR(INDEX(Catálogo!$G$5:$G$304,MATCH(B77,Catálogo!$A$5:$A$304,0)),0))</f>
        <v/>
      </c>
      <c r="J77" s="22" t="str">
        <f aca="false">IF(B77="","",E77*F77)</f>
        <v/>
      </c>
      <c r="K77" s="23" t="str">
        <f aca="false">IF(OR(B77="",I77=0),"",1-J77/I77)</f>
        <v/>
      </c>
      <c r="L77" s="1"/>
    </row>
    <row r="78" customFormat="false" ht="15" hidden="false" customHeight="false" outlineLevel="0" collapsed="false">
      <c r="A78" s="25"/>
      <c r="B78" s="1"/>
      <c r="C78" s="33" t="str">
        <f aca="false">IF(B78="","",IFERROR(INDEX(Catálogo!$C$5:$C$304,MATCH(B78,Catálogo!$A$5:$A$304,0)),"ISBN não cadastrado"))</f>
        <v/>
      </c>
      <c r="D78" s="33" t="str">
        <f aca="false">IF(B78="","",IFERROR(INDEX(Catálogo!$B$5:$B$304,MATCH(B78,Catálogo!$A$5:$A$304,0)),"ISBN não cadastrado"))</f>
        <v/>
      </c>
      <c r="E78" s="24"/>
      <c r="F78" s="21"/>
      <c r="G78" s="1"/>
      <c r="H78" s="1"/>
      <c r="I78" s="28" t="str">
        <f aca="false">IF(B78="","",E78*IFERROR(INDEX(Catálogo!$G$5:$G$304,MATCH(B78,Catálogo!$A$5:$A$304,0)),0))</f>
        <v/>
      </c>
      <c r="J78" s="22" t="str">
        <f aca="false">IF(B78="","",E78*F78)</f>
        <v/>
      </c>
      <c r="K78" s="23" t="str">
        <f aca="false">IF(OR(B78="",I78=0),"",1-J78/I78)</f>
        <v/>
      </c>
      <c r="L78" s="1"/>
    </row>
    <row r="79" customFormat="false" ht="15" hidden="false" customHeight="false" outlineLevel="0" collapsed="false">
      <c r="A79" s="25"/>
      <c r="B79" s="1"/>
      <c r="C79" s="33" t="str">
        <f aca="false">IF(B79="","",IFERROR(INDEX(Catálogo!$C$5:$C$304,MATCH(B79,Catálogo!$A$5:$A$304,0)),"ISBN não cadastrado"))</f>
        <v/>
      </c>
      <c r="D79" s="33" t="str">
        <f aca="false">IF(B79="","",IFERROR(INDEX(Catálogo!$B$5:$B$304,MATCH(B79,Catálogo!$A$5:$A$304,0)),"ISBN não cadastrado"))</f>
        <v/>
      </c>
      <c r="E79" s="24"/>
      <c r="F79" s="21"/>
      <c r="G79" s="1"/>
      <c r="H79" s="1"/>
      <c r="I79" s="28" t="str">
        <f aca="false">IF(B79="","",E79*IFERROR(INDEX(Catálogo!$G$5:$G$304,MATCH(B79,Catálogo!$A$5:$A$304,0)),0))</f>
        <v/>
      </c>
      <c r="J79" s="22" t="str">
        <f aca="false">IF(B79="","",E79*F79)</f>
        <v/>
      </c>
      <c r="K79" s="23" t="str">
        <f aca="false">IF(OR(B79="",I79=0),"",1-J79/I79)</f>
        <v/>
      </c>
      <c r="L79" s="1"/>
    </row>
    <row r="80" customFormat="false" ht="15" hidden="false" customHeight="false" outlineLevel="0" collapsed="false">
      <c r="A80" s="25"/>
      <c r="B80" s="1"/>
      <c r="C80" s="33" t="str">
        <f aca="false">IF(B80="","",IFERROR(INDEX(Catálogo!$C$5:$C$304,MATCH(B80,Catálogo!$A$5:$A$304,0)),"ISBN não cadastrado"))</f>
        <v/>
      </c>
      <c r="D80" s="33" t="str">
        <f aca="false">IF(B80="","",IFERROR(INDEX(Catálogo!$B$5:$B$304,MATCH(B80,Catálogo!$A$5:$A$304,0)),"ISBN não cadastrado"))</f>
        <v/>
      </c>
      <c r="E80" s="24"/>
      <c r="F80" s="21"/>
      <c r="G80" s="1"/>
      <c r="H80" s="1"/>
      <c r="I80" s="28" t="str">
        <f aca="false">IF(B80="","",E80*IFERROR(INDEX(Catálogo!$G$5:$G$304,MATCH(B80,Catálogo!$A$5:$A$304,0)),0))</f>
        <v/>
      </c>
      <c r="J80" s="22" t="str">
        <f aca="false">IF(B80="","",E80*F80)</f>
        <v/>
      </c>
      <c r="K80" s="23" t="str">
        <f aca="false">IF(OR(B80="",I80=0),"",1-J80/I80)</f>
        <v/>
      </c>
      <c r="L80" s="1"/>
    </row>
    <row r="81" customFormat="false" ht="15" hidden="false" customHeight="false" outlineLevel="0" collapsed="false">
      <c r="A81" s="25"/>
      <c r="B81" s="1"/>
      <c r="C81" s="33" t="str">
        <f aca="false">IF(B81="","",IFERROR(INDEX(Catálogo!$C$5:$C$304,MATCH(B81,Catálogo!$A$5:$A$304,0)),"ISBN não cadastrado"))</f>
        <v/>
      </c>
      <c r="D81" s="33" t="str">
        <f aca="false">IF(B81="","",IFERROR(INDEX(Catálogo!$B$5:$B$304,MATCH(B81,Catálogo!$A$5:$A$304,0)),"ISBN não cadastrado"))</f>
        <v/>
      </c>
      <c r="E81" s="24"/>
      <c r="F81" s="21"/>
      <c r="G81" s="1"/>
      <c r="H81" s="1"/>
      <c r="I81" s="28" t="str">
        <f aca="false">IF(B81="","",E81*IFERROR(INDEX(Catálogo!$G$5:$G$304,MATCH(B81,Catálogo!$A$5:$A$304,0)),0))</f>
        <v/>
      </c>
      <c r="J81" s="22" t="str">
        <f aca="false">IF(B81="","",E81*F81)</f>
        <v/>
      </c>
      <c r="K81" s="23" t="str">
        <f aca="false">IF(OR(B81="",I81=0),"",1-J81/I81)</f>
        <v/>
      </c>
      <c r="L81" s="1"/>
    </row>
    <row r="82" customFormat="false" ht="15" hidden="false" customHeight="false" outlineLevel="0" collapsed="false">
      <c r="A82" s="25"/>
      <c r="B82" s="1"/>
      <c r="C82" s="33" t="str">
        <f aca="false">IF(B82="","",IFERROR(INDEX(Catálogo!$C$5:$C$304,MATCH(B82,Catálogo!$A$5:$A$304,0)),"ISBN não cadastrado"))</f>
        <v/>
      </c>
      <c r="D82" s="33" t="str">
        <f aca="false">IF(B82="","",IFERROR(INDEX(Catálogo!$B$5:$B$304,MATCH(B82,Catálogo!$A$5:$A$304,0)),"ISBN não cadastrado"))</f>
        <v/>
      </c>
      <c r="E82" s="24"/>
      <c r="F82" s="21"/>
      <c r="G82" s="1"/>
      <c r="H82" s="1"/>
      <c r="I82" s="28" t="str">
        <f aca="false">IF(B82="","",E82*IFERROR(INDEX(Catálogo!$G$5:$G$304,MATCH(B82,Catálogo!$A$5:$A$304,0)),0))</f>
        <v/>
      </c>
      <c r="J82" s="22" t="str">
        <f aca="false">IF(B82="","",E82*F82)</f>
        <v/>
      </c>
      <c r="K82" s="23" t="str">
        <f aca="false">IF(OR(B82="",I82=0),"",1-J82/I82)</f>
        <v/>
      </c>
      <c r="L82" s="1"/>
    </row>
    <row r="83" customFormat="false" ht="15" hidden="false" customHeight="false" outlineLevel="0" collapsed="false">
      <c r="A83" s="25"/>
      <c r="B83" s="1"/>
      <c r="C83" s="33" t="str">
        <f aca="false">IF(B83="","",IFERROR(INDEX(Catálogo!$C$5:$C$304,MATCH(B83,Catálogo!$A$5:$A$304,0)),"ISBN não cadastrado"))</f>
        <v/>
      </c>
      <c r="D83" s="33" t="str">
        <f aca="false">IF(B83="","",IFERROR(INDEX(Catálogo!$B$5:$B$304,MATCH(B83,Catálogo!$A$5:$A$304,0)),"ISBN não cadastrado"))</f>
        <v/>
      </c>
      <c r="E83" s="24"/>
      <c r="F83" s="21"/>
      <c r="G83" s="1"/>
      <c r="H83" s="1"/>
      <c r="I83" s="28" t="str">
        <f aca="false">IF(B83="","",E83*IFERROR(INDEX(Catálogo!$G$5:$G$304,MATCH(B83,Catálogo!$A$5:$A$304,0)),0))</f>
        <v/>
      </c>
      <c r="J83" s="22" t="str">
        <f aca="false">IF(B83="","",E83*F83)</f>
        <v/>
      </c>
      <c r="K83" s="23" t="str">
        <f aca="false">IF(OR(B83="",I83=0),"",1-J83/I83)</f>
        <v/>
      </c>
      <c r="L83" s="1"/>
    </row>
    <row r="84" customFormat="false" ht="15" hidden="false" customHeight="false" outlineLevel="0" collapsed="false">
      <c r="A84" s="25"/>
      <c r="B84" s="1"/>
      <c r="C84" s="33" t="str">
        <f aca="false">IF(B84="","",IFERROR(INDEX(Catálogo!$C$5:$C$304,MATCH(B84,Catálogo!$A$5:$A$304,0)),"ISBN não cadastrado"))</f>
        <v/>
      </c>
      <c r="D84" s="33" t="str">
        <f aca="false">IF(B84="","",IFERROR(INDEX(Catálogo!$B$5:$B$304,MATCH(B84,Catálogo!$A$5:$A$304,0)),"ISBN não cadastrado"))</f>
        <v/>
      </c>
      <c r="E84" s="24"/>
      <c r="F84" s="21"/>
      <c r="G84" s="1"/>
      <c r="H84" s="1"/>
      <c r="I84" s="28" t="str">
        <f aca="false">IF(B84="","",E84*IFERROR(INDEX(Catálogo!$G$5:$G$304,MATCH(B84,Catálogo!$A$5:$A$304,0)),0))</f>
        <v/>
      </c>
      <c r="J84" s="22" t="str">
        <f aca="false">IF(B84="","",E84*F84)</f>
        <v/>
      </c>
      <c r="K84" s="23" t="str">
        <f aca="false">IF(OR(B84="",I84=0),"",1-J84/I84)</f>
        <v/>
      </c>
      <c r="L84" s="1"/>
    </row>
    <row r="85" customFormat="false" ht="15" hidden="false" customHeight="false" outlineLevel="0" collapsed="false">
      <c r="A85" s="25"/>
      <c r="B85" s="1"/>
      <c r="C85" s="33" t="str">
        <f aca="false">IF(B85="","",IFERROR(INDEX(Catálogo!$C$5:$C$304,MATCH(B85,Catálogo!$A$5:$A$304,0)),"ISBN não cadastrado"))</f>
        <v/>
      </c>
      <c r="D85" s="33" t="str">
        <f aca="false">IF(B85="","",IFERROR(INDEX(Catálogo!$B$5:$B$304,MATCH(B85,Catálogo!$A$5:$A$304,0)),"ISBN não cadastrado"))</f>
        <v/>
      </c>
      <c r="E85" s="24"/>
      <c r="F85" s="21"/>
      <c r="G85" s="1"/>
      <c r="H85" s="1"/>
      <c r="I85" s="28" t="str">
        <f aca="false">IF(B85="","",E85*IFERROR(INDEX(Catálogo!$G$5:$G$304,MATCH(B85,Catálogo!$A$5:$A$304,0)),0))</f>
        <v/>
      </c>
      <c r="J85" s="22" t="str">
        <f aca="false">IF(B85="","",E85*F85)</f>
        <v/>
      </c>
      <c r="K85" s="23" t="str">
        <f aca="false">IF(OR(B85="",I85=0),"",1-J85/I85)</f>
        <v/>
      </c>
      <c r="L85" s="1"/>
    </row>
    <row r="86" customFormat="false" ht="15" hidden="false" customHeight="false" outlineLevel="0" collapsed="false">
      <c r="A86" s="25"/>
      <c r="B86" s="1"/>
      <c r="C86" s="33" t="str">
        <f aca="false">IF(B86="","",IFERROR(INDEX(Catálogo!$C$5:$C$304,MATCH(B86,Catálogo!$A$5:$A$304,0)),"ISBN não cadastrado"))</f>
        <v/>
      </c>
      <c r="D86" s="33" t="str">
        <f aca="false">IF(B86="","",IFERROR(INDEX(Catálogo!$B$5:$B$304,MATCH(B86,Catálogo!$A$5:$A$304,0)),"ISBN não cadastrado"))</f>
        <v/>
      </c>
      <c r="E86" s="24"/>
      <c r="F86" s="21"/>
      <c r="G86" s="1"/>
      <c r="H86" s="1"/>
      <c r="I86" s="28" t="str">
        <f aca="false">IF(B86="","",E86*IFERROR(INDEX(Catálogo!$G$5:$G$304,MATCH(B86,Catálogo!$A$5:$A$304,0)),0))</f>
        <v/>
      </c>
      <c r="J86" s="22" t="str">
        <f aca="false">IF(B86="","",E86*F86)</f>
        <v/>
      </c>
      <c r="K86" s="23" t="str">
        <f aca="false">IF(OR(B86="",I86=0),"",1-J86/I86)</f>
        <v/>
      </c>
      <c r="L86" s="1"/>
    </row>
    <row r="87" customFormat="false" ht="15" hidden="false" customHeight="false" outlineLevel="0" collapsed="false">
      <c r="A87" s="25"/>
      <c r="B87" s="1"/>
      <c r="C87" s="33" t="str">
        <f aca="false">IF(B87="","",IFERROR(INDEX(Catálogo!$C$5:$C$304,MATCH(B87,Catálogo!$A$5:$A$304,0)),"ISBN não cadastrado"))</f>
        <v/>
      </c>
      <c r="D87" s="33" t="str">
        <f aca="false">IF(B87="","",IFERROR(INDEX(Catálogo!$B$5:$B$304,MATCH(B87,Catálogo!$A$5:$A$304,0)),"ISBN não cadastrado"))</f>
        <v/>
      </c>
      <c r="E87" s="24"/>
      <c r="F87" s="21"/>
      <c r="G87" s="1"/>
      <c r="H87" s="1"/>
      <c r="I87" s="28" t="str">
        <f aca="false">IF(B87="","",E87*IFERROR(INDEX(Catálogo!$G$5:$G$304,MATCH(B87,Catálogo!$A$5:$A$304,0)),0))</f>
        <v/>
      </c>
      <c r="J87" s="22" t="str">
        <f aca="false">IF(B87="","",E87*F87)</f>
        <v/>
      </c>
      <c r="K87" s="23" t="str">
        <f aca="false">IF(OR(B87="",I87=0),"",1-J87/I87)</f>
        <v/>
      </c>
      <c r="L87" s="1"/>
    </row>
    <row r="88" customFormat="false" ht="15" hidden="false" customHeight="false" outlineLevel="0" collapsed="false">
      <c r="A88" s="25"/>
      <c r="B88" s="1"/>
      <c r="C88" s="33" t="str">
        <f aca="false">IF(B88="","",IFERROR(INDEX(Catálogo!$C$5:$C$304,MATCH(B88,Catálogo!$A$5:$A$304,0)),"ISBN não cadastrado"))</f>
        <v/>
      </c>
      <c r="D88" s="33" t="str">
        <f aca="false">IF(B88="","",IFERROR(INDEX(Catálogo!$B$5:$B$304,MATCH(B88,Catálogo!$A$5:$A$304,0)),"ISBN não cadastrado"))</f>
        <v/>
      </c>
      <c r="E88" s="24"/>
      <c r="F88" s="21"/>
      <c r="G88" s="1"/>
      <c r="H88" s="1"/>
      <c r="I88" s="28" t="str">
        <f aca="false">IF(B88="","",E88*IFERROR(INDEX(Catálogo!$G$5:$G$304,MATCH(B88,Catálogo!$A$5:$A$304,0)),0))</f>
        <v/>
      </c>
      <c r="J88" s="22" t="str">
        <f aca="false">IF(B88="","",E88*F88)</f>
        <v/>
      </c>
      <c r="K88" s="23" t="str">
        <f aca="false">IF(OR(B88="",I88=0),"",1-J88/I88)</f>
        <v/>
      </c>
      <c r="L88" s="1"/>
    </row>
    <row r="89" customFormat="false" ht="15" hidden="false" customHeight="false" outlineLevel="0" collapsed="false">
      <c r="A89" s="25"/>
      <c r="B89" s="1"/>
      <c r="C89" s="33" t="str">
        <f aca="false">IF(B89="","",IFERROR(INDEX(Catálogo!$C$5:$C$304,MATCH(B89,Catálogo!$A$5:$A$304,0)),"ISBN não cadastrado"))</f>
        <v/>
      </c>
      <c r="D89" s="33" t="str">
        <f aca="false">IF(B89="","",IFERROR(INDEX(Catálogo!$B$5:$B$304,MATCH(B89,Catálogo!$A$5:$A$304,0)),"ISBN não cadastrado"))</f>
        <v/>
      </c>
      <c r="E89" s="24"/>
      <c r="F89" s="21"/>
      <c r="G89" s="1"/>
      <c r="H89" s="1"/>
      <c r="I89" s="28" t="str">
        <f aca="false">IF(B89="","",E89*IFERROR(INDEX(Catálogo!$G$5:$G$304,MATCH(B89,Catálogo!$A$5:$A$304,0)),0))</f>
        <v/>
      </c>
      <c r="J89" s="22" t="str">
        <f aca="false">IF(B89="","",E89*F89)</f>
        <v/>
      </c>
      <c r="K89" s="23" t="str">
        <f aca="false">IF(OR(B89="",I89=0),"",1-J89/I89)</f>
        <v/>
      </c>
      <c r="L89" s="1"/>
    </row>
    <row r="90" customFormat="false" ht="15" hidden="false" customHeight="false" outlineLevel="0" collapsed="false">
      <c r="A90" s="25"/>
      <c r="B90" s="1"/>
      <c r="C90" s="33" t="str">
        <f aca="false">IF(B90="","",IFERROR(INDEX(Catálogo!$C$5:$C$304,MATCH(B90,Catálogo!$A$5:$A$304,0)),"ISBN não cadastrado"))</f>
        <v/>
      </c>
      <c r="D90" s="33" t="str">
        <f aca="false">IF(B90="","",IFERROR(INDEX(Catálogo!$B$5:$B$304,MATCH(B90,Catálogo!$A$5:$A$304,0)),"ISBN não cadastrado"))</f>
        <v/>
      </c>
      <c r="E90" s="24"/>
      <c r="F90" s="21"/>
      <c r="G90" s="1"/>
      <c r="H90" s="1"/>
      <c r="I90" s="28" t="str">
        <f aca="false">IF(B90="","",E90*IFERROR(INDEX(Catálogo!$G$5:$G$304,MATCH(B90,Catálogo!$A$5:$A$304,0)),0))</f>
        <v/>
      </c>
      <c r="J90" s="22" t="str">
        <f aca="false">IF(B90="","",E90*F90)</f>
        <v/>
      </c>
      <c r="K90" s="23" t="str">
        <f aca="false">IF(OR(B90="",I90=0),"",1-J90/I90)</f>
        <v/>
      </c>
      <c r="L90" s="1"/>
    </row>
    <row r="91" customFormat="false" ht="15" hidden="false" customHeight="false" outlineLevel="0" collapsed="false">
      <c r="A91" s="25"/>
      <c r="B91" s="1"/>
      <c r="C91" s="33" t="str">
        <f aca="false">IF(B91="","",IFERROR(INDEX(Catálogo!$C$5:$C$304,MATCH(B91,Catálogo!$A$5:$A$304,0)),"ISBN não cadastrado"))</f>
        <v/>
      </c>
      <c r="D91" s="33" t="str">
        <f aca="false">IF(B91="","",IFERROR(INDEX(Catálogo!$B$5:$B$304,MATCH(B91,Catálogo!$A$5:$A$304,0)),"ISBN não cadastrado"))</f>
        <v/>
      </c>
      <c r="E91" s="24"/>
      <c r="F91" s="21"/>
      <c r="G91" s="1"/>
      <c r="H91" s="1"/>
      <c r="I91" s="28" t="str">
        <f aca="false">IF(B91="","",E91*IFERROR(INDEX(Catálogo!$G$5:$G$304,MATCH(B91,Catálogo!$A$5:$A$304,0)),0))</f>
        <v/>
      </c>
      <c r="J91" s="22" t="str">
        <f aca="false">IF(B91="","",E91*F91)</f>
        <v/>
      </c>
      <c r="K91" s="23" t="str">
        <f aca="false">IF(OR(B91="",I91=0),"",1-J91/I91)</f>
        <v/>
      </c>
      <c r="L91" s="1"/>
    </row>
    <row r="92" customFormat="false" ht="15" hidden="false" customHeight="false" outlineLevel="0" collapsed="false">
      <c r="A92" s="25"/>
      <c r="B92" s="1"/>
      <c r="C92" s="33" t="str">
        <f aca="false">IF(B92="","",IFERROR(INDEX(Catálogo!$C$5:$C$304,MATCH(B92,Catálogo!$A$5:$A$304,0)),"ISBN não cadastrado"))</f>
        <v/>
      </c>
      <c r="D92" s="33" t="str">
        <f aca="false">IF(B92="","",IFERROR(INDEX(Catálogo!$B$5:$B$304,MATCH(B92,Catálogo!$A$5:$A$304,0)),"ISBN não cadastrado"))</f>
        <v/>
      </c>
      <c r="E92" s="24"/>
      <c r="F92" s="21"/>
      <c r="G92" s="1"/>
      <c r="H92" s="1"/>
      <c r="I92" s="28" t="str">
        <f aca="false">IF(B92="","",E92*IFERROR(INDEX(Catálogo!$G$5:$G$304,MATCH(B92,Catálogo!$A$5:$A$304,0)),0))</f>
        <v/>
      </c>
      <c r="J92" s="22" t="str">
        <f aca="false">IF(B92="","",E92*F92)</f>
        <v/>
      </c>
      <c r="K92" s="23" t="str">
        <f aca="false">IF(OR(B92="",I92=0),"",1-J92/I92)</f>
        <v/>
      </c>
      <c r="L92" s="1"/>
    </row>
    <row r="93" customFormat="false" ht="15" hidden="false" customHeight="false" outlineLevel="0" collapsed="false">
      <c r="A93" s="25"/>
      <c r="B93" s="1"/>
      <c r="C93" s="33" t="str">
        <f aca="false">IF(B93="","",IFERROR(INDEX(Catálogo!$C$5:$C$304,MATCH(B93,Catálogo!$A$5:$A$304,0)),"ISBN não cadastrado"))</f>
        <v/>
      </c>
      <c r="D93" s="33" t="str">
        <f aca="false">IF(B93="","",IFERROR(INDEX(Catálogo!$B$5:$B$304,MATCH(B93,Catálogo!$A$5:$A$304,0)),"ISBN não cadastrado"))</f>
        <v/>
      </c>
      <c r="E93" s="24"/>
      <c r="F93" s="21"/>
      <c r="G93" s="1"/>
      <c r="H93" s="1"/>
      <c r="I93" s="28" t="str">
        <f aca="false">IF(B93="","",E93*IFERROR(INDEX(Catálogo!$G$5:$G$304,MATCH(B93,Catálogo!$A$5:$A$304,0)),0))</f>
        <v/>
      </c>
      <c r="J93" s="22" t="str">
        <f aca="false">IF(B93="","",E93*F93)</f>
        <v/>
      </c>
      <c r="K93" s="23" t="str">
        <f aca="false">IF(OR(B93="",I93=0),"",1-J93/I93)</f>
        <v/>
      </c>
      <c r="L93" s="1"/>
    </row>
    <row r="94" customFormat="false" ht="15" hidden="false" customHeight="false" outlineLevel="0" collapsed="false">
      <c r="A94" s="25"/>
      <c r="B94" s="1"/>
      <c r="C94" s="33" t="str">
        <f aca="false">IF(B94="","",IFERROR(INDEX(Catálogo!$C$5:$C$304,MATCH(B94,Catálogo!$A$5:$A$304,0)),"ISBN não cadastrado"))</f>
        <v/>
      </c>
      <c r="D94" s="33" t="str">
        <f aca="false">IF(B94="","",IFERROR(INDEX(Catálogo!$B$5:$B$304,MATCH(B94,Catálogo!$A$5:$A$304,0)),"ISBN não cadastrado"))</f>
        <v/>
      </c>
      <c r="E94" s="24"/>
      <c r="F94" s="21"/>
      <c r="G94" s="1"/>
      <c r="H94" s="1"/>
      <c r="I94" s="28" t="str">
        <f aca="false">IF(B94="","",E94*IFERROR(INDEX(Catálogo!$G$5:$G$304,MATCH(B94,Catálogo!$A$5:$A$304,0)),0))</f>
        <v/>
      </c>
      <c r="J94" s="22" t="str">
        <f aca="false">IF(B94="","",E94*F94)</f>
        <v/>
      </c>
      <c r="K94" s="23" t="str">
        <f aca="false">IF(OR(B94="",I94=0),"",1-J94/I94)</f>
        <v/>
      </c>
      <c r="L94" s="1"/>
    </row>
    <row r="95" customFormat="false" ht="15" hidden="false" customHeight="false" outlineLevel="0" collapsed="false">
      <c r="A95" s="25"/>
      <c r="B95" s="1"/>
      <c r="C95" s="33" t="str">
        <f aca="false">IF(B95="","",IFERROR(INDEX(Catálogo!$C$5:$C$304,MATCH(B95,Catálogo!$A$5:$A$304,0)),"ISBN não cadastrado"))</f>
        <v/>
      </c>
      <c r="D95" s="33" t="str">
        <f aca="false">IF(B95="","",IFERROR(INDEX(Catálogo!$B$5:$B$304,MATCH(B95,Catálogo!$A$5:$A$304,0)),"ISBN não cadastrado"))</f>
        <v/>
      </c>
      <c r="E95" s="24"/>
      <c r="F95" s="21"/>
      <c r="G95" s="1"/>
      <c r="H95" s="1"/>
      <c r="I95" s="28" t="str">
        <f aca="false">IF(B95="","",E95*IFERROR(INDEX(Catálogo!$G$5:$G$304,MATCH(B95,Catálogo!$A$5:$A$304,0)),0))</f>
        <v/>
      </c>
      <c r="J95" s="22" t="str">
        <f aca="false">IF(B95="","",E95*F95)</f>
        <v/>
      </c>
      <c r="K95" s="23" t="str">
        <f aca="false">IF(OR(B95="",I95=0),"",1-J95/I95)</f>
        <v/>
      </c>
      <c r="L95" s="1"/>
    </row>
    <row r="96" customFormat="false" ht="15" hidden="false" customHeight="false" outlineLevel="0" collapsed="false">
      <c r="A96" s="25"/>
      <c r="B96" s="1"/>
      <c r="C96" s="33" t="str">
        <f aca="false">IF(B96="","",IFERROR(INDEX(Catálogo!$C$5:$C$304,MATCH(B96,Catálogo!$A$5:$A$304,0)),"ISBN não cadastrado"))</f>
        <v/>
      </c>
      <c r="D96" s="33" t="str">
        <f aca="false">IF(B96="","",IFERROR(INDEX(Catálogo!$B$5:$B$304,MATCH(B96,Catálogo!$A$5:$A$304,0)),"ISBN não cadastrado"))</f>
        <v/>
      </c>
      <c r="E96" s="24"/>
      <c r="F96" s="21"/>
      <c r="G96" s="1"/>
      <c r="H96" s="1"/>
      <c r="I96" s="28" t="str">
        <f aca="false">IF(B96="","",E96*IFERROR(INDEX(Catálogo!$G$5:$G$304,MATCH(B96,Catálogo!$A$5:$A$304,0)),0))</f>
        <v/>
      </c>
      <c r="J96" s="22" t="str">
        <f aca="false">IF(B96="","",E96*F96)</f>
        <v/>
      </c>
      <c r="K96" s="23" t="str">
        <f aca="false">IF(OR(B96="",I96=0),"",1-J96/I96)</f>
        <v/>
      </c>
      <c r="L96" s="1"/>
    </row>
    <row r="97" customFormat="false" ht="15" hidden="false" customHeight="false" outlineLevel="0" collapsed="false">
      <c r="A97" s="25"/>
      <c r="B97" s="1"/>
      <c r="C97" s="33" t="str">
        <f aca="false">IF(B97="","",IFERROR(INDEX(Catálogo!$C$5:$C$304,MATCH(B97,Catálogo!$A$5:$A$304,0)),"ISBN não cadastrado"))</f>
        <v/>
      </c>
      <c r="D97" s="33" t="str">
        <f aca="false">IF(B97="","",IFERROR(INDEX(Catálogo!$B$5:$B$304,MATCH(B97,Catálogo!$A$5:$A$304,0)),"ISBN não cadastrado"))</f>
        <v/>
      </c>
      <c r="E97" s="24"/>
      <c r="F97" s="21"/>
      <c r="G97" s="1"/>
      <c r="H97" s="1"/>
      <c r="I97" s="28" t="str">
        <f aca="false">IF(B97="","",E97*IFERROR(INDEX(Catálogo!$G$5:$G$304,MATCH(B97,Catálogo!$A$5:$A$304,0)),0))</f>
        <v/>
      </c>
      <c r="J97" s="22" t="str">
        <f aca="false">IF(B97="","",E97*F97)</f>
        <v/>
      </c>
      <c r="K97" s="23" t="str">
        <f aca="false">IF(OR(B97="",I97=0),"",1-J97/I97)</f>
        <v/>
      </c>
      <c r="L97" s="1"/>
    </row>
    <row r="98" customFormat="false" ht="15" hidden="false" customHeight="false" outlineLevel="0" collapsed="false">
      <c r="A98" s="25"/>
      <c r="B98" s="1"/>
      <c r="C98" s="33" t="str">
        <f aca="false">IF(B98="","",IFERROR(INDEX(Catálogo!$C$5:$C$304,MATCH(B98,Catálogo!$A$5:$A$304,0)),"ISBN não cadastrado"))</f>
        <v/>
      </c>
      <c r="D98" s="33" t="str">
        <f aca="false">IF(B98="","",IFERROR(INDEX(Catálogo!$B$5:$B$304,MATCH(B98,Catálogo!$A$5:$A$304,0)),"ISBN não cadastrado"))</f>
        <v/>
      </c>
      <c r="E98" s="24"/>
      <c r="F98" s="21"/>
      <c r="G98" s="1"/>
      <c r="H98" s="1"/>
      <c r="I98" s="28" t="str">
        <f aca="false">IF(B98="","",E98*IFERROR(INDEX(Catálogo!$G$5:$G$304,MATCH(B98,Catálogo!$A$5:$A$304,0)),0))</f>
        <v/>
      </c>
      <c r="J98" s="22" t="str">
        <f aca="false">IF(B98="","",E98*F98)</f>
        <v/>
      </c>
      <c r="K98" s="23" t="str">
        <f aca="false">IF(OR(B98="",I98=0),"",1-J98/I98)</f>
        <v/>
      </c>
      <c r="L98" s="1"/>
    </row>
    <row r="99" customFormat="false" ht="15" hidden="false" customHeight="false" outlineLevel="0" collapsed="false">
      <c r="A99" s="25"/>
      <c r="B99" s="1"/>
      <c r="C99" s="33" t="str">
        <f aca="false">IF(B99="","",IFERROR(INDEX(Catálogo!$C$5:$C$304,MATCH(B99,Catálogo!$A$5:$A$304,0)),"ISBN não cadastrado"))</f>
        <v/>
      </c>
      <c r="D99" s="33" t="str">
        <f aca="false">IF(B99="","",IFERROR(INDEX(Catálogo!$B$5:$B$304,MATCH(B99,Catálogo!$A$5:$A$304,0)),"ISBN não cadastrado"))</f>
        <v/>
      </c>
      <c r="E99" s="24"/>
      <c r="F99" s="21"/>
      <c r="G99" s="1"/>
      <c r="H99" s="1"/>
      <c r="I99" s="28" t="str">
        <f aca="false">IF(B99="","",E99*IFERROR(INDEX(Catálogo!$G$5:$G$304,MATCH(B99,Catálogo!$A$5:$A$304,0)),0))</f>
        <v/>
      </c>
      <c r="J99" s="22" t="str">
        <f aca="false">IF(B99="","",E99*F99)</f>
        <v/>
      </c>
      <c r="K99" s="23" t="str">
        <f aca="false">IF(OR(B99="",I99=0),"",1-J99/I99)</f>
        <v/>
      </c>
      <c r="L99" s="1"/>
    </row>
    <row r="100" customFormat="false" ht="15" hidden="false" customHeight="false" outlineLevel="0" collapsed="false">
      <c r="A100" s="25"/>
      <c r="B100" s="1"/>
      <c r="C100" s="33" t="str">
        <f aca="false">IF(B100="","",IFERROR(INDEX(Catálogo!$C$5:$C$304,MATCH(B100,Catálogo!$A$5:$A$304,0)),"ISBN não cadastrado"))</f>
        <v/>
      </c>
      <c r="D100" s="33" t="str">
        <f aca="false">IF(B100="","",IFERROR(INDEX(Catálogo!$B$5:$B$304,MATCH(B100,Catálogo!$A$5:$A$304,0)),"ISBN não cadastrado"))</f>
        <v/>
      </c>
      <c r="E100" s="24"/>
      <c r="F100" s="21"/>
      <c r="G100" s="1"/>
      <c r="H100" s="1"/>
      <c r="I100" s="28" t="str">
        <f aca="false">IF(B100="","",E100*IFERROR(INDEX(Catálogo!$G$5:$G$304,MATCH(B100,Catálogo!$A$5:$A$304,0)),0))</f>
        <v/>
      </c>
      <c r="J100" s="22" t="str">
        <f aca="false">IF(B100="","",E100*F100)</f>
        <v/>
      </c>
      <c r="K100" s="23" t="str">
        <f aca="false">IF(OR(B100="",I100=0),"",1-J100/I100)</f>
        <v/>
      </c>
      <c r="L100" s="1"/>
    </row>
    <row r="101" customFormat="false" ht="15" hidden="false" customHeight="false" outlineLevel="0" collapsed="false">
      <c r="A101" s="25"/>
      <c r="B101" s="1"/>
      <c r="C101" s="33" t="str">
        <f aca="false">IF(B101="","",IFERROR(INDEX(Catálogo!$C$5:$C$304,MATCH(B101,Catálogo!$A$5:$A$304,0)),"ISBN não cadastrado"))</f>
        <v/>
      </c>
      <c r="D101" s="33" t="str">
        <f aca="false">IF(B101="","",IFERROR(INDEX(Catálogo!$B$5:$B$304,MATCH(B101,Catálogo!$A$5:$A$304,0)),"ISBN não cadastrado"))</f>
        <v/>
      </c>
      <c r="E101" s="24"/>
      <c r="F101" s="21"/>
      <c r="G101" s="1"/>
      <c r="H101" s="1"/>
      <c r="I101" s="28" t="str">
        <f aca="false">IF(B101="","",E101*IFERROR(INDEX(Catálogo!$G$5:$G$304,MATCH(B101,Catálogo!$A$5:$A$304,0)),0))</f>
        <v/>
      </c>
      <c r="J101" s="22" t="str">
        <f aca="false">IF(B101="","",E101*F101)</f>
        <v/>
      </c>
      <c r="K101" s="23" t="str">
        <f aca="false">IF(OR(B101="",I101=0),"",1-J101/I101)</f>
        <v/>
      </c>
      <c r="L101" s="1"/>
    </row>
    <row r="102" customFormat="false" ht="15" hidden="false" customHeight="false" outlineLevel="0" collapsed="false">
      <c r="A102" s="25"/>
      <c r="B102" s="1"/>
      <c r="C102" s="33" t="str">
        <f aca="false">IF(B102="","",IFERROR(INDEX(Catálogo!$C$5:$C$304,MATCH(B102,Catálogo!$A$5:$A$304,0)),"ISBN não cadastrado"))</f>
        <v/>
      </c>
      <c r="D102" s="33" t="str">
        <f aca="false">IF(B102="","",IFERROR(INDEX(Catálogo!$B$5:$B$304,MATCH(B102,Catálogo!$A$5:$A$304,0)),"ISBN não cadastrado"))</f>
        <v/>
      </c>
      <c r="E102" s="24"/>
      <c r="F102" s="21"/>
      <c r="G102" s="1"/>
      <c r="H102" s="1"/>
      <c r="I102" s="28" t="str">
        <f aca="false">IF(B102="","",E102*IFERROR(INDEX(Catálogo!$G$5:$G$304,MATCH(B102,Catálogo!$A$5:$A$304,0)),0))</f>
        <v/>
      </c>
      <c r="J102" s="22" t="str">
        <f aca="false">IF(B102="","",E102*F102)</f>
        <v/>
      </c>
      <c r="K102" s="23" t="str">
        <f aca="false">IF(OR(B102="",I102=0),"",1-J102/I102)</f>
        <v/>
      </c>
      <c r="L102" s="1"/>
    </row>
    <row r="103" customFormat="false" ht="15" hidden="false" customHeight="false" outlineLevel="0" collapsed="false">
      <c r="A103" s="25"/>
      <c r="B103" s="1"/>
      <c r="C103" s="33" t="str">
        <f aca="false">IF(B103="","",IFERROR(INDEX(Catálogo!$C$5:$C$304,MATCH(B103,Catálogo!$A$5:$A$304,0)),"ISBN não cadastrado"))</f>
        <v/>
      </c>
      <c r="D103" s="33" t="str">
        <f aca="false">IF(B103="","",IFERROR(INDEX(Catálogo!$B$5:$B$304,MATCH(B103,Catálogo!$A$5:$A$304,0)),"ISBN não cadastrado"))</f>
        <v/>
      </c>
      <c r="E103" s="24"/>
      <c r="F103" s="21"/>
      <c r="G103" s="1"/>
      <c r="H103" s="1"/>
      <c r="I103" s="28" t="str">
        <f aca="false">IF(B103="","",E103*IFERROR(INDEX(Catálogo!$G$5:$G$304,MATCH(B103,Catálogo!$A$5:$A$304,0)),0))</f>
        <v/>
      </c>
      <c r="J103" s="22" t="str">
        <f aca="false">IF(B103="","",E103*F103)</f>
        <v/>
      </c>
      <c r="K103" s="23" t="str">
        <f aca="false">IF(OR(B103="",I103=0),"",1-J103/I103)</f>
        <v/>
      </c>
      <c r="L103" s="1"/>
    </row>
    <row r="104" customFormat="false" ht="15" hidden="false" customHeight="false" outlineLevel="0" collapsed="false">
      <c r="A104" s="25"/>
      <c r="B104" s="1"/>
      <c r="C104" s="33" t="str">
        <f aca="false">IF(B104="","",IFERROR(INDEX(Catálogo!$C$5:$C$304,MATCH(B104,Catálogo!$A$5:$A$304,0)),"ISBN não cadastrado"))</f>
        <v/>
      </c>
      <c r="D104" s="33" t="str">
        <f aca="false">IF(B104="","",IFERROR(INDEX(Catálogo!$B$5:$B$304,MATCH(B104,Catálogo!$A$5:$A$304,0)),"ISBN não cadastrado"))</f>
        <v/>
      </c>
      <c r="E104" s="24"/>
      <c r="F104" s="21"/>
      <c r="G104" s="1"/>
      <c r="H104" s="1"/>
      <c r="I104" s="28" t="str">
        <f aca="false">IF(B104="","",E104*IFERROR(INDEX(Catálogo!$G$5:$G$304,MATCH(B104,Catálogo!$A$5:$A$304,0)),0))</f>
        <v/>
      </c>
      <c r="J104" s="22" t="str">
        <f aca="false">IF(B104="","",E104*F104)</f>
        <v/>
      </c>
      <c r="K104" s="23" t="str">
        <f aca="false">IF(OR(B104="",I104=0),"",1-J104/I104)</f>
        <v/>
      </c>
      <c r="L104" s="1"/>
    </row>
    <row r="105" customFormat="false" ht="15" hidden="false" customHeight="false" outlineLevel="0" collapsed="false">
      <c r="A105" s="25"/>
      <c r="B105" s="1"/>
      <c r="C105" s="33" t="str">
        <f aca="false">IF(B105="","",IFERROR(INDEX(Catálogo!$C$5:$C$304,MATCH(B105,Catálogo!$A$5:$A$304,0)),"ISBN não cadastrado"))</f>
        <v/>
      </c>
      <c r="D105" s="33" t="str">
        <f aca="false">IF(B105="","",IFERROR(INDEX(Catálogo!$B$5:$B$304,MATCH(B105,Catálogo!$A$5:$A$304,0)),"ISBN não cadastrado"))</f>
        <v/>
      </c>
      <c r="E105" s="24"/>
      <c r="F105" s="21"/>
      <c r="G105" s="1"/>
      <c r="H105" s="1"/>
      <c r="I105" s="28" t="str">
        <f aca="false">IF(B105="","",E105*IFERROR(INDEX(Catálogo!$G$5:$G$304,MATCH(B105,Catálogo!$A$5:$A$304,0)),0))</f>
        <v/>
      </c>
      <c r="J105" s="22" t="str">
        <f aca="false">IF(B105="","",E105*F105)</f>
        <v/>
      </c>
      <c r="K105" s="23" t="str">
        <f aca="false">IF(OR(B105="",I105=0),"",1-J105/I105)</f>
        <v/>
      </c>
      <c r="L105" s="1"/>
    </row>
    <row r="106" customFormat="false" ht="15" hidden="false" customHeight="false" outlineLevel="0" collapsed="false">
      <c r="A106" s="25"/>
      <c r="B106" s="1"/>
      <c r="C106" s="33" t="str">
        <f aca="false">IF(B106="","",IFERROR(INDEX(Catálogo!$C$5:$C$304,MATCH(B106,Catálogo!$A$5:$A$304,0)),"ISBN não cadastrado"))</f>
        <v/>
      </c>
      <c r="D106" s="33" t="str">
        <f aca="false">IF(B106="","",IFERROR(INDEX(Catálogo!$B$5:$B$304,MATCH(B106,Catálogo!$A$5:$A$304,0)),"ISBN não cadastrado"))</f>
        <v/>
      </c>
      <c r="E106" s="24"/>
      <c r="F106" s="21"/>
      <c r="G106" s="1"/>
      <c r="H106" s="1"/>
      <c r="I106" s="28" t="str">
        <f aca="false">IF(B106="","",E106*IFERROR(INDEX(Catálogo!$G$5:$G$304,MATCH(B106,Catálogo!$A$5:$A$304,0)),0))</f>
        <v/>
      </c>
      <c r="J106" s="22" t="str">
        <f aca="false">IF(B106="","",E106*F106)</f>
        <v/>
      </c>
      <c r="K106" s="23" t="str">
        <f aca="false">IF(OR(B106="",I106=0),"",1-J106/I106)</f>
        <v/>
      </c>
      <c r="L106" s="1"/>
    </row>
    <row r="107" customFormat="false" ht="15" hidden="false" customHeight="false" outlineLevel="0" collapsed="false">
      <c r="A107" s="25"/>
      <c r="B107" s="1"/>
      <c r="C107" s="33" t="str">
        <f aca="false">IF(B107="","",IFERROR(INDEX(Catálogo!$C$5:$C$304,MATCH(B107,Catálogo!$A$5:$A$304,0)),"ISBN não cadastrado"))</f>
        <v/>
      </c>
      <c r="D107" s="33" t="str">
        <f aca="false">IF(B107="","",IFERROR(INDEX(Catálogo!$B$5:$B$304,MATCH(B107,Catálogo!$A$5:$A$304,0)),"ISBN não cadastrado"))</f>
        <v/>
      </c>
      <c r="E107" s="24"/>
      <c r="F107" s="21"/>
      <c r="G107" s="1"/>
      <c r="H107" s="1"/>
      <c r="I107" s="28" t="str">
        <f aca="false">IF(B107="","",E107*IFERROR(INDEX(Catálogo!$G$5:$G$304,MATCH(B107,Catálogo!$A$5:$A$304,0)),0))</f>
        <v/>
      </c>
      <c r="J107" s="22" t="str">
        <f aca="false">IF(B107="","",E107*F107)</f>
        <v/>
      </c>
      <c r="K107" s="23" t="str">
        <f aca="false">IF(OR(B107="",I107=0),"",1-J107/I107)</f>
        <v/>
      </c>
      <c r="L107" s="1"/>
    </row>
    <row r="108" customFormat="false" ht="15" hidden="false" customHeight="false" outlineLevel="0" collapsed="false">
      <c r="A108" s="25"/>
      <c r="B108" s="1"/>
      <c r="C108" s="33" t="str">
        <f aca="false">IF(B108="","",IFERROR(INDEX(Catálogo!$C$5:$C$304,MATCH(B108,Catálogo!$A$5:$A$304,0)),"ISBN não cadastrado"))</f>
        <v/>
      </c>
      <c r="D108" s="33" t="str">
        <f aca="false">IF(B108="","",IFERROR(INDEX(Catálogo!$B$5:$B$304,MATCH(B108,Catálogo!$A$5:$A$304,0)),"ISBN não cadastrado"))</f>
        <v/>
      </c>
      <c r="E108" s="24"/>
      <c r="F108" s="21"/>
      <c r="G108" s="1"/>
      <c r="H108" s="1"/>
      <c r="I108" s="28" t="str">
        <f aca="false">IF(B108="","",E108*IFERROR(INDEX(Catálogo!$G$5:$G$304,MATCH(B108,Catálogo!$A$5:$A$304,0)),0))</f>
        <v/>
      </c>
      <c r="J108" s="22" t="str">
        <f aca="false">IF(B108="","",E108*F108)</f>
        <v/>
      </c>
      <c r="K108" s="23" t="str">
        <f aca="false">IF(OR(B108="",I108=0),"",1-J108/I108)</f>
        <v/>
      </c>
      <c r="L108" s="1"/>
    </row>
    <row r="109" customFormat="false" ht="15" hidden="false" customHeight="false" outlineLevel="0" collapsed="false">
      <c r="A109" s="25"/>
      <c r="B109" s="1"/>
      <c r="C109" s="33" t="str">
        <f aca="false">IF(B109="","",IFERROR(INDEX(Catálogo!$C$5:$C$304,MATCH(B109,Catálogo!$A$5:$A$304,0)),"ISBN não cadastrado"))</f>
        <v/>
      </c>
      <c r="D109" s="33" t="str">
        <f aca="false">IF(B109="","",IFERROR(INDEX(Catálogo!$B$5:$B$304,MATCH(B109,Catálogo!$A$5:$A$304,0)),"ISBN não cadastrado"))</f>
        <v/>
      </c>
      <c r="E109" s="24"/>
      <c r="F109" s="21"/>
      <c r="G109" s="1"/>
      <c r="H109" s="1"/>
      <c r="I109" s="28" t="str">
        <f aca="false">IF(B109="","",E109*IFERROR(INDEX(Catálogo!$G$5:$G$304,MATCH(B109,Catálogo!$A$5:$A$304,0)),0))</f>
        <v/>
      </c>
      <c r="J109" s="22" t="str">
        <f aca="false">IF(B109="","",E109*F109)</f>
        <v/>
      </c>
      <c r="K109" s="23" t="str">
        <f aca="false">IF(OR(B109="",I109=0),"",1-J109/I109)</f>
        <v/>
      </c>
      <c r="L109" s="1"/>
    </row>
    <row r="110" customFormat="false" ht="15" hidden="false" customHeight="false" outlineLevel="0" collapsed="false">
      <c r="A110" s="25"/>
      <c r="B110" s="1"/>
      <c r="C110" s="33" t="str">
        <f aca="false">IF(B110="","",IFERROR(INDEX(Catálogo!$C$5:$C$304,MATCH(B110,Catálogo!$A$5:$A$304,0)),"ISBN não cadastrado"))</f>
        <v/>
      </c>
      <c r="D110" s="33" t="str">
        <f aca="false">IF(B110="","",IFERROR(INDEX(Catálogo!$B$5:$B$304,MATCH(B110,Catálogo!$A$5:$A$304,0)),"ISBN não cadastrado"))</f>
        <v/>
      </c>
      <c r="E110" s="24"/>
      <c r="F110" s="21"/>
      <c r="G110" s="1"/>
      <c r="H110" s="1"/>
      <c r="I110" s="28" t="str">
        <f aca="false">IF(B110="","",E110*IFERROR(INDEX(Catálogo!$G$5:$G$304,MATCH(B110,Catálogo!$A$5:$A$304,0)),0))</f>
        <v/>
      </c>
      <c r="J110" s="22" t="str">
        <f aca="false">IF(B110="","",E110*F110)</f>
        <v/>
      </c>
      <c r="K110" s="23" t="str">
        <f aca="false">IF(OR(B110="",I110=0),"",1-J110/I110)</f>
        <v/>
      </c>
      <c r="L110" s="1"/>
    </row>
    <row r="111" customFormat="false" ht="15" hidden="false" customHeight="false" outlineLevel="0" collapsed="false">
      <c r="A111" s="25"/>
      <c r="B111" s="1"/>
      <c r="C111" s="33" t="str">
        <f aca="false">IF(B111="","",IFERROR(INDEX(Catálogo!$C$5:$C$304,MATCH(B111,Catálogo!$A$5:$A$304,0)),"ISBN não cadastrado"))</f>
        <v/>
      </c>
      <c r="D111" s="33" t="str">
        <f aca="false">IF(B111="","",IFERROR(INDEX(Catálogo!$B$5:$B$304,MATCH(B111,Catálogo!$A$5:$A$304,0)),"ISBN não cadastrado"))</f>
        <v/>
      </c>
      <c r="E111" s="24"/>
      <c r="F111" s="21"/>
      <c r="G111" s="1"/>
      <c r="H111" s="1"/>
      <c r="I111" s="28" t="str">
        <f aca="false">IF(B111="","",E111*IFERROR(INDEX(Catálogo!$G$5:$G$304,MATCH(B111,Catálogo!$A$5:$A$304,0)),0))</f>
        <v/>
      </c>
      <c r="J111" s="22" t="str">
        <f aca="false">IF(B111="","",E111*F111)</f>
        <v/>
      </c>
      <c r="K111" s="23" t="str">
        <f aca="false">IF(OR(B111="",I111=0),"",1-J111/I111)</f>
        <v/>
      </c>
      <c r="L111" s="1"/>
    </row>
    <row r="112" customFormat="false" ht="15" hidden="false" customHeight="false" outlineLevel="0" collapsed="false">
      <c r="A112" s="25"/>
      <c r="B112" s="1"/>
      <c r="C112" s="33" t="str">
        <f aca="false">IF(B112="","",IFERROR(INDEX(Catálogo!$C$5:$C$304,MATCH(B112,Catálogo!$A$5:$A$304,0)),"ISBN não cadastrado"))</f>
        <v/>
      </c>
      <c r="D112" s="33" t="str">
        <f aca="false">IF(B112="","",IFERROR(INDEX(Catálogo!$B$5:$B$304,MATCH(B112,Catálogo!$A$5:$A$304,0)),"ISBN não cadastrado"))</f>
        <v/>
      </c>
      <c r="E112" s="24"/>
      <c r="F112" s="21"/>
      <c r="G112" s="1"/>
      <c r="H112" s="1"/>
      <c r="I112" s="28" t="str">
        <f aca="false">IF(B112="","",E112*IFERROR(INDEX(Catálogo!$G$5:$G$304,MATCH(B112,Catálogo!$A$5:$A$304,0)),0))</f>
        <v/>
      </c>
      <c r="J112" s="22" t="str">
        <f aca="false">IF(B112="","",E112*F112)</f>
        <v/>
      </c>
      <c r="K112" s="23" t="str">
        <f aca="false">IF(OR(B112="",I112=0),"",1-J112/I112)</f>
        <v/>
      </c>
      <c r="L112" s="1"/>
    </row>
    <row r="113" customFormat="false" ht="15" hidden="false" customHeight="false" outlineLevel="0" collapsed="false">
      <c r="A113" s="25"/>
      <c r="B113" s="1"/>
      <c r="C113" s="33" t="str">
        <f aca="false">IF(B113="","",IFERROR(INDEX(Catálogo!$C$5:$C$304,MATCH(B113,Catálogo!$A$5:$A$304,0)),"ISBN não cadastrado"))</f>
        <v/>
      </c>
      <c r="D113" s="33" t="str">
        <f aca="false">IF(B113="","",IFERROR(INDEX(Catálogo!$B$5:$B$304,MATCH(B113,Catálogo!$A$5:$A$304,0)),"ISBN não cadastrado"))</f>
        <v/>
      </c>
      <c r="E113" s="24"/>
      <c r="F113" s="21"/>
      <c r="G113" s="1"/>
      <c r="H113" s="1"/>
      <c r="I113" s="28" t="str">
        <f aca="false">IF(B113="","",E113*IFERROR(INDEX(Catálogo!$G$5:$G$304,MATCH(B113,Catálogo!$A$5:$A$304,0)),0))</f>
        <v/>
      </c>
      <c r="J113" s="22" t="str">
        <f aca="false">IF(B113="","",E113*F113)</f>
        <v/>
      </c>
      <c r="K113" s="23" t="str">
        <f aca="false">IF(OR(B113="",I113=0),"",1-J113/I113)</f>
        <v/>
      </c>
      <c r="L113" s="1"/>
    </row>
    <row r="114" customFormat="false" ht="15" hidden="false" customHeight="false" outlineLevel="0" collapsed="false">
      <c r="A114" s="25"/>
      <c r="B114" s="1"/>
      <c r="C114" s="33" t="str">
        <f aca="false">IF(B114="","",IFERROR(INDEX(Catálogo!$C$5:$C$304,MATCH(B114,Catálogo!$A$5:$A$304,0)),"ISBN não cadastrado"))</f>
        <v/>
      </c>
      <c r="D114" s="33" t="str">
        <f aca="false">IF(B114="","",IFERROR(INDEX(Catálogo!$B$5:$B$304,MATCH(B114,Catálogo!$A$5:$A$304,0)),"ISBN não cadastrado"))</f>
        <v/>
      </c>
      <c r="E114" s="24"/>
      <c r="F114" s="21"/>
      <c r="G114" s="1"/>
      <c r="H114" s="1"/>
      <c r="I114" s="28" t="str">
        <f aca="false">IF(B114="","",E114*IFERROR(INDEX(Catálogo!$G$5:$G$304,MATCH(B114,Catálogo!$A$5:$A$304,0)),0))</f>
        <v/>
      </c>
      <c r="J114" s="22" t="str">
        <f aca="false">IF(B114="","",E114*F114)</f>
        <v/>
      </c>
      <c r="K114" s="23" t="str">
        <f aca="false">IF(OR(B114="",I114=0),"",1-J114/I114)</f>
        <v/>
      </c>
      <c r="L114" s="1"/>
    </row>
    <row r="115" customFormat="false" ht="15" hidden="false" customHeight="false" outlineLevel="0" collapsed="false">
      <c r="A115" s="25"/>
      <c r="B115" s="1"/>
      <c r="C115" s="33" t="str">
        <f aca="false">IF(B115="","",IFERROR(INDEX(Catálogo!$C$5:$C$304,MATCH(B115,Catálogo!$A$5:$A$304,0)),"ISBN não cadastrado"))</f>
        <v/>
      </c>
      <c r="D115" s="33" t="str">
        <f aca="false">IF(B115="","",IFERROR(INDEX(Catálogo!$B$5:$B$304,MATCH(B115,Catálogo!$A$5:$A$304,0)),"ISBN não cadastrado"))</f>
        <v/>
      </c>
      <c r="E115" s="24"/>
      <c r="F115" s="21"/>
      <c r="G115" s="1"/>
      <c r="H115" s="1"/>
      <c r="I115" s="28" t="str">
        <f aca="false">IF(B115="","",E115*IFERROR(INDEX(Catálogo!$G$5:$G$304,MATCH(B115,Catálogo!$A$5:$A$304,0)),0))</f>
        <v/>
      </c>
      <c r="J115" s="22" t="str">
        <f aca="false">IF(B115="","",E115*F115)</f>
        <v/>
      </c>
      <c r="K115" s="23" t="str">
        <f aca="false">IF(OR(B115="",I115=0),"",1-J115/I115)</f>
        <v/>
      </c>
      <c r="L115" s="1"/>
    </row>
    <row r="116" customFormat="false" ht="15" hidden="false" customHeight="false" outlineLevel="0" collapsed="false">
      <c r="A116" s="25"/>
      <c r="B116" s="1"/>
      <c r="C116" s="33" t="str">
        <f aca="false">IF(B116="","",IFERROR(INDEX(Catálogo!$C$5:$C$304,MATCH(B116,Catálogo!$A$5:$A$304,0)),"ISBN não cadastrado"))</f>
        <v/>
      </c>
      <c r="D116" s="33" t="str">
        <f aca="false">IF(B116="","",IFERROR(INDEX(Catálogo!$B$5:$B$304,MATCH(B116,Catálogo!$A$5:$A$304,0)),"ISBN não cadastrado"))</f>
        <v/>
      </c>
      <c r="E116" s="24"/>
      <c r="F116" s="21"/>
      <c r="G116" s="1"/>
      <c r="H116" s="1"/>
      <c r="I116" s="28" t="str">
        <f aca="false">IF(B116="","",E116*IFERROR(INDEX(Catálogo!$G$5:$G$304,MATCH(B116,Catálogo!$A$5:$A$304,0)),0))</f>
        <v/>
      </c>
      <c r="J116" s="22" t="str">
        <f aca="false">IF(B116="","",E116*F116)</f>
        <v/>
      </c>
      <c r="K116" s="23" t="str">
        <f aca="false">IF(OR(B116="",I116=0),"",1-J116/I116)</f>
        <v/>
      </c>
      <c r="L116" s="1"/>
    </row>
    <row r="117" customFormat="false" ht="15" hidden="false" customHeight="false" outlineLevel="0" collapsed="false">
      <c r="A117" s="25"/>
      <c r="B117" s="1"/>
      <c r="C117" s="33" t="str">
        <f aca="false">IF(B117="","",IFERROR(INDEX(Catálogo!$C$5:$C$304,MATCH(B117,Catálogo!$A$5:$A$304,0)),"ISBN não cadastrado"))</f>
        <v/>
      </c>
      <c r="D117" s="33" t="str">
        <f aca="false">IF(B117="","",IFERROR(INDEX(Catálogo!$B$5:$B$304,MATCH(B117,Catálogo!$A$5:$A$304,0)),"ISBN não cadastrado"))</f>
        <v/>
      </c>
      <c r="E117" s="24"/>
      <c r="F117" s="21"/>
      <c r="G117" s="1"/>
      <c r="H117" s="1"/>
      <c r="I117" s="28" t="str">
        <f aca="false">IF(B117="","",E117*IFERROR(INDEX(Catálogo!$G$5:$G$304,MATCH(B117,Catálogo!$A$5:$A$304,0)),0))</f>
        <v/>
      </c>
      <c r="J117" s="22" t="str">
        <f aca="false">IF(B117="","",E117*F117)</f>
        <v/>
      </c>
      <c r="K117" s="23" t="str">
        <f aca="false">IF(OR(B117="",I117=0),"",1-J117/I117)</f>
        <v/>
      </c>
      <c r="L117" s="1"/>
    </row>
    <row r="118" customFormat="false" ht="15" hidden="false" customHeight="false" outlineLevel="0" collapsed="false">
      <c r="A118" s="25"/>
      <c r="B118" s="1"/>
      <c r="C118" s="33" t="str">
        <f aca="false">IF(B118="","",IFERROR(INDEX(Catálogo!$C$5:$C$304,MATCH(B118,Catálogo!$A$5:$A$304,0)),"ISBN não cadastrado"))</f>
        <v/>
      </c>
      <c r="D118" s="33" t="str">
        <f aca="false">IF(B118="","",IFERROR(INDEX(Catálogo!$B$5:$B$304,MATCH(B118,Catálogo!$A$5:$A$304,0)),"ISBN não cadastrado"))</f>
        <v/>
      </c>
      <c r="E118" s="24"/>
      <c r="F118" s="21"/>
      <c r="G118" s="1"/>
      <c r="H118" s="1"/>
      <c r="I118" s="28" t="str">
        <f aca="false">IF(B118="","",E118*IFERROR(INDEX(Catálogo!$G$5:$G$304,MATCH(B118,Catálogo!$A$5:$A$304,0)),0))</f>
        <v/>
      </c>
      <c r="J118" s="22" t="str">
        <f aca="false">IF(B118="","",E118*F118)</f>
        <v/>
      </c>
      <c r="K118" s="23" t="str">
        <f aca="false">IF(OR(B118="",I118=0),"",1-J118/I118)</f>
        <v/>
      </c>
      <c r="L118" s="1"/>
    </row>
    <row r="119" customFormat="false" ht="15" hidden="false" customHeight="false" outlineLevel="0" collapsed="false">
      <c r="A119" s="25"/>
      <c r="B119" s="1"/>
      <c r="C119" s="33" t="str">
        <f aca="false">IF(B119="","",IFERROR(INDEX(Catálogo!$C$5:$C$304,MATCH(B119,Catálogo!$A$5:$A$304,0)),"ISBN não cadastrado"))</f>
        <v/>
      </c>
      <c r="D119" s="33" t="str">
        <f aca="false">IF(B119="","",IFERROR(INDEX(Catálogo!$B$5:$B$304,MATCH(B119,Catálogo!$A$5:$A$304,0)),"ISBN não cadastrado"))</f>
        <v/>
      </c>
      <c r="E119" s="24"/>
      <c r="F119" s="21"/>
      <c r="G119" s="1"/>
      <c r="H119" s="1"/>
      <c r="I119" s="28" t="str">
        <f aca="false">IF(B119="","",E119*IFERROR(INDEX(Catálogo!$G$5:$G$304,MATCH(B119,Catálogo!$A$5:$A$304,0)),0))</f>
        <v/>
      </c>
      <c r="J119" s="22" t="str">
        <f aca="false">IF(B119="","",E119*F119)</f>
        <v/>
      </c>
      <c r="K119" s="23" t="str">
        <f aca="false">IF(OR(B119="",I119=0),"",1-J119/I119)</f>
        <v/>
      </c>
      <c r="L119" s="1"/>
    </row>
    <row r="120" customFormat="false" ht="15" hidden="false" customHeight="false" outlineLevel="0" collapsed="false">
      <c r="A120" s="25"/>
      <c r="B120" s="1"/>
      <c r="C120" s="33" t="str">
        <f aca="false">IF(B120="","",IFERROR(INDEX(Catálogo!$C$5:$C$304,MATCH(B120,Catálogo!$A$5:$A$304,0)),"ISBN não cadastrado"))</f>
        <v/>
      </c>
      <c r="D120" s="33" t="str">
        <f aca="false">IF(B120="","",IFERROR(INDEX(Catálogo!$B$5:$B$304,MATCH(B120,Catálogo!$A$5:$A$304,0)),"ISBN não cadastrado"))</f>
        <v/>
      </c>
      <c r="E120" s="24"/>
      <c r="F120" s="21"/>
      <c r="G120" s="1"/>
      <c r="H120" s="1"/>
      <c r="I120" s="28" t="str">
        <f aca="false">IF(B120="","",E120*IFERROR(INDEX(Catálogo!$G$5:$G$304,MATCH(B120,Catálogo!$A$5:$A$304,0)),0))</f>
        <v/>
      </c>
      <c r="J120" s="22" t="str">
        <f aca="false">IF(B120="","",E120*F120)</f>
        <v/>
      </c>
      <c r="K120" s="23" t="str">
        <f aca="false">IF(OR(B120="",I120=0),"",1-J120/I120)</f>
        <v/>
      </c>
      <c r="L120" s="1"/>
    </row>
    <row r="121" customFormat="false" ht="15" hidden="false" customHeight="false" outlineLevel="0" collapsed="false">
      <c r="A121" s="25"/>
      <c r="B121" s="1"/>
      <c r="C121" s="33" t="str">
        <f aca="false">IF(B121="","",IFERROR(INDEX(Catálogo!$C$5:$C$304,MATCH(B121,Catálogo!$A$5:$A$304,0)),"ISBN não cadastrado"))</f>
        <v/>
      </c>
      <c r="D121" s="33" t="str">
        <f aca="false">IF(B121="","",IFERROR(INDEX(Catálogo!$B$5:$B$304,MATCH(B121,Catálogo!$A$5:$A$304,0)),"ISBN não cadastrado"))</f>
        <v/>
      </c>
      <c r="E121" s="24"/>
      <c r="F121" s="21"/>
      <c r="G121" s="1"/>
      <c r="H121" s="1"/>
      <c r="I121" s="28" t="str">
        <f aca="false">IF(B121="","",E121*IFERROR(INDEX(Catálogo!$G$5:$G$304,MATCH(B121,Catálogo!$A$5:$A$304,0)),0))</f>
        <v/>
      </c>
      <c r="J121" s="22" t="str">
        <f aca="false">IF(B121="","",E121*F121)</f>
        <v/>
      </c>
      <c r="K121" s="23" t="str">
        <f aca="false">IF(OR(B121="",I121=0),"",1-J121/I121)</f>
        <v/>
      </c>
      <c r="L121" s="1"/>
    </row>
    <row r="122" customFormat="false" ht="15" hidden="false" customHeight="false" outlineLevel="0" collapsed="false">
      <c r="A122" s="25"/>
      <c r="B122" s="1"/>
      <c r="C122" s="33" t="str">
        <f aca="false">IF(B122="","",IFERROR(INDEX(Catálogo!$C$5:$C$304,MATCH(B122,Catálogo!$A$5:$A$304,0)),"ISBN não cadastrado"))</f>
        <v/>
      </c>
      <c r="D122" s="33" t="str">
        <f aca="false">IF(B122="","",IFERROR(INDEX(Catálogo!$B$5:$B$304,MATCH(B122,Catálogo!$A$5:$A$304,0)),"ISBN não cadastrado"))</f>
        <v/>
      </c>
      <c r="E122" s="24"/>
      <c r="F122" s="21"/>
      <c r="G122" s="1"/>
      <c r="H122" s="1"/>
      <c r="I122" s="28" t="str">
        <f aca="false">IF(B122="","",E122*IFERROR(INDEX(Catálogo!$G$5:$G$304,MATCH(B122,Catálogo!$A$5:$A$304,0)),0))</f>
        <v/>
      </c>
      <c r="J122" s="22" t="str">
        <f aca="false">IF(B122="","",E122*F122)</f>
        <v/>
      </c>
      <c r="K122" s="23" t="str">
        <f aca="false">IF(OR(B122="",I122=0),"",1-J122/I122)</f>
        <v/>
      </c>
      <c r="L122" s="1"/>
    </row>
    <row r="123" customFormat="false" ht="15" hidden="false" customHeight="false" outlineLevel="0" collapsed="false">
      <c r="A123" s="25"/>
      <c r="B123" s="1"/>
      <c r="C123" s="33" t="str">
        <f aca="false">IF(B123="","",IFERROR(INDEX(Catálogo!$C$5:$C$304,MATCH(B123,Catálogo!$A$5:$A$304,0)),"ISBN não cadastrado"))</f>
        <v/>
      </c>
      <c r="D123" s="33" t="str">
        <f aca="false">IF(B123="","",IFERROR(INDEX(Catálogo!$B$5:$B$304,MATCH(B123,Catálogo!$A$5:$A$304,0)),"ISBN não cadastrado"))</f>
        <v/>
      </c>
      <c r="E123" s="24"/>
      <c r="F123" s="21"/>
      <c r="G123" s="1"/>
      <c r="H123" s="1"/>
      <c r="I123" s="28" t="str">
        <f aca="false">IF(B123="","",E123*IFERROR(INDEX(Catálogo!$G$5:$G$304,MATCH(B123,Catálogo!$A$5:$A$304,0)),0))</f>
        <v/>
      </c>
      <c r="J123" s="22" t="str">
        <f aca="false">IF(B123="","",E123*F123)</f>
        <v/>
      </c>
      <c r="K123" s="23" t="str">
        <f aca="false">IF(OR(B123="",I123=0),"",1-J123/I123)</f>
        <v/>
      </c>
      <c r="L123" s="1"/>
    </row>
    <row r="124" customFormat="false" ht="15" hidden="false" customHeight="false" outlineLevel="0" collapsed="false">
      <c r="A124" s="25"/>
      <c r="B124" s="1"/>
      <c r="C124" s="33" t="str">
        <f aca="false">IF(B124="","",IFERROR(INDEX(Catálogo!$C$5:$C$304,MATCH(B124,Catálogo!$A$5:$A$304,0)),"ISBN não cadastrado"))</f>
        <v/>
      </c>
      <c r="D124" s="33" t="str">
        <f aca="false">IF(B124="","",IFERROR(INDEX(Catálogo!$B$5:$B$304,MATCH(B124,Catálogo!$A$5:$A$304,0)),"ISBN não cadastrado"))</f>
        <v/>
      </c>
      <c r="E124" s="24"/>
      <c r="F124" s="21"/>
      <c r="G124" s="1"/>
      <c r="H124" s="1"/>
      <c r="I124" s="28" t="str">
        <f aca="false">IF(B124="","",E124*IFERROR(INDEX(Catálogo!$G$5:$G$304,MATCH(B124,Catálogo!$A$5:$A$304,0)),0))</f>
        <v/>
      </c>
      <c r="J124" s="22" t="str">
        <f aca="false">IF(B124="","",E124*F124)</f>
        <v/>
      </c>
      <c r="K124" s="23" t="str">
        <f aca="false">IF(OR(B124="",I124=0),"",1-J124/I124)</f>
        <v/>
      </c>
      <c r="L124" s="1"/>
    </row>
    <row r="125" customFormat="false" ht="15" hidden="false" customHeight="false" outlineLevel="0" collapsed="false">
      <c r="A125" s="25"/>
      <c r="B125" s="1"/>
      <c r="C125" s="33" t="str">
        <f aca="false">IF(B125="","",IFERROR(INDEX(Catálogo!$C$5:$C$304,MATCH(B125,Catálogo!$A$5:$A$304,0)),"ISBN não cadastrado"))</f>
        <v/>
      </c>
      <c r="D125" s="33" t="str">
        <f aca="false">IF(B125="","",IFERROR(INDEX(Catálogo!$B$5:$B$304,MATCH(B125,Catálogo!$A$5:$A$304,0)),"ISBN não cadastrado"))</f>
        <v/>
      </c>
      <c r="E125" s="24"/>
      <c r="F125" s="21"/>
      <c r="G125" s="1"/>
      <c r="H125" s="1"/>
      <c r="I125" s="28" t="str">
        <f aca="false">IF(B125="","",E125*IFERROR(INDEX(Catálogo!$G$5:$G$304,MATCH(B125,Catálogo!$A$5:$A$304,0)),0))</f>
        <v/>
      </c>
      <c r="J125" s="22" t="str">
        <f aca="false">IF(B125="","",E125*F125)</f>
        <v/>
      </c>
      <c r="K125" s="23" t="str">
        <f aca="false">IF(OR(B125="",I125=0),"",1-J125/I125)</f>
        <v/>
      </c>
      <c r="L125" s="1"/>
    </row>
    <row r="126" customFormat="false" ht="15" hidden="false" customHeight="false" outlineLevel="0" collapsed="false">
      <c r="A126" s="25"/>
      <c r="B126" s="1"/>
      <c r="C126" s="33" t="str">
        <f aca="false">IF(B126="","",IFERROR(INDEX(Catálogo!$C$5:$C$304,MATCH(B126,Catálogo!$A$5:$A$304,0)),"ISBN não cadastrado"))</f>
        <v/>
      </c>
      <c r="D126" s="33" t="str">
        <f aca="false">IF(B126="","",IFERROR(INDEX(Catálogo!$B$5:$B$304,MATCH(B126,Catálogo!$A$5:$A$304,0)),"ISBN não cadastrado"))</f>
        <v/>
      </c>
      <c r="E126" s="24"/>
      <c r="F126" s="21"/>
      <c r="G126" s="1"/>
      <c r="H126" s="1"/>
      <c r="I126" s="28" t="str">
        <f aca="false">IF(B126="","",E126*IFERROR(INDEX(Catálogo!$G$5:$G$304,MATCH(B126,Catálogo!$A$5:$A$304,0)),0))</f>
        <v/>
      </c>
      <c r="J126" s="22" t="str">
        <f aca="false">IF(B126="","",E126*F126)</f>
        <v/>
      </c>
      <c r="K126" s="23" t="str">
        <f aca="false">IF(OR(B126="",I126=0),"",1-J126/I126)</f>
        <v/>
      </c>
      <c r="L126" s="1"/>
    </row>
    <row r="127" customFormat="false" ht="15" hidden="false" customHeight="false" outlineLevel="0" collapsed="false">
      <c r="A127" s="25"/>
      <c r="B127" s="1"/>
      <c r="C127" s="33" t="str">
        <f aca="false">IF(B127="","",IFERROR(INDEX(Catálogo!$C$5:$C$304,MATCH(B127,Catálogo!$A$5:$A$304,0)),"ISBN não cadastrado"))</f>
        <v/>
      </c>
      <c r="D127" s="33" t="str">
        <f aca="false">IF(B127="","",IFERROR(INDEX(Catálogo!$B$5:$B$304,MATCH(B127,Catálogo!$A$5:$A$304,0)),"ISBN não cadastrado"))</f>
        <v/>
      </c>
      <c r="E127" s="24"/>
      <c r="F127" s="21"/>
      <c r="G127" s="1"/>
      <c r="H127" s="1"/>
      <c r="I127" s="28" t="str">
        <f aca="false">IF(B127="","",E127*IFERROR(INDEX(Catálogo!$G$5:$G$304,MATCH(B127,Catálogo!$A$5:$A$304,0)),0))</f>
        <v/>
      </c>
      <c r="J127" s="22" t="str">
        <f aca="false">IF(B127="","",E127*F127)</f>
        <v/>
      </c>
      <c r="K127" s="23" t="str">
        <f aca="false">IF(OR(B127="",I127=0),"",1-J127/I127)</f>
        <v/>
      </c>
      <c r="L127" s="1"/>
    </row>
    <row r="128" customFormat="false" ht="15" hidden="false" customHeight="false" outlineLevel="0" collapsed="false">
      <c r="A128" s="25"/>
      <c r="B128" s="1"/>
      <c r="C128" s="33" t="str">
        <f aca="false">IF(B128="","",IFERROR(INDEX(Catálogo!$C$5:$C$304,MATCH(B128,Catálogo!$A$5:$A$304,0)),"ISBN não cadastrado"))</f>
        <v/>
      </c>
      <c r="D128" s="33" t="str">
        <f aca="false">IF(B128="","",IFERROR(INDEX(Catálogo!$B$5:$B$304,MATCH(B128,Catálogo!$A$5:$A$304,0)),"ISBN não cadastrado"))</f>
        <v/>
      </c>
      <c r="E128" s="24"/>
      <c r="F128" s="21"/>
      <c r="G128" s="1"/>
      <c r="H128" s="1"/>
      <c r="I128" s="28" t="str">
        <f aca="false">IF(B128="","",E128*IFERROR(INDEX(Catálogo!$G$5:$G$304,MATCH(B128,Catálogo!$A$5:$A$304,0)),0))</f>
        <v/>
      </c>
      <c r="J128" s="22" t="str">
        <f aca="false">IF(B128="","",E128*F128)</f>
        <v/>
      </c>
      <c r="K128" s="23" t="str">
        <f aca="false">IF(OR(B128="",I128=0),"",1-J128/I128)</f>
        <v/>
      </c>
      <c r="L128" s="1"/>
    </row>
    <row r="129" customFormat="false" ht="15" hidden="false" customHeight="false" outlineLevel="0" collapsed="false">
      <c r="A129" s="25"/>
      <c r="B129" s="1"/>
      <c r="C129" s="33" t="str">
        <f aca="false">IF(B129="","",IFERROR(INDEX(Catálogo!$C$5:$C$304,MATCH(B129,Catálogo!$A$5:$A$304,0)),"ISBN não cadastrado"))</f>
        <v/>
      </c>
      <c r="D129" s="33" t="str">
        <f aca="false">IF(B129="","",IFERROR(INDEX(Catálogo!$B$5:$B$304,MATCH(B129,Catálogo!$A$5:$A$304,0)),"ISBN não cadastrado"))</f>
        <v/>
      </c>
      <c r="E129" s="24"/>
      <c r="F129" s="21"/>
      <c r="G129" s="1"/>
      <c r="H129" s="1"/>
      <c r="I129" s="28" t="str">
        <f aca="false">IF(B129="","",E129*IFERROR(INDEX(Catálogo!$G$5:$G$304,MATCH(B129,Catálogo!$A$5:$A$304,0)),0))</f>
        <v/>
      </c>
      <c r="J129" s="22" t="str">
        <f aca="false">IF(B129="","",E129*F129)</f>
        <v/>
      </c>
      <c r="K129" s="23" t="str">
        <f aca="false">IF(OR(B129="",I129=0),"",1-J129/I129)</f>
        <v/>
      </c>
      <c r="L129" s="1"/>
    </row>
    <row r="130" customFormat="false" ht="15" hidden="false" customHeight="false" outlineLevel="0" collapsed="false">
      <c r="A130" s="25"/>
      <c r="B130" s="1"/>
      <c r="C130" s="33" t="str">
        <f aca="false">IF(B130="","",IFERROR(INDEX(Catálogo!$C$5:$C$304,MATCH(B130,Catálogo!$A$5:$A$304,0)),"ISBN não cadastrado"))</f>
        <v/>
      </c>
      <c r="D130" s="33" t="str">
        <f aca="false">IF(B130="","",IFERROR(INDEX(Catálogo!$B$5:$B$304,MATCH(B130,Catálogo!$A$5:$A$304,0)),"ISBN não cadastrado"))</f>
        <v/>
      </c>
      <c r="E130" s="24"/>
      <c r="F130" s="21"/>
      <c r="G130" s="1"/>
      <c r="H130" s="1"/>
      <c r="I130" s="28" t="str">
        <f aca="false">IF(B130="","",E130*IFERROR(INDEX(Catálogo!$G$5:$G$304,MATCH(B130,Catálogo!$A$5:$A$304,0)),0))</f>
        <v/>
      </c>
      <c r="J130" s="22" t="str">
        <f aca="false">IF(B130="","",E130*F130)</f>
        <v/>
      </c>
      <c r="K130" s="23" t="str">
        <f aca="false">IF(OR(B130="",I130=0),"",1-J130/I130)</f>
        <v/>
      </c>
      <c r="L130" s="1"/>
    </row>
    <row r="131" customFormat="false" ht="15" hidden="false" customHeight="false" outlineLevel="0" collapsed="false">
      <c r="A131" s="25"/>
      <c r="B131" s="1"/>
      <c r="C131" s="33" t="str">
        <f aca="false">IF(B131="","",IFERROR(INDEX(Catálogo!$C$5:$C$304,MATCH(B131,Catálogo!$A$5:$A$304,0)),"ISBN não cadastrado"))</f>
        <v/>
      </c>
      <c r="D131" s="33" t="str">
        <f aca="false">IF(B131="","",IFERROR(INDEX(Catálogo!$B$5:$B$304,MATCH(B131,Catálogo!$A$5:$A$304,0)),"ISBN não cadastrado"))</f>
        <v/>
      </c>
      <c r="E131" s="24"/>
      <c r="F131" s="21"/>
      <c r="G131" s="1"/>
      <c r="H131" s="1"/>
      <c r="I131" s="28" t="str">
        <f aca="false">IF(B131="","",E131*IFERROR(INDEX(Catálogo!$G$5:$G$304,MATCH(B131,Catálogo!$A$5:$A$304,0)),0))</f>
        <v/>
      </c>
      <c r="J131" s="22" t="str">
        <f aca="false">IF(B131="","",E131*F131)</f>
        <v/>
      </c>
      <c r="K131" s="23" t="str">
        <f aca="false">IF(OR(B131="",I131=0),"",1-J131/I131)</f>
        <v/>
      </c>
      <c r="L131" s="1"/>
    </row>
    <row r="132" customFormat="false" ht="15" hidden="false" customHeight="false" outlineLevel="0" collapsed="false">
      <c r="A132" s="25"/>
      <c r="B132" s="1"/>
      <c r="C132" s="33" t="str">
        <f aca="false">IF(B132="","",IFERROR(INDEX(Catálogo!$C$5:$C$304,MATCH(B132,Catálogo!$A$5:$A$304,0)),"ISBN não cadastrado"))</f>
        <v/>
      </c>
      <c r="D132" s="33" t="str">
        <f aca="false">IF(B132="","",IFERROR(INDEX(Catálogo!$B$5:$B$304,MATCH(B132,Catálogo!$A$5:$A$304,0)),"ISBN não cadastrado"))</f>
        <v/>
      </c>
      <c r="E132" s="24"/>
      <c r="F132" s="21"/>
      <c r="G132" s="1"/>
      <c r="H132" s="1"/>
      <c r="I132" s="28" t="str">
        <f aca="false">IF(B132="","",E132*IFERROR(INDEX(Catálogo!$G$5:$G$304,MATCH(B132,Catálogo!$A$5:$A$304,0)),0))</f>
        <v/>
      </c>
      <c r="J132" s="22" t="str">
        <f aca="false">IF(B132="","",E132*F132)</f>
        <v/>
      </c>
      <c r="K132" s="23" t="str">
        <f aca="false">IF(OR(B132="",I132=0),"",1-J132/I132)</f>
        <v/>
      </c>
      <c r="L132" s="1"/>
    </row>
    <row r="133" customFormat="false" ht="15" hidden="false" customHeight="false" outlineLevel="0" collapsed="false">
      <c r="A133" s="25"/>
      <c r="B133" s="1"/>
      <c r="C133" s="33" t="str">
        <f aca="false">IF(B133="","",IFERROR(INDEX(Catálogo!$C$5:$C$304,MATCH(B133,Catálogo!$A$5:$A$304,0)),"ISBN não cadastrado"))</f>
        <v/>
      </c>
      <c r="D133" s="33" t="str">
        <f aca="false">IF(B133="","",IFERROR(INDEX(Catálogo!$B$5:$B$304,MATCH(B133,Catálogo!$A$5:$A$304,0)),"ISBN não cadastrado"))</f>
        <v/>
      </c>
      <c r="E133" s="24"/>
      <c r="F133" s="21"/>
      <c r="G133" s="1"/>
      <c r="H133" s="1"/>
      <c r="I133" s="28" t="str">
        <f aca="false">IF(B133="","",E133*IFERROR(INDEX(Catálogo!$G$5:$G$304,MATCH(B133,Catálogo!$A$5:$A$304,0)),0))</f>
        <v/>
      </c>
      <c r="J133" s="22" t="str">
        <f aca="false">IF(B133="","",E133*F133)</f>
        <v/>
      </c>
      <c r="K133" s="23" t="str">
        <f aca="false">IF(OR(B133="",I133=0),"",1-J133/I133)</f>
        <v/>
      </c>
      <c r="L133" s="1"/>
    </row>
    <row r="134" customFormat="false" ht="15" hidden="false" customHeight="false" outlineLevel="0" collapsed="false">
      <c r="A134" s="25"/>
      <c r="B134" s="1"/>
      <c r="C134" s="33" t="str">
        <f aca="false">IF(B134="","",IFERROR(INDEX(Catálogo!$C$5:$C$304,MATCH(B134,Catálogo!$A$5:$A$304,0)),"ISBN não cadastrado"))</f>
        <v/>
      </c>
      <c r="D134" s="33" t="str">
        <f aca="false">IF(B134="","",IFERROR(INDEX(Catálogo!$B$5:$B$304,MATCH(B134,Catálogo!$A$5:$A$304,0)),"ISBN não cadastrado"))</f>
        <v/>
      </c>
      <c r="E134" s="24"/>
      <c r="F134" s="21"/>
      <c r="G134" s="1"/>
      <c r="H134" s="1"/>
      <c r="I134" s="28" t="str">
        <f aca="false">IF(B134="","",E134*IFERROR(INDEX(Catálogo!$G$5:$G$304,MATCH(B134,Catálogo!$A$5:$A$304,0)),0))</f>
        <v/>
      </c>
      <c r="J134" s="22" t="str">
        <f aca="false">IF(B134="","",E134*F134)</f>
        <v/>
      </c>
      <c r="K134" s="23" t="str">
        <f aca="false">IF(OR(B134="",I134=0),"",1-J134/I134)</f>
        <v/>
      </c>
      <c r="L134" s="1"/>
    </row>
    <row r="135" customFormat="false" ht="15" hidden="false" customHeight="false" outlineLevel="0" collapsed="false">
      <c r="A135" s="25"/>
      <c r="B135" s="1"/>
      <c r="C135" s="33" t="str">
        <f aca="false">IF(B135="","",IFERROR(INDEX(Catálogo!$C$5:$C$304,MATCH(B135,Catálogo!$A$5:$A$304,0)),"ISBN não cadastrado"))</f>
        <v/>
      </c>
      <c r="D135" s="33" t="str">
        <f aca="false">IF(B135="","",IFERROR(INDEX(Catálogo!$B$5:$B$304,MATCH(B135,Catálogo!$A$5:$A$304,0)),"ISBN não cadastrado"))</f>
        <v/>
      </c>
      <c r="E135" s="24"/>
      <c r="F135" s="21"/>
      <c r="G135" s="1"/>
      <c r="H135" s="1"/>
      <c r="I135" s="28" t="str">
        <f aca="false">IF(B135="","",E135*IFERROR(INDEX(Catálogo!$G$5:$G$304,MATCH(B135,Catálogo!$A$5:$A$304,0)),0))</f>
        <v/>
      </c>
      <c r="J135" s="22" t="str">
        <f aca="false">IF(B135="","",E135*F135)</f>
        <v/>
      </c>
      <c r="K135" s="23" t="str">
        <f aca="false">IF(OR(B135="",I135=0),"",1-J135/I135)</f>
        <v/>
      </c>
      <c r="L135" s="1"/>
    </row>
    <row r="136" customFormat="false" ht="15" hidden="false" customHeight="false" outlineLevel="0" collapsed="false">
      <c r="A136" s="25"/>
      <c r="B136" s="1"/>
      <c r="C136" s="33" t="str">
        <f aca="false">IF(B136="","",IFERROR(INDEX(Catálogo!$C$5:$C$304,MATCH(B136,Catálogo!$A$5:$A$304,0)),"ISBN não cadastrado"))</f>
        <v/>
      </c>
      <c r="D136" s="33" t="str">
        <f aca="false">IF(B136="","",IFERROR(INDEX(Catálogo!$B$5:$B$304,MATCH(B136,Catálogo!$A$5:$A$304,0)),"ISBN não cadastrado"))</f>
        <v/>
      </c>
      <c r="E136" s="24"/>
      <c r="F136" s="21"/>
      <c r="G136" s="1"/>
      <c r="H136" s="1"/>
      <c r="I136" s="28" t="str">
        <f aca="false">IF(B136="","",E136*IFERROR(INDEX(Catálogo!$G$5:$G$304,MATCH(B136,Catálogo!$A$5:$A$304,0)),0))</f>
        <v/>
      </c>
      <c r="J136" s="22" t="str">
        <f aca="false">IF(B136="","",E136*F136)</f>
        <v/>
      </c>
      <c r="K136" s="23" t="str">
        <f aca="false">IF(OR(B136="",I136=0),"",1-J136/I136)</f>
        <v/>
      </c>
      <c r="L136" s="1"/>
    </row>
    <row r="137" customFormat="false" ht="15" hidden="false" customHeight="false" outlineLevel="0" collapsed="false">
      <c r="A137" s="25"/>
      <c r="B137" s="1"/>
      <c r="C137" s="33" t="str">
        <f aca="false">IF(B137="","",IFERROR(INDEX(Catálogo!$C$5:$C$304,MATCH(B137,Catálogo!$A$5:$A$304,0)),"ISBN não cadastrado"))</f>
        <v/>
      </c>
      <c r="D137" s="33" t="str">
        <f aca="false">IF(B137="","",IFERROR(INDEX(Catálogo!$B$5:$B$304,MATCH(B137,Catálogo!$A$5:$A$304,0)),"ISBN não cadastrado"))</f>
        <v/>
      </c>
      <c r="E137" s="24"/>
      <c r="F137" s="21"/>
      <c r="G137" s="1"/>
      <c r="H137" s="1"/>
      <c r="I137" s="28" t="str">
        <f aca="false">IF(B137="","",E137*IFERROR(INDEX(Catálogo!$G$5:$G$304,MATCH(B137,Catálogo!$A$5:$A$304,0)),0))</f>
        <v/>
      </c>
      <c r="J137" s="22" t="str">
        <f aca="false">IF(B137="","",E137*F137)</f>
        <v/>
      </c>
      <c r="K137" s="23" t="str">
        <f aca="false">IF(OR(B137="",I137=0),"",1-J137/I137)</f>
        <v/>
      </c>
      <c r="L137" s="1"/>
    </row>
    <row r="138" customFormat="false" ht="15" hidden="false" customHeight="false" outlineLevel="0" collapsed="false">
      <c r="A138" s="25"/>
      <c r="B138" s="1"/>
      <c r="C138" s="33" t="str">
        <f aca="false">IF(B138="","",IFERROR(INDEX(Catálogo!$C$5:$C$304,MATCH(B138,Catálogo!$A$5:$A$304,0)),"ISBN não cadastrado"))</f>
        <v/>
      </c>
      <c r="D138" s="33" t="str">
        <f aca="false">IF(B138="","",IFERROR(INDEX(Catálogo!$B$5:$B$304,MATCH(B138,Catálogo!$A$5:$A$304,0)),"ISBN não cadastrado"))</f>
        <v/>
      </c>
      <c r="E138" s="24"/>
      <c r="F138" s="21"/>
      <c r="G138" s="1"/>
      <c r="H138" s="1"/>
      <c r="I138" s="28" t="str">
        <f aca="false">IF(B138="","",E138*IFERROR(INDEX(Catálogo!$G$5:$G$304,MATCH(B138,Catálogo!$A$5:$A$304,0)),0))</f>
        <v/>
      </c>
      <c r="J138" s="22" t="str">
        <f aca="false">IF(B138="","",E138*F138)</f>
        <v/>
      </c>
      <c r="K138" s="23" t="str">
        <f aca="false">IF(OR(B138="",I138=0),"",1-J138/I138)</f>
        <v/>
      </c>
      <c r="L138" s="1"/>
    </row>
    <row r="139" customFormat="false" ht="15" hidden="false" customHeight="false" outlineLevel="0" collapsed="false">
      <c r="A139" s="25"/>
      <c r="B139" s="1"/>
      <c r="C139" s="33" t="str">
        <f aca="false">IF(B139="","",IFERROR(INDEX(Catálogo!$C$5:$C$304,MATCH(B139,Catálogo!$A$5:$A$304,0)),"ISBN não cadastrado"))</f>
        <v/>
      </c>
      <c r="D139" s="33" t="str">
        <f aca="false">IF(B139="","",IFERROR(INDEX(Catálogo!$B$5:$B$304,MATCH(B139,Catálogo!$A$5:$A$304,0)),"ISBN não cadastrado"))</f>
        <v/>
      </c>
      <c r="E139" s="24"/>
      <c r="F139" s="21"/>
      <c r="G139" s="1"/>
      <c r="H139" s="1"/>
      <c r="I139" s="28" t="str">
        <f aca="false">IF(B139="","",E139*IFERROR(INDEX(Catálogo!$G$5:$G$304,MATCH(B139,Catálogo!$A$5:$A$304,0)),0))</f>
        <v/>
      </c>
      <c r="J139" s="22" t="str">
        <f aca="false">IF(B139="","",E139*F139)</f>
        <v/>
      </c>
      <c r="K139" s="23" t="str">
        <f aca="false">IF(OR(B139="",I139=0),"",1-J139/I139)</f>
        <v/>
      </c>
      <c r="L139" s="1"/>
    </row>
    <row r="140" customFormat="false" ht="15" hidden="false" customHeight="false" outlineLevel="0" collapsed="false">
      <c r="A140" s="25"/>
      <c r="B140" s="1"/>
      <c r="C140" s="33" t="str">
        <f aca="false">IF(B140="","",IFERROR(INDEX(Catálogo!$C$5:$C$304,MATCH(B140,Catálogo!$A$5:$A$304,0)),"ISBN não cadastrado"))</f>
        <v/>
      </c>
      <c r="D140" s="33" t="str">
        <f aca="false">IF(B140="","",IFERROR(INDEX(Catálogo!$B$5:$B$304,MATCH(B140,Catálogo!$A$5:$A$304,0)),"ISBN não cadastrado"))</f>
        <v/>
      </c>
      <c r="E140" s="24"/>
      <c r="F140" s="21"/>
      <c r="G140" s="1"/>
      <c r="H140" s="1"/>
      <c r="I140" s="28" t="str">
        <f aca="false">IF(B140="","",E140*IFERROR(INDEX(Catálogo!$G$5:$G$304,MATCH(B140,Catálogo!$A$5:$A$304,0)),0))</f>
        <v/>
      </c>
      <c r="J140" s="22" t="str">
        <f aca="false">IF(B140="","",E140*F140)</f>
        <v/>
      </c>
      <c r="K140" s="23" t="str">
        <f aca="false">IF(OR(B140="",I140=0),"",1-J140/I140)</f>
        <v/>
      </c>
      <c r="L140" s="1"/>
    </row>
    <row r="141" customFormat="false" ht="15" hidden="false" customHeight="false" outlineLevel="0" collapsed="false">
      <c r="A141" s="25"/>
      <c r="B141" s="1"/>
      <c r="C141" s="33" t="str">
        <f aca="false">IF(B141="","",IFERROR(INDEX(Catálogo!$C$5:$C$304,MATCH(B141,Catálogo!$A$5:$A$304,0)),"ISBN não cadastrado"))</f>
        <v/>
      </c>
      <c r="D141" s="33" t="str">
        <f aca="false">IF(B141="","",IFERROR(INDEX(Catálogo!$B$5:$B$304,MATCH(B141,Catálogo!$A$5:$A$304,0)),"ISBN não cadastrado"))</f>
        <v/>
      </c>
      <c r="E141" s="24"/>
      <c r="F141" s="21"/>
      <c r="G141" s="1"/>
      <c r="H141" s="1"/>
      <c r="I141" s="28" t="str">
        <f aca="false">IF(B141="","",E141*IFERROR(INDEX(Catálogo!$G$5:$G$304,MATCH(B141,Catálogo!$A$5:$A$304,0)),0))</f>
        <v/>
      </c>
      <c r="J141" s="22" t="str">
        <f aca="false">IF(B141="","",E141*F141)</f>
        <v/>
      </c>
      <c r="K141" s="23" t="str">
        <f aca="false">IF(OR(B141="",I141=0),"",1-J141/I141)</f>
        <v/>
      </c>
      <c r="L141" s="1"/>
    </row>
    <row r="142" customFormat="false" ht="15" hidden="false" customHeight="false" outlineLevel="0" collapsed="false">
      <c r="A142" s="25"/>
      <c r="B142" s="1"/>
      <c r="C142" s="33" t="str">
        <f aca="false">IF(B142="","",IFERROR(INDEX(Catálogo!$C$5:$C$304,MATCH(B142,Catálogo!$A$5:$A$304,0)),"ISBN não cadastrado"))</f>
        <v/>
      </c>
      <c r="D142" s="33" t="str">
        <f aca="false">IF(B142="","",IFERROR(INDEX(Catálogo!$B$5:$B$304,MATCH(B142,Catálogo!$A$5:$A$304,0)),"ISBN não cadastrado"))</f>
        <v/>
      </c>
      <c r="E142" s="24"/>
      <c r="F142" s="21"/>
      <c r="G142" s="1"/>
      <c r="H142" s="1"/>
      <c r="I142" s="28" t="str">
        <f aca="false">IF(B142="","",E142*IFERROR(INDEX(Catálogo!$G$5:$G$304,MATCH(B142,Catálogo!$A$5:$A$304,0)),0))</f>
        <v/>
      </c>
      <c r="J142" s="22" t="str">
        <f aca="false">IF(B142="","",E142*F142)</f>
        <v/>
      </c>
      <c r="K142" s="23" t="str">
        <f aca="false">IF(OR(B142="",I142=0),"",1-J142/I142)</f>
        <v/>
      </c>
      <c r="L142" s="1"/>
    </row>
    <row r="143" customFormat="false" ht="15" hidden="false" customHeight="false" outlineLevel="0" collapsed="false">
      <c r="A143" s="25"/>
      <c r="B143" s="1"/>
      <c r="C143" s="33" t="str">
        <f aca="false">IF(B143="","",IFERROR(INDEX(Catálogo!$C$5:$C$304,MATCH(B143,Catálogo!$A$5:$A$304,0)),"ISBN não cadastrado"))</f>
        <v/>
      </c>
      <c r="D143" s="33" t="str">
        <f aca="false">IF(B143="","",IFERROR(INDEX(Catálogo!$B$5:$B$304,MATCH(B143,Catálogo!$A$5:$A$304,0)),"ISBN não cadastrado"))</f>
        <v/>
      </c>
      <c r="E143" s="24"/>
      <c r="F143" s="21"/>
      <c r="G143" s="1"/>
      <c r="H143" s="1"/>
      <c r="I143" s="28" t="str">
        <f aca="false">IF(B143="","",E143*IFERROR(INDEX(Catálogo!$G$5:$G$304,MATCH(B143,Catálogo!$A$5:$A$304,0)),0))</f>
        <v/>
      </c>
      <c r="J143" s="22" t="str">
        <f aca="false">IF(B143="","",E143*F143)</f>
        <v/>
      </c>
      <c r="K143" s="23" t="str">
        <f aca="false">IF(OR(B143="",I143=0),"",1-J143/I143)</f>
        <v/>
      </c>
      <c r="L143" s="1"/>
    </row>
    <row r="144" customFormat="false" ht="15" hidden="false" customHeight="false" outlineLevel="0" collapsed="false">
      <c r="A144" s="25"/>
      <c r="B144" s="1"/>
      <c r="C144" s="33" t="str">
        <f aca="false">IF(B144="","",IFERROR(INDEX(Catálogo!$C$5:$C$304,MATCH(B144,Catálogo!$A$5:$A$304,0)),"ISBN não cadastrado"))</f>
        <v/>
      </c>
      <c r="D144" s="33" t="str">
        <f aca="false">IF(B144="","",IFERROR(INDEX(Catálogo!$B$5:$B$304,MATCH(B144,Catálogo!$A$5:$A$304,0)),"ISBN não cadastrado"))</f>
        <v/>
      </c>
      <c r="E144" s="24"/>
      <c r="F144" s="21"/>
      <c r="G144" s="1"/>
      <c r="H144" s="1"/>
      <c r="I144" s="28" t="str">
        <f aca="false">IF(B144="","",E144*IFERROR(INDEX(Catálogo!$G$5:$G$304,MATCH(B144,Catálogo!$A$5:$A$304,0)),0))</f>
        <v/>
      </c>
      <c r="J144" s="22" t="str">
        <f aca="false">IF(B144="","",E144*F144)</f>
        <v/>
      </c>
      <c r="K144" s="23" t="str">
        <f aca="false">IF(OR(B144="",I144=0),"",1-J144/I144)</f>
        <v/>
      </c>
      <c r="L144" s="1"/>
    </row>
    <row r="145" customFormat="false" ht="15" hidden="false" customHeight="false" outlineLevel="0" collapsed="false">
      <c r="A145" s="25"/>
      <c r="B145" s="1"/>
      <c r="C145" s="33" t="str">
        <f aca="false">IF(B145="","",IFERROR(INDEX(Catálogo!$C$5:$C$304,MATCH(B145,Catálogo!$A$5:$A$304,0)),"ISBN não cadastrado"))</f>
        <v/>
      </c>
      <c r="D145" s="33" t="str">
        <f aca="false">IF(B145="","",IFERROR(INDEX(Catálogo!$B$5:$B$304,MATCH(B145,Catálogo!$A$5:$A$304,0)),"ISBN não cadastrado"))</f>
        <v/>
      </c>
      <c r="E145" s="24"/>
      <c r="F145" s="21"/>
      <c r="G145" s="1"/>
      <c r="H145" s="1"/>
      <c r="I145" s="28" t="str">
        <f aca="false">IF(B145="","",E145*IFERROR(INDEX(Catálogo!$G$5:$G$304,MATCH(B145,Catálogo!$A$5:$A$304,0)),0))</f>
        <v/>
      </c>
      <c r="J145" s="22" t="str">
        <f aca="false">IF(B145="","",E145*F145)</f>
        <v/>
      </c>
      <c r="K145" s="23" t="str">
        <f aca="false">IF(OR(B145="",I145=0),"",1-J145/I145)</f>
        <v/>
      </c>
      <c r="L145" s="1"/>
    </row>
    <row r="146" customFormat="false" ht="15" hidden="false" customHeight="false" outlineLevel="0" collapsed="false">
      <c r="A146" s="25"/>
      <c r="B146" s="1"/>
      <c r="C146" s="33" t="str">
        <f aca="false">IF(B146="","",IFERROR(INDEX(Catálogo!$C$5:$C$304,MATCH(B146,Catálogo!$A$5:$A$304,0)),"ISBN não cadastrado"))</f>
        <v/>
      </c>
      <c r="D146" s="33" t="str">
        <f aca="false">IF(B146="","",IFERROR(INDEX(Catálogo!$B$5:$B$304,MATCH(B146,Catálogo!$A$5:$A$304,0)),"ISBN não cadastrado"))</f>
        <v/>
      </c>
      <c r="E146" s="24"/>
      <c r="F146" s="21"/>
      <c r="G146" s="1"/>
      <c r="H146" s="1"/>
      <c r="I146" s="28" t="str">
        <f aca="false">IF(B146="","",E146*IFERROR(INDEX(Catálogo!$G$5:$G$304,MATCH(B146,Catálogo!$A$5:$A$304,0)),0))</f>
        <v/>
      </c>
      <c r="J146" s="22" t="str">
        <f aca="false">IF(B146="","",E146*F146)</f>
        <v/>
      </c>
      <c r="K146" s="23" t="str">
        <f aca="false">IF(OR(B146="",I146=0),"",1-J146/I146)</f>
        <v/>
      </c>
      <c r="L146" s="1"/>
    </row>
    <row r="147" customFormat="false" ht="15" hidden="false" customHeight="false" outlineLevel="0" collapsed="false">
      <c r="A147" s="25"/>
      <c r="B147" s="1"/>
      <c r="C147" s="33" t="str">
        <f aca="false">IF(B147="","",IFERROR(INDEX(Catálogo!$C$5:$C$304,MATCH(B147,Catálogo!$A$5:$A$304,0)),"ISBN não cadastrado"))</f>
        <v/>
      </c>
      <c r="D147" s="33" t="str">
        <f aca="false">IF(B147="","",IFERROR(INDEX(Catálogo!$B$5:$B$304,MATCH(B147,Catálogo!$A$5:$A$304,0)),"ISBN não cadastrado"))</f>
        <v/>
      </c>
      <c r="E147" s="24"/>
      <c r="F147" s="21"/>
      <c r="G147" s="1"/>
      <c r="H147" s="1"/>
      <c r="I147" s="28" t="str">
        <f aca="false">IF(B147="","",E147*IFERROR(INDEX(Catálogo!$G$5:$G$304,MATCH(B147,Catálogo!$A$5:$A$304,0)),0))</f>
        <v/>
      </c>
      <c r="J147" s="22" t="str">
        <f aca="false">IF(B147="","",E147*F147)</f>
        <v/>
      </c>
      <c r="K147" s="23" t="str">
        <f aca="false">IF(OR(B147="",I147=0),"",1-J147/I147)</f>
        <v/>
      </c>
      <c r="L147" s="1"/>
    </row>
    <row r="148" customFormat="false" ht="15" hidden="false" customHeight="false" outlineLevel="0" collapsed="false">
      <c r="A148" s="25"/>
      <c r="B148" s="1"/>
      <c r="C148" s="33" t="str">
        <f aca="false">IF(B148="","",IFERROR(INDEX(Catálogo!$C$5:$C$304,MATCH(B148,Catálogo!$A$5:$A$304,0)),"ISBN não cadastrado"))</f>
        <v/>
      </c>
      <c r="D148" s="33" t="str">
        <f aca="false">IF(B148="","",IFERROR(INDEX(Catálogo!$B$5:$B$304,MATCH(B148,Catálogo!$A$5:$A$304,0)),"ISBN não cadastrado"))</f>
        <v/>
      </c>
      <c r="E148" s="24"/>
      <c r="F148" s="21"/>
      <c r="G148" s="1"/>
      <c r="H148" s="1"/>
      <c r="I148" s="28" t="str">
        <f aca="false">IF(B148="","",E148*IFERROR(INDEX(Catálogo!$G$5:$G$304,MATCH(B148,Catálogo!$A$5:$A$304,0)),0))</f>
        <v/>
      </c>
      <c r="J148" s="22" t="str">
        <f aca="false">IF(B148="","",E148*F148)</f>
        <v/>
      </c>
      <c r="K148" s="23" t="str">
        <f aca="false">IF(OR(B148="",I148=0),"",1-J148/I148)</f>
        <v/>
      </c>
      <c r="L148" s="1"/>
    </row>
    <row r="149" customFormat="false" ht="15" hidden="false" customHeight="false" outlineLevel="0" collapsed="false">
      <c r="A149" s="25"/>
      <c r="B149" s="1"/>
      <c r="C149" s="33" t="str">
        <f aca="false">IF(B149="","",IFERROR(INDEX(Catálogo!$C$5:$C$304,MATCH(B149,Catálogo!$A$5:$A$304,0)),"ISBN não cadastrado"))</f>
        <v/>
      </c>
      <c r="D149" s="33" t="str">
        <f aca="false">IF(B149="","",IFERROR(INDEX(Catálogo!$B$5:$B$304,MATCH(B149,Catálogo!$A$5:$A$304,0)),"ISBN não cadastrado"))</f>
        <v/>
      </c>
      <c r="E149" s="24"/>
      <c r="F149" s="21"/>
      <c r="G149" s="1"/>
      <c r="H149" s="1"/>
      <c r="I149" s="28" t="str">
        <f aca="false">IF(B149="","",E149*IFERROR(INDEX(Catálogo!$G$5:$G$304,MATCH(B149,Catálogo!$A$5:$A$304,0)),0))</f>
        <v/>
      </c>
      <c r="J149" s="22" t="str">
        <f aca="false">IF(B149="","",E149*F149)</f>
        <v/>
      </c>
      <c r="K149" s="23" t="str">
        <f aca="false">IF(OR(B149="",I149=0),"",1-J149/I149)</f>
        <v/>
      </c>
      <c r="L149" s="1"/>
    </row>
    <row r="150" customFormat="false" ht="15" hidden="false" customHeight="false" outlineLevel="0" collapsed="false">
      <c r="A150" s="25"/>
      <c r="B150" s="1"/>
      <c r="C150" s="33" t="str">
        <f aca="false">IF(B150="","",IFERROR(INDEX(Catálogo!$C$5:$C$304,MATCH(B150,Catálogo!$A$5:$A$304,0)),"ISBN não cadastrado"))</f>
        <v/>
      </c>
      <c r="D150" s="33" t="str">
        <f aca="false">IF(B150="","",IFERROR(INDEX(Catálogo!$B$5:$B$304,MATCH(B150,Catálogo!$A$5:$A$304,0)),"ISBN não cadastrado"))</f>
        <v/>
      </c>
      <c r="E150" s="24"/>
      <c r="F150" s="21"/>
      <c r="G150" s="1"/>
      <c r="H150" s="1"/>
      <c r="I150" s="28" t="str">
        <f aca="false">IF(B150="","",E150*IFERROR(INDEX(Catálogo!$G$5:$G$304,MATCH(B150,Catálogo!$A$5:$A$304,0)),0))</f>
        <v/>
      </c>
      <c r="J150" s="22" t="str">
        <f aca="false">IF(B150="","",E150*F150)</f>
        <v/>
      </c>
      <c r="K150" s="23" t="str">
        <f aca="false">IF(OR(B150="",I150=0),"",1-J150/I150)</f>
        <v/>
      </c>
      <c r="L150" s="1"/>
    </row>
    <row r="151" customFormat="false" ht="15" hidden="false" customHeight="false" outlineLevel="0" collapsed="false">
      <c r="A151" s="25"/>
      <c r="B151" s="1"/>
      <c r="C151" s="33" t="str">
        <f aca="false">IF(B151="","",IFERROR(INDEX(Catálogo!$C$5:$C$304,MATCH(B151,Catálogo!$A$5:$A$304,0)),"ISBN não cadastrado"))</f>
        <v/>
      </c>
      <c r="D151" s="33" t="str">
        <f aca="false">IF(B151="","",IFERROR(INDEX(Catálogo!$B$5:$B$304,MATCH(B151,Catálogo!$A$5:$A$304,0)),"ISBN não cadastrado"))</f>
        <v/>
      </c>
      <c r="E151" s="24"/>
      <c r="F151" s="21"/>
      <c r="G151" s="1"/>
      <c r="H151" s="1"/>
      <c r="I151" s="28" t="str">
        <f aca="false">IF(B151="","",E151*IFERROR(INDEX(Catálogo!$G$5:$G$304,MATCH(B151,Catálogo!$A$5:$A$304,0)),0))</f>
        <v/>
      </c>
      <c r="J151" s="22" t="str">
        <f aca="false">IF(B151="","",E151*F151)</f>
        <v/>
      </c>
      <c r="K151" s="23" t="str">
        <f aca="false">IF(OR(B151="",I151=0),"",1-J151/I151)</f>
        <v/>
      </c>
      <c r="L151" s="1"/>
    </row>
    <row r="152" customFormat="false" ht="15" hidden="false" customHeight="false" outlineLevel="0" collapsed="false">
      <c r="A152" s="25"/>
      <c r="B152" s="1"/>
      <c r="C152" s="33" t="str">
        <f aca="false">IF(B152="","",IFERROR(INDEX(Catálogo!$C$5:$C$304,MATCH(B152,Catálogo!$A$5:$A$304,0)),"ISBN não cadastrado"))</f>
        <v/>
      </c>
      <c r="D152" s="33" t="str">
        <f aca="false">IF(B152="","",IFERROR(INDEX(Catálogo!$B$5:$B$304,MATCH(B152,Catálogo!$A$5:$A$304,0)),"ISBN não cadastrado"))</f>
        <v/>
      </c>
      <c r="E152" s="24"/>
      <c r="F152" s="21"/>
      <c r="G152" s="1"/>
      <c r="H152" s="1"/>
      <c r="I152" s="28" t="str">
        <f aca="false">IF(B152="","",E152*IFERROR(INDEX(Catálogo!$G$5:$G$304,MATCH(B152,Catálogo!$A$5:$A$304,0)),0))</f>
        <v/>
      </c>
      <c r="J152" s="22" t="str">
        <f aca="false">IF(B152="","",E152*F152)</f>
        <v/>
      </c>
      <c r="K152" s="23" t="str">
        <f aca="false">IF(OR(B152="",I152=0),"",1-J152/I152)</f>
        <v/>
      </c>
      <c r="L152" s="1"/>
    </row>
    <row r="153" customFormat="false" ht="15" hidden="false" customHeight="false" outlineLevel="0" collapsed="false">
      <c r="A153" s="25"/>
      <c r="B153" s="1"/>
      <c r="C153" s="33" t="str">
        <f aca="false">IF(B153="","",IFERROR(INDEX(Catálogo!$C$5:$C$304,MATCH(B153,Catálogo!$A$5:$A$304,0)),"ISBN não cadastrado"))</f>
        <v/>
      </c>
      <c r="D153" s="33" t="str">
        <f aca="false">IF(B153="","",IFERROR(INDEX(Catálogo!$B$5:$B$304,MATCH(B153,Catálogo!$A$5:$A$304,0)),"ISBN não cadastrado"))</f>
        <v/>
      </c>
      <c r="E153" s="24"/>
      <c r="F153" s="21"/>
      <c r="G153" s="1"/>
      <c r="H153" s="1"/>
      <c r="I153" s="28" t="str">
        <f aca="false">IF(B153="","",E153*IFERROR(INDEX(Catálogo!$G$5:$G$304,MATCH(B153,Catálogo!$A$5:$A$304,0)),0))</f>
        <v/>
      </c>
      <c r="J153" s="22" t="str">
        <f aca="false">IF(B153="","",E153*F153)</f>
        <v/>
      </c>
      <c r="K153" s="23" t="str">
        <f aca="false">IF(OR(B153="",I153=0),"",1-J153/I153)</f>
        <v/>
      </c>
      <c r="L153" s="1"/>
    </row>
    <row r="154" customFormat="false" ht="15" hidden="false" customHeight="false" outlineLevel="0" collapsed="false">
      <c r="A154" s="25"/>
      <c r="B154" s="1"/>
      <c r="C154" s="33" t="str">
        <f aca="false">IF(B154="","",IFERROR(INDEX(Catálogo!$C$5:$C$304,MATCH(B154,Catálogo!$A$5:$A$304,0)),"ISBN não cadastrado"))</f>
        <v/>
      </c>
      <c r="D154" s="33" t="str">
        <f aca="false">IF(B154="","",IFERROR(INDEX(Catálogo!$B$5:$B$304,MATCH(B154,Catálogo!$A$5:$A$304,0)),"ISBN não cadastrado"))</f>
        <v/>
      </c>
      <c r="E154" s="24"/>
      <c r="F154" s="21"/>
      <c r="G154" s="1"/>
      <c r="H154" s="1"/>
      <c r="I154" s="28" t="str">
        <f aca="false">IF(B154="","",E154*IFERROR(INDEX(Catálogo!$G$5:$G$304,MATCH(B154,Catálogo!$A$5:$A$304,0)),0))</f>
        <v/>
      </c>
      <c r="J154" s="22" t="str">
        <f aca="false">IF(B154="","",E154*F154)</f>
        <v/>
      </c>
      <c r="K154" s="23" t="str">
        <f aca="false">IF(OR(B154="",I154=0),"",1-J154/I154)</f>
        <v/>
      </c>
      <c r="L154" s="1"/>
    </row>
    <row r="155" customFormat="false" ht="15" hidden="false" customHeight="false" outlineLevel="0" collapsed="false">
      <c r="A155" s="25"/>
      <c r="B155" s="1"/>
      <c r="C155" s="33" t="str">
        <f aca="false">IF(B155="","",IFERROR(INDEX(Catálogo!$C$5:$C$304,MATCH(B155,Catálogo!$A$5:$A$304,0)),"ISBN não cadastrado"))</f>
        <v/>
      </c>
      <c r="D155" s="33" t="str">
        <f aca="false">IF(B155="","",IFERROR(INDEX(Catálogo!$B$5:$B$304,MATCH(B155,Catálogo!$A$5:$A$304,0)),"ISBN não cadastrado"))</f>
        <v/>
      </c>
      <c r="E155" s="24"/>
      <c r="F155" s="21"/>
      <c r="G155" s="1"/>
      <c r="H155" s="1"/>
      <c r="I155" s="28" t="str">
        <f aca="false">IF(B155="","",E155*IFERROR(INDEX(Catálogo!$G$5:$G$304,MATCH(B155,Catálogo!$A$5:$A$304,0)),0))</f>
        <v/>
      </c>
      <c r="J155" s="22" t="str">
        <f aca="false">IF(B155="","",E155*F155)</f>
        <v/>
      </c>
      <c r="K155" s="23" t="str">
        <f aca="false">IF(OR(B155="",I155=0),"",1-J155/I155)</f>
        <v/>
      </c>
      <c r="L155" s="1"/>
    </row>
    <row r="156" customFormat="false" ht="15" hidden="false" customHeight="false" outlineLevel="0" collapsed="false">
      <c r="A156" s="25"/>
      <c r="B156" s="1"/>
      <c r="C156" s="33" t="str">
        <f aca="false">IF(B156="","",IFERROR(INDEX(Catálogo!$C$5:$C$304,MATCH(B156,Catálogo!$A$5:$A$304,0)),"ISBN não cadastrado"))</f>
        <v/>
      </c>
      <c r="D156" s="33" t="str">
        <f aca="false">IF(B156="","",IFERROR(INDEX(Catálogo!$B$5:$B$304,MATCH(B156,Catálogo!$A$5:$A$304,0)),"ISBN não cadastrado"))</f>
        <v/>
      </c>
      <c r="E156" s="24"/>
      <c r="F156" s="21"/>
      <c r="G156" s="1"/>
      <c r="H156" s="1"/>
      <c r="I156" s="28" t="str">
        <f aca="false">IF(B156="","",E156*IFERROR(INDEX(Catálogo!$G$5:$G$304,MATCH(B156,Catálogo!$A$5:$A$304,0)),0))</f>
        <v/>
      </c>
      <c r="J156" s="22" t="str">
        <f aca="false">IF(B156="","",E156*F156)</f>
        <v/>
      </c>
      <c r="K156" s="23" t="str">
        <f aca="false">IF(OR(B156="",I156=0),"",1-J156/I156)</f>
        <v/>
      </c>
      <c r="L156" s="1"/>
    </row>
    <row r="157" customFormat="false" ht="15" hidden="false" customHeight="false" outlineLevel="0" collapsed="false">
      <c r="A157" s="25"/>
      <c r="B157" s="1"/>
      <c r="C157" s="33" t="str">
        <f aca="false">IF(B157="","",IFERROR(INDEX(Catálogo!$C$5:$C$304,MATCH(B157,Catálogo!$A$5:$A$304,0)),"ISBN não cadastrado"))</f>
        <v/>
      </c>
      <c r="D157" s="33" t="str">
        <f aca="false">IF(B157="","",IFERROR(INDEX(Catálogo!$B$5:$B$304,MATCH(B157,Catálogo!$A$5:$A$304,0)),"ISBN não cadastrado"))</f>
        <v/>
      </c>
      <c r="E157" s="24"/>
      <c r="F157" s="21"/>
      <c r="G157" s="1"/>
      <c r="H157" s="1"/>
      <c r="I157" s="28" t="str">
        <f aca="false">IF(B157="","",E157*IFERROR(INDEX(Catálogo!$G$5:$G$304,MATCH(B157,Catálogo!$A$5:$A$304,0)),0))</f>
        <v/>
      </c>
      <c r="J157" s="22" t="str">
        <f aca="false">IF(B157="","",E157*F157)</f>
        <v/>
      </c>
      <c r="K157" s="23" t="str">
        <f aca="false">IF(OR(B157="",I157=0),"",1-J157/I157)</f>
        <v/>
      </c>
      <c r="L157" s="1"/>
    </row>
    <row r="158" customFormat="false" ht="15" hidden="false" customHeight="false" outlineLevel="0" collapsed="false">
      <c r="A158" s="25"/>
      <c r="B158" s="1"/>
      <c r="C158" s="33" t="str">
        <f aca="false">IF(B158="","",IFERROR(INDEX(Catálogo!$C$5:$C$304,MATCH(B158,Catálogo!$A$5:$A$304,0)),"ISBN não cadastrado"))</f>
        <v/>
      </c>
      <c r="D158" s="33" t="str">
        <f aca="false">IF(B158="","",IFERROR(INDEX(Catálogo!$B$5:$B$304,MATCH(B158,Catálogo!$A$5:$A$304,0)),"ISBN não cadastrado"))</f>
        <v/>
      </c>
      <c r="E158" s="24"/>
      <c r="F158" s="21"/>
      <c r="G158" s="1"/>
      <c r="H158" s="1"/>
      <c r="I158" s="28" t="str">
        <f aca="false">IF(B158="","",E158*IFERROR(INDEX(Catálogo!$G$5:$G$304,MATCH(B158,Catálogo!$A$5:$A$304,0)),0))</f>
        <v/>
      </c>
      <c r="J158" s="22" t="str">
        <f aca="false">IF(B158="","",E158*F158)</f>
        <v/>
      </c>
      <c r="K158" s="23" t="str">
        <f aca="false">IF(OR(B158="",I158=0),"",1-J158/I158)</f>
        <v/>
      </c>
      <c r="L158" s="1"/>
    </row>
    <row r="159" customFormat="false" ht="15" hidden="false" customHeight="false" outlineLevel="0" collapsed="false">
      <c r="A159" s="25"/>
      <c r="B159" s="1"/>
      <c r="C159" s="33" t="str">
        <f aca="false">IF(B159="","",IFERROR(INDEX(Catálogo!$C$5:$C$304,MATCH(B159,Catálogo!$A$5:$A$304,0)),"ISBN não cadastrado"))</f>
        <v/>
      </c>
      <c r="D159" s="33" t="str">
        <f aca="false">IF(B159="","",IFERROR(INDEX(Catálogo!$B$5:$B$304,MATCH(B159,Catálogo!$A$5:$A$304,0)),"ISBN não cadastrado"))</f>
        <v/>
      </c>
      <c r="E159" s="24"/>
      <c r="F159" s="21"/>
      <c r="G159" s="1"/>
      <c r="H159" s="1"/>
      <c r="I159" s="28" t="str">
        <f aca="false">IF(B159="","",E159*IFERROR(INDEX(Catálogo!$G$5:$G$304,MATCH(B159,Catálogo!$A$5:$A$304,0)),0))</f>
        <v/>
      </c>
      <c r="J159" s="22" t="str">
        <f aca="false">IF(B159="","",E159*F159)</f>
        <v/>
      </c>
      <c r="K159" s="23" t="str">
        <f aca="false">IF(OR(B159="",I159=0),"",1-J159/I159)</f>
        <v/>
      </c>
      <c r="L159" s="1"/>
    </row>
    <row r="160" customFormat="false" ht="15" hidden="false" customHeight="false" outlineLevel="0" collapsed="false">
      <c r="A160" s="25"/>
      <c r="B160" s="1"/>
      <c r="C160" s="33" t="str">
        <f aca="false">IF(B160="","",IFERROR(INDEX(Catálogo!$C$5:$C$304,MATCH(B160,Catálogo!$A$5:$A$304,0)),"ISBN não cadastrado"))</f>
        <v/>
      </c>
      <c r="D160" s="33" t="str">
        <f aca="false">IF(B160="","",IFERROR(INDEX(Catálogo!$B$5:$B$304,MATCH(B160,Catálogo!$A$5:$A$304,0)),"ISBN não cadastrado"))</f>
        <v/>
      </c>
      <c r="E160" s="24"/>
      <c r="F160" s="21"/>
      <c r="G160" s="1"/>
      <c r="H160" s="1"/>
      <c r="I160" s="28" t="str">
        <f aca="false">IF(B160="","",E160*IFERROR(INDEX(Catálogo!$G$5:$G$304,MATCH(B160,Catálogo!$A$5:$A$304,0)),0))</f>
        <v/>
      </c>
      <c r="J160" s="22" t="str">
        <f aca="false">IF(B160="","",E160*F160)</f>
        <v/>
      </c>
      <c r="K160" s="23" t="str">
        <f aca="false">IF(OR(B160="",I160=0),"",1-J160/I160)</f>
        <v/>
      </c>
      <c r="L160" s="1"/>
    </row>
    <row r="161" customFormat="false" ht="15" hidden="false" customHeight="false" outlineLevel="0" collapsed="false">
      <c r="A161" s="25"/>
      <c r="B161" s="1"/>
      <c r="C161" s="33" t="str">
        <f aca="false">IF(B161="","",IFERROR(INDEX(Catálogo!$C$5:$C$304,MATCH(B161,Catálogo!$A$5:$A$304,0)),"ISBN não cadastrado"))</f>
        <v/>
      </c>
      <c r="D161" s="33" t="str">
        <f aca="false">IF(B161="","",IFERROR(INDEX(Catálogo!$B$5:$B$304,MATCH(B161,Catálogo!$A$5:$A$304,0)),"ISBN não cadastrado"))</f>
        <v/>
      </c>
      <c r="E161" s="24"/>
      <c r="F161" s="21"/>
      <c r="G161" s="1"/>
      <c r="H161" s="1"/>
      <c r="I161" s="28" t="str">
        <f aca="false">IF(B161="","",E161*IFERROR(INDEX(Catálogo!$G$5:$G$304,MATCH(B161,Catálogo!$A$5:$A$304,0)),0))</f>
        <v/>
      </c>
      <c r="J161" s="22" t="str">
        <f aca="false">IF(B161="","",E161*F161)</f>
        <v/>
      </c>
      <c r="K161" s="23" t="str">
        <f aca="false">IF(OR(B161="",I161=0),"",1-J161/I161)</f>
        <v/>
      </c>
      <c r="L161" s="1"/>
    </row>
    <row r="162" customFormat="false" ht="15" hidden="false" customHeight="false" outlineLevel="0" collapsed="false">
      <c r="A162" s="25"/>
      <c r="B162" s="1"/>
      <c r="C162" s="33" t="str">
        <f aca="false">IF(B162="","",IFERROR(INDEX(Catálogo!$C$5:$C$304,MATCH(B162,Catálogo!$A$5:$A$304,0)),"ISBN não cadastrado"))</f>
        <v/>
      </c>
      <c r="D162" s="33" t="str">
        <f aca="false">IF(B162="","",IFERROR(INDEX(Catálogo!$B$5:$B$304,MATCH(B162,Catálogo!$A$5:$A$304,0)),"ISBN não cadastrado"))</f>
        <v/>
      </c>
      <c r="E162" s="24"/>
      <c r="F162" s="21"/>
      <c r="G162" s="1"/>
      <c r="H162" s="1"/>
      <c r="I162" s="28" t="str">
        <f aca="false">IF(B162="","",E162*IFERROR(INDEX(Catálogo!$G$5:$G$304,MATCH(B162,Catálogo!$A$5:$A$304,0)),0))</f>
        <v/>
      </c>
      <c r="J162" s="22" t="str">
        <f aca="false">IF(B162="","",E162*F162)</f>
        <v/>
      </c>
      <c r="K162" s="23" t="str">
        <f aca="false">IF(OR(B162="",I162=0),"",1-J162/I162)</f>
        <v/>
      </c>
      <c r="L162" s="1"/>
    </row>
    <row r="163" customFormat="false" ht="15" hidden="false" customHeight="false" outlineLevel="0" collapsed="false">
      <c r="A163" s="25"/>
      <c r="B163" s="1"/>
      <c r="C163" s="33" t="str">
        <f aca="false">IF(B163="","",IFERROR(INDEX(Catálogo!$C$5:$C$304,MATCH(B163,Catálogo!$A$5:$A$304,0)),"ISBN não cadastrado"))</f>
        <v/>
      </c>
      <c r="D163" s="33" t="str">
        <f aca="false">IF(B163="","",IFERROR(INDEX(Catálogo!$B$5:$B$304,MATCH(B163,Catálogo!$A$5:$A$304,0)),"ISBN não cadastrado"))</f>
        <v/>
      </c>
      <c r="E163" s="24"/>
      <c r="F163" s="21"/>
      <c r="G163" s="1"/>
      <c r="H163" s="1"/>
      <c r="I163" s="28" t="str">
        <f aca="false">IF(B163="","",E163*IFERROR(INDEX(Catálogo!$G$5:$G$304,MATCH(B163,Catálogo!$A$5:$A$304,0)),0))</f>
        <v/>
      </c>
      <c r="J163" s="22" t="str">
        <f aca="false">IF(B163="","",E163*F163)</f>
        <v/>
      </c>
      <c r="K163" s="23" t="str">
        <f aca="false">IF(OR(B163="",I163=0),"",1-J163/I163)</f>
        <v/>
      </c>
      <c r="L163" s="1"/>
    </row>
    <row r="164" customFormat="false" ht="15" hidden="false" customHeight="false" outlineLevel="0" collapsed="false">
      <c r="A164" s="25"/>
      <c r="B164" s="1"/>
      <c r="C164" s="33" t="str">
        <f aca="false">IF(B164="","",IFERROR(INDEX(Catálogo!$C$5:$C$304,MATCH(B164,Catálogo!$A$5:$A$304,0)),"ISBN não cadastrado"))</f>
        <v/>
      </c>
      <c r="D164" s="33" t="str">
        <f aca="false">IF(B164="","",IFERROR(INDEX(Catálogo!$B$5:$B$304,MATCH(B164,Catálogo!$A$5:$A$304,0)),"ISBN não cadastrado"))</f>
        <v/>
      </c>
      <c r="E164" s="24"/>
      <c r="F164" s="21"/>
      <c r="G164" s="1"/>
      <c r="H164" s="1"/>
      <c r="I164" s="28" t="str">
        <f aca="false">IF(B164="","",E164*IFERROR(INDEX(Catálogo!$G$5:$G$304,MATCH(B164,Catálogo!$A$5:$A$304,0)),0))</f>
        <v/>
      </c>
      <c r="J164" s="22" t="str">
        <f aca="false">IF(B164="","",E164*F164)</f>
        <v/>
      </c>
      <c r="K164" s="23" t="str">
        <f aca="false">IF(OR(B164="",I164=0),"",1-J164/I164)</f>
        <v/>
      </c>
      <c r="L164" s="1"/>
    </row>
    <row r="165" customFormat="false" ht="15" hidden="false" customHeight="false" outlineLevel="0" collapsed="false">
      <c r="A165" s="25"/>
      <c r="B165" s="1"/>
      <c r="C165" s="33" t="str">
        <f aca="false">IF(B165="","",IFERROR(INDEX(Catálogo!$C$5:$C$304,MATCH(B165,Catálogo!$A$5:$A$304,0)),"ISBN não cadastrado"))</f>
        <v/>
      </c>
      <c r="D165" s="33" t="str">
        <f aca="false">IF(B165="","",IFERROR(INDEX(Catálogo!$B$5:$B$304,MATCH(B165,Catálogo!$A$5:$A$304,0)),"ISBN não cadastrado"))</f>
        <v/>
      </c>
      <c r="E165" s="24"/>
      <c r="F165" s="21"/>
      <c r="G165" s="1"/>
      <c r="H165" s="1"/>
      <c r="I165" s="28" t="str">
        <f aca="false">IF(B165="","",E165*IFERROR(INDEX(Catálogo!$G$5:$G$304,MATCH(B165,Catálogo!$A$5:$A$304,0)),0))</f>
        <v/>
      </c>
      <c r="J165" s="22" t="str">
        <f aca="false">IF(B165="","",E165*F165)</f>
        <v/>
      </c>
      <c r="K165" s="23" t="str">
        <f aca="false">IF(OR(B165="",I165=0),"",1-J165/I165)</f>
        <v/>
      </c>
      <c r="L165" s="1"/>
    </row>
    <row r="166" customFormat="false" ht="15" hidden="false" customHeight="false" outlineLevel="0" collapsed="false">
      <c r="A166" s="25"/>
      <c r="B166" s="1"/>
      <c r="C166" s="33" t="str">
        <f aca="false">IF(B166="","",IFERROR(INDEX(Catálogo!$C$5:$C$304,MATCH(B166,Catálogo!$A$5:$A$304,0)),"ISBN não cadastrado"))</f>
        <v/>
      </c>
      <c r="D166" s="33" t="str">
        <f aca="false">IF(B166="","",IFERROR(INDEX(Catálogo!$B$5:$B$304,MATCH(B166,Catálogo!$A$5:$A$304,0)),"ISBN não cadastrado"))</f>
        <v/>
      </c>
      <c r="E166" s="24"/>
      <c r="F166" s="21"/>
      <c r="G166" s="1"/>
      <c r="H166" s="1"/>
      <c r="I166" s="28" t="str">
        <f aca="false">IF(B166="","",E166*IFERROR(INDEX(Catálogo!$G$5:$G$304,MATCH(B166,Catálogo!$A$5:$A$304,0)),0))</f>
        <v/>
      </c>
      <c r="J166" s="22" t="str">
        <f aca="false">IF(B166="","",E166*F166)</f>
        <v/>
      </c>
      <c r="K166" s="23" t="str">
        <f aca="false">IF(OR(B166="",I166=0),"",1-J166/I166)</f>
        <v/>
      </c>
      <c r="L166" s="1"/>
    </row>
    <row r="167" customFormat="false" ht="15" hidden="false" customHeight="false" outlineLevel="0" collapsed="false">
      <c r="A167" s="25"/>
      <c r="B167" s="1"/>
      <c r="C167" s="33" t="str">
        <f aca="false">IF(B167="","",IFERROR(INDEX(Catálogo!$C$5:$C$304,MATCH(B167,Catálogo!$A$5:$A$304,0)),"ISBN não cadastrado"))</f>
        <v/>
      </c>
      <c r="D167" s="33" t="str">
        <f aca="false">IF(B167="","",IFERROR(INDEX(Catálogo!$B$5:$B$304,MATCH(B167,Catálogo!$A$5:$A$304,0)),"ISBN não cadastrado"))</f>
        <v/>
      </c>
      <c r="E167" s="24"/>
      <c r="F167" s="21"/>
      <c r="G167" s="1"/>
      <c r="H167" s="1"/>
      <c r="I167" s="28" t="str">
        <f aca="false">IF(B167="","",E167*IFERROR(INDEX(Catálogo!$G$5:$G$304,MATCH(B167,Catálogo!$A$5:$A$304,0)),0))</f>
        <v/>
      </c>
      <c r="J167" s="22" t="str">
        <f aca="false">IF(B167="","",E167*F167)</f>
        <v/>
      </c>
      <c r="K167" s="23" t="str">
        <f aca="false">IF(OR(B167="",I167=0),"",1-J167/I167)</f>
        <v/>
      </c>
      <c r="L167" s="1"/>
    </row>
    <row r="168" customFormat="false" ht="15" hidden="false" customHeight="false" outlineLevel="0" collapsed="false">
      <c r="A168" s="25"/>
      <c r="B168" s="1"/>
      <c r="C168" s="33" t="str">
        <f aca="false">IF(B168="","",IFERROR(INDEX(Catálogo!$C$5:$C$304,MATCH(B168,Catálogo!$A$5:$A$304,0)),"ISBN não cadastrado"))</f>
        <v/>
      </c>
      <c r="D168" s="33" t="str">
        <f aca="false">IF(B168="","",IFERROR(INDEX(Catálogo!$B$5:$B$304,MATCH(B168,Catálogo!$A$5:$A$304,0)),"ISBN não cadastrado"))</f>
        <v/>
      </c>
      <c r="E168" s="24"/>
      <c r="F168" s="21"/>
      <c r="G168" s="1"/>
      <c r="H168" s="1"/>
      <c r="I168" s="28" t="str">
        <f aca="false">IF(B168="","",E168*IFERROR(INDEX(Catálogo!$G$5:$G$304,MATCH(B168,Catálogo!$A$5:$A$304,0)),0))</f>
        <v/>
      </c>
      <c r="J168" s="22" t="str">
        <f aca="false">IF(B168="","",E168*F168)</f>
        <v/>
      </c>
      <c r="K168" s="23" t="str">
        <f aca="false">IF(OR(B168="",I168=0),"",1-J168/I168)</f>
        <v/>
      </c>
      <c r="L168" s="1"/>
    </row>
    <row r="169" customFormat="false" ht="15" hidden="false" customHeight="false" outlineLevel="0" collapsed="false">
      <c r="A169" s="25"/>
      <c r="B169" s="1"/>
      <c r="C169" s="33" t="str">
        <f aca="false">IF(B169="","",IFERROR(INDEX(Catálogo!$C$5:$C$304,MATCH(B169,Catálogo!$A$5:$A$304,0)),"ISBN não cadastrado"))</f>
        <v/>
      </c>
      <c r="D169" s="33" t="str">
        <f aca="false">IF(B169="","",IFERROR(INDEX(Catálogo!$B$5:$B$304,MATCH(B169,Catálogo!$A$5:$A$304,0)),"ISBN não cadastrado"))</f>
        <v/>
      </c>
      <c r="E169" s="24"/>
      <c r="F169" s="21"/>
      <c r="G169" s="1"/>
      <c r="H169" s="1"/>
      <c r="I169" s="28" t="str">
        <f aca="false">IF(B169="","",E169*IFERROR(INDEX(Catálogo!$G$5:$G$304,MATCH(B169,Catálogo!$A$5:$A$304,0)),0))</f>
        <v/>
      </c>
      <c r="J169" s="22" t="str">
        <f aca="false">IF(B169="","",E169*F169)</f>
        <v/>
      </c>
      <c r="K169" s="23" t="str">
        <f aca="false">IF(OR(B169="",I169=0),"",1-J169/I169)</f>
        <v/>
      </c>
      <c r="L169" s="1"/>
    </row>
    <row r="170" customFormat="false" ht="15" hidden="false" customHeight="false" outlineLevel="0" collapsed="false">
      <c r="A170" s="25"/>
      <c r="B170" s="1"/>
      <c r="C170" s="33" t="str">
        <f aca="false">IF(B170="","",IFERROR(INDEX(Catálogo!$C$5:$C$304,MATCH(B170,Catálogo!$A$5:$A$304,0)),"ISBN não cadastrado"))</f>
        <v/>
      </c>
      <c r="D170" s="33" t="str">
        <f aca="false">IF(B170="","",IFERROR(INDEX(Catálogo!$B$5:$B$304,MATCH(B170,Catálogo!$A$5:$A$304,0)),"ISBN não cadastrado"))</f>
        <v/>
      </c>
      <c r="E170" s="24"/>
      <c r="F170" s="21"/>
      <c r="G170" s="1"/>
      <c r="H170" s="1"/>
      <c r="I170" s="28" t="str">
        <f aca="false">IF(B170="","",E170*IFERROR(INDEX(Catálogo!$G$5:$G$304,MATCH(B170,Catálogo!$A$5:$A$304,0)),0))</f>
        <v/>
      </c>
      <c r="J170" s="22" t="str">
        <f aca="false">IF(B170="","",E170*F170)</f>
        <v/>
      </c>
      <c r="K170" s="23" t="str">
        <f aca="false">IF(OR(B170="",I170=0),"",1-J170/I170)</f>
        <v/>
      </c>
      <c r="L170" s="1"/>
    </row>
    <row r="171" customFormat="false" ht="15" hidden="false" customHeight="false" outlineLevel="0" collapsed="false">
      <c r="A171" s="25"/>
      <c r="B171" s="1"/>
      <c r="C171" s="33" t="str">
        <f aca="false">IF(B171="","",IFERROR(INDEX(Catálogo!$C$5:$C$304,MATCH(B171,Catálogo!$A$5:$A$304,0)),"ISBN não cadastrado"))</f>
        <v/>
      </c>
      <c r="D171" s="33" t="str">
        <f aca="false">IF(B171="","",IFERROR(INDEX(Catálogo!$B$5:$B$304,MATCH(B171,Catálogo!$A$5:$A$304,0)),"ISBN não cadastrado"))</f>
        <v/>
      </c>
      <c r="E171" s="24"/>
      <c r="F171" s="21"/>
      <c r="G171" s="1"/>
      <c r="H171" s="1"/>
      <c r="I171" s="28" t="str">
        <f aca="false">IF(B171="","",E171*IFERROR(INDEX(Catálogo!$G$5:$G$304,MATCH(B171,Catálogo!$A$5:$A$304,0)),0))</f>
        <v/>
      </c>
      <c r="J171" s="22" t="str">
        <f aca="false">IF(B171="","",E171*F171)</f>
        <v/>
      </c>
      <c r="K171" s="23" t="str">
        <f aca="false">IF(OR(B171="",I171=0),"",1-J171/I171)</f>
        <v/>
      </c>
      <c r="L171" s="1"/>
    </row>
    <row r="172" customFormat="false" ht="15" hidden="false" customHeight="false" outlineLevel="0" collapsed="false">
      <c r="A172" s="25"/>
      <c r="B172" s="1"/>
      <c r="C172" s="33" t="str">
        <f aca="false">IF(B172="","",IFERROR(INDEX(Catálogo!$C$5:$C$304,MATCH(B172,Catálogo!$A$5:$A$304,0)),"ISBN não cadastrado"))</f>
        <v/>
      </c>
      <c r="D172" s="33" t="str">
        <f aca="false">IF(B172="","",IFERROR(INDEX(Catálogo!$B$5:$B$304,MATCH(B172,Catálogo!$A$5:$A$304,0)),"ISBN não cadastrado"))</f>
        <v/>
      </c>
      <c r="E172" s="24"/>
      <c r="F172" s="21"/>
      <c r="G172" s="1"/>
      <c r="H172" s="1"/>
      <c r="I172" s="28" t="str">
        <f aca="false">IF(B172="","",E172*IFERROR(INDEX(Catálogo!$G$5:$G$304,MATCH(B172,Catálogo!$A$5:$A$304,0)),0))</f>
        <v/>
      </c>
      <c r="J172" s="22" t="str">
        <f aca="false">IF(B172="","",E172*F172)</f>
        <v/>
      </c>
      <c r="K172" s="23" t="str">
        <f aca="false">IF(OR(B172="",I172=0),"",1-J172/I172)</f>
        <v/>
      </c>
      <c r="L172" s="1"/>
    </row>
    <row r="173" customFormat="false" ht="15" hidden="false" customHeight="false" outlineLevel="0" collapsed="false">
      <c r="A173" s="25"/>
      <c r="B173" s="1"/>
      <c r="C173" s="33" t="str">
        <f aca="false">IF(B173="","",IFERROR(INDEX(Catálogo!$C$5:$C$304,MATCH(B173,Catálogo!$A$5:$A$304,0)),"ISBN não cadastrado"))</f>
        <v/>
      </c>
      <c r="D173" s="33" t="str">
        <f aca="false">IF(B173="","",IFERROR(INDEX(Catálogo!$B$5:$B$304,MATCH(B173,Catálogo!$A$5:$A$304,0)),"ISBN não cadastrado"))</f>
        <v/>
      </c>
      <c r="E173" s="24"/>
      <c r="F173" s="21"/>
      <c r="G173" s="1"/>
      <c r="H173" s="1"/>
      <c r="I173" s="28" t="str">
        <f aca="false">IF(B173="","",E173*IFERROR(INDEX(Catálogo!$G$5:$G$304,MATCH(B173,Catálogo!$A$5:$A$304,0)),0))</f>
        <v/>
      </c>
      <c r="J173" s="22" t="str">
        <f aca="false">IF(B173="","",E173*F173)</f>
        <v/>
      </c>
      <c r="K173" s="23" t="str">
        <f aca="false">IF(OR(B173="",I173=0),"",1-J173/I173)</f>
        <v/>
      </c>
      <c r="L173" s="1"/>
    </row>
    <row r="174" customFormat="false" ht="15" hidden="false" customHeight="false" outlineLevel="0" collapsed="false">
      <c r="A174" s="25"/>
      <c r="B174" s="1"/>
      <c r="C174" s="33" t="str">
        <f aca="false">IF(B174="","",IFERROR(INDEX(Catálogo!$C$5:$C$304,MATCH(B174,Catálogo!$A$5:$A$304,0)),"ISBN não cadastrado"))</f>
        <v/>
      </c>
      <c r="D174" s="33" t="str">
        <f aca="false">IF(B174="","",IFERROR(INDEX(Catálogo!$B$5:$B$304,MATCH(B174,Catálogo!$A$5:$A$304,0)),"ISBN não cadastrado"))</f>
        <v/>
      </c>
      <c r="E174" s="24"/>
      <c r="F174" s="21"/>
      <c r="G174" s="1"/>
      <c r="H174" s="1"/>
      <c r="I174" s="28" t="str">
        <f aca="false">IF(B174="","",E174*IFERROR(INDEX(Catálogo!$G$5:$G$304,MATCH(B174,Catálogo!$A$5:$A$304,0)),0))</f>
        <v/>
      </c>
      <c r="J174" s="22" t="str">
        <f aca="false">IF(B174="","",E174*F174)</f>
        <v/>
      </c>
      <c r="K174" s="23" t="str">
        <f aca="false">IF(OR(B174="",I174=0),"",1-J174/I174)</f>
        <v/>
      </c>
      <c r="L174" s="1"/>
    </row>
    <row r="175" customFormat="false" ht="15" hidden="false" customHeight="false" outlineLevel="0" collapsed="false">
      <c r="A175" s="25"/>
      <c r="B175" s="1"/>
      <c r="C175" s="33" t="str">
        <f aca="false">IF(B175="","",IFERROR(INDEX(Catálogo!$C$5:$C$304,MATCH(B175,Catálogo!$A$5:$A$304,0)),"ISBN não cadastrado"))</f>
        <v/>
      </c>
      <c r="D175" s="33" t="str">
        <f aca="false">IF(B175="","",IFERROR(INDEX(Catálogo!$B$5:$B$304,MATCH(B175,Catálogo!$A$5:$A$304,0)),"ISBN não cadastrado"))</f>
        <v/>
      </c>
      <c r="E175" s="24"/>
      <c r="F175" s="21"/>
      <c r="G175" s="1"/>
      <c r="H175" s="1"/>
      <c r="I175" s="28" t="str">
        <f aca="false">IF(B175="","",E175*IFERROR(INDEX(Catálogo!$G$5:$G$304,MATCH(B175,Catálogo!$A$5:$A$304,0)),0))</f>
        <v/>
      </c>
      <c r="J175" s="22" t="str">
        <f aca="false">IF(B175="","",E175*F175)</f>
        <v/>
      </c>
      <c r="K175" s="23" t="str">
        <f aca="false">IF(OR(B175="",I175=0),"",1-J175/I175)</f>
        <v/>
      </c>
      <c r="L175" s="1"/>
    </row>
    <row r="176" customFormat="false" ht="15" hidden="false" customHeight="false" outlineLevel="0" collapsed="false">
      <c r="A176" s="25"/>
      <c r="B176" s="1"/>
      <c r="C176" s="33" t="str">
        <f aca="false">IF(B176="","",IFERROR(INDEX(Catálogo!$C$5:$C$304,MATCH(B176,Catálogo!$A$5:$A$304,0)),"ISBN não cadastrado"))</f>
        <v/>
      </c>
      <c r="D176" s="33" t="str">
        <f aca="false">IF(B176="","",IFERROR(INDEX(Catálogo!$B$5:$B$304,MATCH(B176,Catálogo!$A$5:$A$304,0)),"ISBN não cadastrado"))</f>
        <v/>
      </c>
      <c r="E176" s="24"/>
      <c r="F176" s="21"/>
      <c r="G176" s="1"/>
      <c r="H176" s="1"/>
      <c r="I176" s="28" t="str">
        <f aca="false">IF(B176="","",E176*IFERROR(INDEX(Catálogo!$G$5:$G$304,MATCH(B176,Catálogo!$A$5:$A$304,0)),0))</f>
        <v/>
      </c>
      <c r="J176" s="22" t="str">
        <f aca="false">IF(B176="","",E176*F176)</f>
        <v/>
      </c>
      <c r="K176" s="23" t="str">
        <f aca="false">IF(OR(B176="",I176=0),"",1-J176/I176)</f>
        <v/>
      </c>
      <c r="L176" s="1"/>
    </row>
    <row r="177" customFormat="false" ht="15" hidden="false" customHeight="false" outlineLevel="0" collapsed="false">
      <c r="A177" s="25"/>
      <c r="B177" s="1"/>
      <c r="C177" s="33" t="str">
        <f aca="false">IF(B177="","",IFERROR(INDEX(Catálogo!$C$5:$C$304,MATCH(B177,Catálogo!$A$5:$A$304,0)),"ISBN não cadastrado"))</f>
        <v/>
      </c>
      <c r="D177" s="33" t="str">
        <f aca="false">IF(B177="","",IFERROR(INDEX(Catálogo!$B$5:$B$304,MATCH(B177,Catálogo!$A$5:$A$304,0)),"ISBN não cadastrado"))</f>
        <v/>
      </c>
      <c r="E177" s="24"/>
      <c r="F177" s="21"/>
      <c r="G177" s="1"/>
      <c r="H177" s="1"/>
      <c r="I177" s="28" t="str">
        <f aca="false">IF(B177="","",E177*IFERROR(INDEX(Catálogo!$G$5:$G$304,MATCH(B177,Catálogo!$A$5:$A$304,0)),0))</f>
        <v/>
      </c>
      <c r="J177" s="22" t="str">
        <f aca="false">IF(B177="","",E177*F177)</f>
        <v/>
      </c>
      <c r="K177" s="23" t="str">
        <f aca="false">IF(OR(B177="",I177=0),"",1-J177/I177)</f>
        <v/>
      </c>
      <c r="L177" s="1"/>
    </row>
    <row r="178" customFormat="false" ht="15" hidden="false" customHeight="false" outlineLevel="0" collapsed="false">
      <c r="A178" s="25"/>
      <c r="B178" s="1"/>
      <c r="C178" s="33" t="str">
        <f aca="false">IF(B178="","",IFERROR(INDEX(Catálogo!$C$5:$C$304,MATCH(B178,Catálogo!$A$5:$A$304,0)),"ISBN não cadastrado"))</f>
        <v/>
      </c>
      <c r="D178" s="33" t="str">
        <f aca="false">IF(B178="","",IFERROR(INDEX(Catálogo!$B$5:$B$304,MATCH(B178,Catálogo!$A$5:$A$304,0)),"ISBN não cadastrado"))</f>
        <v/>
      </c>
      <c r="E178" s="24"/>
      <c r="F178" s="21"/>
      <c r="G178" s="1"/>
      <c r="H178" s="1"/>
      <c r="I178" s="28" t="str">
        <f aca="false">IF(B178="","",E178*IFERROR(INDEX(Catálogo!$G$5:$G$304,MATCH(B178,Catálogo!$A$5:$A$304,0)),0))</f>
        <v/>
      </c>
      <c r="J178" s="22" t="str">
        <f aca="false">IF(B178="","",E178*F178)</f>
        <v/>
      </c>
      <c r="K178" s="23" t="str">
        <f aca="false">IF(OR(B178="",I178=0),"",1-J178/I178)</f>
        <v/>
      </c>
      <c r="L178" s="1"/>
    </row>
    <row r="179" customFormat="false" ht="15" hidden="false" customHeight="false" outlineLevel="0" collapsed="false">
      <c r="A179" s="25"/>
      <c r="B179" s="1"/>
      <c r="C179" s="33" t="str">
        <f aca="false">IF(B179="","",IFERROR(INDEX(Catálogo!$C$5:$C$304,MATCH(B179,Catálogo!$A$5:$A$304,0)),"ISBN não cadastrado"))</f>
        <v/>
      </c>
      <c r="D179" s="33" t="str">
        <f aca="false">IF(B179="","",IFERROR(INDEX(Catálogo!$B$5:$B$304,MATCH(B179,Catálogo!$A$5:$A$304,0)),"ISBN não cadastrado"))</f>
        <v/>
      </c>
      <c r="E179" s="24"/>
      <c r="F179" s="21"/>
      <c r="G179" s="1"/>
      <c r="H179" s="1"/>
      <c r="I179" s="28" t="str">
        <f aca="false">IF(B179="","",E179*IFERROR(INDEX(Catálogo!$G$5:$G$304,MATCH(B179,Catálogo!$A$5:$A$304,0)),0))</f>
        <v/>
      </c>
      <c r="J179" s="22" t="str">
        <f aca="false">IF(B179="","",E179*F179)</f>
        <v/>
      </c>
      <c r="K179" s="23" t="str">
        <f aca="false">IF(OR(B179="",I179=0),"",1-J179/I179)</f>
        <v/>
      </c>
      <c r="L179" s="1"/>
    </row>
    <row r="180" customFormat="false" ht="15" hidden="false" customHeight="false" outlineLevel="0" collapsed="false">
      <c r="A180" s="25"/>
      <c r="B180" s="1"/>
      <c r="C180" s="33" t="str">
        <f aca="false">IF(B180="","",IFERROR(INDEX(Catálogo!$C$5:$C$304,MATCH(B180,Catálogo!$A$5:$A$304,0)),"ISBN não cadastrado"))</f>
        <v/>
      </c>
      <c r="D180" s="33" t="str">
        <f aca="false">IF(B180="","",IFERROR(INDEX(Catálogo!$B$5:$B$304,MATCH(B180,Catálogo!$A$5:$A$304,0)),"ISBN não cadastrado"))</f>
        <v/>
      </c>
      <c r="E180" s="24"/>
      <c r="F180" s="21"/>
      <c r="G180" s="1"/>
      <c r="H180" s="1"/>
      <c r="I180" s="28" t="str">
        <f aca="false">IF(B180="","",E180*IFERROR(INDEX(Catálogo!$G$5:$G$304,MATCH(B180,Catálogo!$A$5:$A$304,0)),0))</f>
        <v/>
      </c>
      <c r="J180" s="22" t="str">
        <f aca="false">IF(B180="","",E180*F180)</f>
        <v/>
      </c>
      <c r="K180" s="23" t="str">
        <f aca="false">IF(OR(B180="",I180=0),"",1-J180/I180)</f>
        <v/>
      </c>
      <c r="L180" s="1"/>
    </row>
    <row r="181" customFormat="false" ht="15" hidden="false" customHeight="false" outlineLevel="0" collapsed="false">
      <c r="A181" s="25"/>
      <c r="B181" s="1"/>
      <c r="C181" s="33" t="str">
        <f aca="false">IF(B181="","",IFERROR(INDEX(Catálogo!$C$5:$C$304,MATCH(B181,Catálogo!$A$5:$A$304,0)),"ISBN não cadastrado"))</f>
        <v/>
      </c>
      <c r="D181" s="33" t="str">
        <f aca="false">IF(B181="","",IFERROR(INDEX(Catálogo!$B$5:$B$304,MATCH(B181,Catálogo!$A$5:$A$304,0)),"ISBN não cadastrado"))</f>
        <v/>
      </c>
      <c r="E181" s="24"/>
      <c r="F181" s="21"/>
      <c r="G181" s="1"/>
      <c r="H181" s="1"/>
      <c r="I181" s="28" t="str">
        <f aca="false">IF(B181="","",E181*IFERROR(INDEX(Catálogo!$G$5:$G$304,MATCH(B181,Catálogo!$A$5:$A$304,0)),0))</f>
        <v/>
      </c>
      <c r="J181" s="22" t="str">
        <f aca="false">IF(B181="","",E181*F181)</f>
        <v/>
      </c>
      <c r="K181" s="23" t="str">
        <f aca="false">IF(OR(B181="",I181=0),"",1-J181/I181)</f>
        <v/>
      </c>
      <c r="L181" s="1"/>
    </row>
    <row r="182" customFormat="false" ht="15" hidden="false" customHeight="false" outlineLevel="0" collapsed="false">
      <c r="A182" s="25"/>
      <c r="B182" s="1"/>
      <c r="C182" s="33" t="str">
        <f aca="false">IF(B182="","",IFERROR(INDEX(Catálogo!$C$5:$C$304,MATCH(B182,Catálogo!$A$5:$A$304,0)),"ISBN não cadastrado"))</f>
        <v/>
      </c>
      <c r="D182" s="33" t="str">
        <f aca="false">IF(B182="","",IFERROR(INDEX(Catálogo!$B$5:$B$304,MATCH(B182,Catálogo!$A$5:$A$304,0)),"ISBN não cadastrado"))</f>
        <v/>
      </c>
      <c r="E182" s="24"/>
      <c r="F182" s="21"/>
      <c r="G182" s="1"/>
      <c r="H182" s="1"/>
      <c r="I182" s="28" t="str">
        <f aca="false">IF(B182="","",E182*IFERROR(INDEX(Catálogo!$G$5:$G$304,MATCH(B182,Catálogo!$A$5:$A$304,0)),0))</f>
        <v/>
      </c>
      <c r="J182" s="22" t="str">
        <f aca="false">IF(B182="","",E182*F182)</f>
        <v/>
      </c>
      <c r="K182" s="23" t="str">
        <f aca="false">IF(OR(B182="",I182=0),"",1-J182/I182)</f>
        <v/>
      </c>
      <c r="L182" s="1"/>
    </row>
    <row r="183" customFormat="false" ht="15" hidden="false" customHeight="false" outlineLevel="0" collapsed="false">
      <c r="A183" s="25"/>
      <c r="B183" s="1"/>
      <c r="C183" s="33" t="str">
        <f aca="false">IF(B183="","",IFERROR(INDEX(Catálogo!$C$5:$C$304,MATCH(B183,Catálogo!$A$5:$A$304,0)),"ISBN não cadastrado"))</f>
        <v/>
      </c>
      <c r="D183" s="33" t="str">
        <f aca="false">IF(B183="","",IFERROR(INDEX(Catálogo!$B$5:$B$304,MATCH(B183,Catálogo!$A$5:$A$304,0)),"ISBN não cadastrado"))</f>
        <v/>
      </c>
      <c r="E183" s="24"/>
      <c r="F183" s="21"/>
      <c r="G183" s="1"/>
      <c r="H183" s="1"/>
      <c r="I183" s="28" t="str">
        <f aca="false">IF(B183="","",E183*IFERROR(INDEX(Catálogo!$G$5:$G$304,MATCH(B183,Catálogo!$A$5:$A$304,0)),0))</f>
        <v/>
      </c>
      <c r="J183" s="22" t="str">
        <f aca="false">IF(B183="","",E183*F183)</f>
        <v/>
      </c>
      <c r="K183" s="23" t="str">
        <f aca="false">IF(OR(B183="",I183=0),"",1-J183/I183)</f>
        <v/>
      </c>
      <c r="L183" s="1"/>
    </row>
    <row r="184" customFormat="false" ht="15" hidden="false" customHeight="false" outlineLevel="0" collapsed="false">
      <c r="A184" s="25"/>
      <c r="B184" s="1"/>
      <c r="C184" s="33" t="str">
        <f aca="false">IF(B184="","",IFERROR(INDEX(Catálogo!$C$5:$C$304,MATCH(B184,Catálogo!$A$5:$A$304,0)),"ISBN não cadastrado"))</f>
        <v/>
      </c>
      <c r="D184" s="33" t="str">
        <f aca="false">IF(B184="","",IFERROR(INDEX(Catálogo!$B$5:$B$304,MATCH(B184,Catálogo!$A$5:$A$304,0)),"ISBN não cadastrado"))</f>
        <v/>
      </c>
      <c r="E184" s="24"/>
      <c r="F184" s="21"/>
      <c r="G184" s="1"/>
      <c r="H184" s="1"/>
      <c r="I184" s="28" t="str">
        <f aca="false">IF(B184="","",E184*IFERROR(INDEX(Catálogo!$G$5:$G$304,MATCH(B184,Catálogo!$A$5:$A$304,0)),0))</f>
        <v/>
      </c>
      <c r="J184" s="22" t="str">
        <f aca="false">IF(B184="","",E184*F184)</f>
        <v/>
      </c>
      <c r="K184" s="23" t="str">
        <f aca="false">IF(OR(B184="",I184=0),"",1-J184/I184)</f>
        <v/>
      </c>
      <c r="L184" s="1"/>
    </row>
    <row r="185" customFormat="false" ht="15" hidden="false" customHeight="false" outlineLevel="0" collapsed="false">
      <c r="A185" s="25"/>
      <c r="B185" s="1"/>
      <c r="C185" s="33" t="str">
        <f aca="false">IF(B185="","",IFERROR(INDEX(Catálogo!$C$5:$C$304,MATCH(B185,Catálogo!$A$5:$A$304,0)),"ISBN não cadastrado"))</f>
        <v/>
      </c>
      <c r="D185" s="33" t="str">
        <f aca="false">IF(B185="","",IFERROR(INDEX(Catálogo!$B$5:$B$304,MATCH(B185,Catálogo!$A$5:$A$304,0)),"ISBN não cadastrado"))</f>
        <v/>
      </c>
      <c r="E185" s="24"/>
      <c r="F185" s="21"/>
      <c r="G185" s="1"/>
      <c r="H185" s="1"/>
      <c r="I185" s="28" t="str">
        <f aca="false">IF(B185="","",E185*IFERROR(INDEX(Catálogo!$G$5:$G$304,MATCH(B185,Catálogo!$A$5:$A$304,0)),0))</f>
        <v/>
      </c>
      <c r="J185" s="22" t="str">
        <f aca="false">IF(B185="","",E185*F185)</f>
        <v/>
      </c>
      <c r="K185" s="23" t="str">
        <f aca="false">IF(OR(B185="",I185=0),"",1-J185/I185)</f>
        <v/>
      </c>
      <c r="L185" s="1"/>
    </row>
    <row r="186" customFormat="false" ht="15" hidden="false" customHeight="false" outlineLevel="0" collapsed="false">
      <c r="A186" s="25"/>
      <c r="B186" s="1"/>
      <c r="C186" s="33" t="str">
        <f aca="false">IF(B186="","",IFERROR(INDEX(Catálogo!$C$5:$C$304,MATCH(B186,Catálogo!$A$5:$A$304,0)),"ISBN não cadastrado"))</f>
        <v/>
      </c>
      <c r="D186" s="33" t="str">
        <f aca="false">IF(B186="","",IFERROR(INDEX(Catálogo!$B$5:$B$304,MATCH(B186,Catálogo!$A$5:$A$304,0)),"ISBN não cadastrado"))</f>
        <v/>
      </c>
      <c r="E186" s="24"/>
      <c r="F186" s="21"/>
      <c r="G186" s="1"/>
      <c r="H186" s="1"/>
      <c r="I186" s="28" t="str">
        <f aca="false">IF(B186="","",E186*IFERROR(INDEX(Catálogo!$G$5:$G$304,MATCH(B186,Catálogo!$A$5:$A$304,0)),0))</f>
        <v/>
      </c>
      <c r="J186" s="22" t="str">
        <f aca="false">IF(B186="","",E186*F186)</f>
        <v/>
      </c>
      <c r="K186" s="23" t="str">
        <f aca="false">IF(OR(B186="",I186=0),"",1-J186/I186)</f>
        <v/>
      </c>
      <c r="L186" s="1"/>
    </row>
    <row r="187" customFormat="false" ht="15" hidden="false" customHeight="false" outlineLevel="0" collapsed="false">
      <c r="A187" s="25"/>
      <c r="B187" s="1"/>
      <c r="C187" s="33" t="str">
        <f aca="false">IF(B187="","",IFERROR(INDEX(Catálogo!$C$5:$C$304,MATCH(B187,Catálogo!$A$5:$A$304,0)),"ISBN não cadastrado"))</f>
        <v/>
      </c>
      <c r="D187" s="33" t="str">
        <f aca="false">IF(B187="","",IFERROR(INDEX(Catálogo!$B$5:$B$304,MATCH(B187,Catálogo!$A$5:$A$304,0)),"ISBN não cadastrado"))</f>
        <v/>
      </c>
      <c r="E187" s="24"/>
      <c r="F187" s="21"/>
      <c r="G187" s="1"/>
      <c r="H187" s="1"/>
      <c r="I187" s="28" t="str">
        <f aca="false">IF(B187="","",E187*IFERROR(INDEX(Catálogo!$G$5:$G$304,MATCH(B187,Catálogo!$A$5:$A$304,0)),0))</f>
        <v/>
      </c>
      <c r="J187" s="22" t="str">
        <f aca="false">IF(B187="","",E187*F187)</f>
        <v/>
      </c>
      <c r="K187" s="23" t="str">
        <f aca="false">IF(OR(B187="",I187=0),"",1-J187/I187)</f>
        <v/>
      </c>
      <c r="L187" s="1"/>
    </row>
    <row r="188" customFormat="false" ht="15" hidden="false" customHeight="false" outlineLevel="0" collapsed="false">
      <c r="A188" s="25"/>
      <c r="B188" s="1"/>
      <c r="C188" s="33" t="str">
        <f aca="false">IF(B188="","",IFERROR(INDEX(Catálogo!$C$5:$C$304,MATCH(B188,Catálogo!$A$5:$A$304,0)),"ISBN não cadastrado"))</f>
        <v/>
      </c>
      <c r="D188" s="33" t="str">
        <f aca="false">IF(B188="","",IFERROR(INDEX(Catálogo!$B$5:$B$304,MATCH(B188,Catálogo!$A$5:$A$304,0)),"ISBN não cadastrado"))</f>
        <v/>
      </c>
      <c r="E188" s="24"/>
      <c r="F188" s="21"/>
      <c r="G188" s="1"/>
      <c r="H188" s="1"/>
      <c r="I188" s="28" t="str">
        <f aca="false">IF(B188="","",E188*IFERROR(INDEX(Catálogo!$G$5:$G$304,MATCH(B188,Catálogo!$A$5:$A$304,0)),0))</f>
        <v/>
      </c>
      <c r="J188" s="22" t="str">
        <f aca="false">IF(B188="","",E188*F188)</f>
        <v/>
      </c>
      <c r="K188" s="23" t="str">
        <f aca="false">IF(OR(B188="",I188=0),"",1-J188/I188)</f>
        <v/>
      </c>
      <c r="L188" s="1"/>
    </row>
    <row r="189" customFormat="false" ht="15" hidden="false" customHeight="false" outlineLevel="0" collapsed="false">
      <c r="A189" s="25"/>
      <c r="B189" s="1"/>
      <c r="C189" s="33" t="str">
        <f aca="false">IF(B189="","",IFERROR(INDEX(Catálogo!$C$5:$C$304,MATCH(B189,Catálogo!$A$5:$A$304,0)),"ISBN não cadastrado"))</f>
        <v/>
      </c>
      <c r="D189" s="33" t="str">
        <f aca="false">IF(B189="","",IFERROR(INDEX(Catálogo!$B$5:$B$304,MATCH(B189,Catálogo!$A$5:$A$304,0)),"ISBN não cadastrado"))</f>
        <v/>
      </c>
      <c r="E189" s="24"/>
      <c r="F189" s="21"/>
      <c r="G189" s="1"/>
      <c r="H189" s="1"/>
      <c r="I189" s="28" t="str">
        <f aca="false">IF(B189="","",E189*IFERROR(INDEX(Catálogo!$G$5:$G$304,MATCH(B189,Catálogo!$A$5:$A$304,0)),0))</f>
        <v/>
      </c>
      <c r="J189" s="22" t="str">
        <f aca="false">IF(B189="","",E189*F189)</f>
        <v/>
      </c>
      <c r="K189" s="23" t="str">
        <f aca="false">IF(OR(B189="",I189=0),"",1-J189/I189)</f>
        <v/>
      </c>
      <c r="L189" s="1"/>
    </row>
    <row r="190" customFormat="false" ht="15" hidden="false" customHeight="false" outlineLevel="0" collapsed="false">
      <c r="A190" s="25"/>
      <c r="B190" s="1"/>
      <c r="C190" s="33" t="str">
        <f aca="false">IF(B190="","",IFERROR(INDEX(Catálogo!$C$5:$C$304,MATCH(B190,Catálogo!$A$5:$A$304,0)),"ISBN não cadastrado"))</f>
        <v/>
      </c>
      <c r="D190" s="33" t="str">
        <f aca="false">IF(B190="","",IFERROR(INDEX(Catálogo!$B$5:$B$304,MATCH(B190,Catálogo!$A$5:$A$304,0)),"ISBN não cadastrado"))</f>
        <v/>
      </c>
      <c r="E190" s="24"/>
      <c r="F190" s="21"/>
      <c r="G190" s="1"/>
      <c r="H190" s="1"/>
      <c r="I190" s="28" t="str">
        <f aca="false">IF(B190="","",E190*IFERROR(INDEX(Catálogo!$G$5:$G$304,MATCH(B190,Catálogo!$A$5:$A$304,0)),0))</f>
        <v/>
      </c>
      <c r="J190" s="22" t="str">
        <f aca="false">IF(B190="","",E190*F190)</f>
        <v/>
      </c>
      <c r="K190" s="23" t="str">
        <f aca="false">IF(OR(B190="",I190=0),"",1-J190/I190)</f>
        <v/>
      </c>
      <c r="L190" s="1"/>
    </row>
    <row r="191" customFormat="false" ht="15" hidden="false" customHeight="false" outlineLevel="0" collapsed="false">
      <c r="A191" s="25"/>
      <c r="B191" s="1"/>
      <c r="C191" s="33" t="str">
        <f aca="false">IF(B191="","",IFERROR(INDEX(Catálogo!$C$5:$C$304,MATCH(B191,Catálogo!$A$5:$A$304,0)),"ISBN não cadastrado"))</f>
        <v/>
      </c>
      <c r="D191" s="33" t="str">
        <f aca="false">IF(B191="","",IFERROR(INDEX(Catálogo!$B$5:$B$304,MATCH(B191,Catálogo!$A$5:$A$304,0)),"ISBN não cadastrado"))</f>
        <v/>
      </c>
      <c r="E191" s="24"/>
      <c r="F191" s="21"/>
      <c r="G191" s="1"/>
      <c r="H191" s="1"/>
      <c r="I191" s="28" t="str">
        <f aca="false">IF(B191="","",E191*IFERROR(INDEX(Catálogo!$G$5:$G$304,MATCH(B191,Catálogo!$A$5:$A$304,0)),0))</f>
        <v/>
      </c>
      <c r="J191" s="22" t="str">
        <f aca="false">IF(B191="","",E191*F191)</f>
        <v/>
      </c>
      <c r="K191" s="23" t="str">
        <f aca="false">IF(OR(B191="",I191=0),"",1-J191/I191)</f>
        <v/>
      </c>
      <c r="L191" s="1"/>
    </row>
    <row r="192" customFormat="false" ht="15" hidden="false" customHeight="false" outlineLevel="0" collapsed="false">
      <c r="A192" s="25"/>
      <c r="B192" s="1"/>
      <c r="C192" s="33" t="str">
        <f aca="false">IF(B192="","",IFERROR(INDEX(Catálogo!$C$5:$C$304,MATCH(B192,Catálogo!$A$5:$A$304,0)),"ISBN não cadastrado"))</f>
        <v/>
      </c>
      <c r="D192" s="33" t="str">
        <f aca="false">IF(B192="","",IFERROR(INDEX(Catálogo!$B$5:$B$304,MATCH(B192,Catálogo!$A$5:$A$304,0)),"ISBN não cadastrado"))</f>
        <v/>
      </c>
      <c r="E192" s="24"/>
      <c r="F192" s="21"/>
      <c r="G192" s="1"/>
      <c r="H192" s="1"/>
      <c r="I192" s="28" t="str">
        <f aca="false">IF(B192="","",E192*IFERROR(INDEX(Catálogo!$G$5:$G$304,MATCH(B192,Catálogo!$A$5:$A$304,0)),0))</f>
        <v/>
      </c>
      <c r="J192" s="22" t="str">
        <f aca="false">IF(B192="","",E192*F192)</f>
        <v/>
      </c>
      <c r="K192" s="23" t="str">
        <f aca="false">IF(OR(B192="",I192=0),"",1-J192/I192)</f>
        <v/>
      </c>
      <c r="L192" s="1"/>
    </row>
    <row r="193" customFormat="false" ht="15" hidden="false" customHeight="false" outlineLevel="0" collapsed="false">
      <c r="A193" s="25"/>
      <c r="B193" s="1"/>
      <c r="C193" s="33" t="str">
        <f aca="false">IF(B193="","",IFERROR(INDEX(Catálogo!$C$5:$C$304,MATCH(B193,Catálogo!$A$5:$A$304,0)),"ISBN não cadastrado"))</f>
        <v/>
      </c>
      <c r="D193" s="33" t="str">
        <f aca="false">IF(B193="","",IFERROR(INDEX(Catálogo!$B$5:$B$304,MATCH(B193,Catálogo!$A$5:$A$304,0)),"ISBN não cadastrado"))</f>
        <v/>
      </c>
      <c r="E193" s="24"/>
      <c r="F193" s="21"/>
      <c r="G193" s="1"/>
      <c r="H193" s="1"/>
      <c r="I193" s="28" t="str">
        <f aca="false">IF(B193="","",E193*IFERROR(INDEX(Catálogo!$G$5:$G$304,MATCH(B193,Catálogo!$A$5:$A$304,0)),0))</f>
        <v/>
      </c>
      <c r="J193" s="22" t="str">
        <f aca="false">IF(B193="","",E193*F193)</f>
        <v/>
      </c>
      <c r="K193" s="23" t="str">
        <f aca="false">IF(OR(B193="",I193=0),"",1-J193/I193)</f>
        <v/>
      </c>
      <c r="L193" s="1"/>
    </row>
    <row r="194" customFormat="false" ht="15" hidden="false" customHeight="false" outlineLevel="0" collapsed="false">
      <c r="A194" s="25"/>
      <c r="B194" s="1"/>
      <c r="C194" s="33" t="str">
        <f aca="false">IF(B194="","",IFERROR(INDEX(Catálogo!$C$5:$C$304,MATCH(B194,Catálogo!$A$5:$A$304,0)),"ISBN não cadastrado"))</f>
        <v/>
      </c>
      <c r="D194" s="33" t="str">
        <f aca="false">IF(B194="","",IFERROR(INDEX(Catálogo!$B$5:$B$304,MATCH(B194,Catálogo!$A$5:$A$304,0)),"ISBN não cadastrado"))</f>
        <v/>
      </c>
      <c r="E194" s="24"/>
      <c r="F194" s="21"/>
      <c r="G194" s="1"/>
      <c r="H194" s="1"/>
      <c r="I194" s="28" t="str">
        <f aca="false">IF(B194="","",E194*IFERROR(INDEX(Catálogo!$G$5:$G$304,MATCH(B194,Catálogo!$A$5:$A$304,0)),0))</f>
        <v/>
      </c>
      <c r="J194" s="22" t="str">
        <f aca="false">IF(B194="","",E194*F194)</f>
        <v/>
      </c>
      <c r="K194" s="23" t="str">
        <f aca="false">IF(OR(B194="",I194=0),"",1-J194/I194)</f>
        <v/>
      </c>
      <c r="L194" s="1"/>
    </row>
    <row r="195" customFormat="false" ht="15" hidden="false" customHeight="false" outlineLevel="0" collapsed="false">
      <c r="A195" s="25"/>
      <c r="B195" s="1"/>
      <c r="C195" s="33" t="str">
        <f aca="false">IF(B195="","",IFERROR(INDEX(Catálogo!$C$5:$C$304,MATCH(B195,Catálogo!$A$5:$A$304,0)),"ISBN não cadastrado"))</f>
        <v/>
      </c>
      <c r="D195" s="33" t="str">
        <f aca="false">IF(B195="","",IFERROR(INDEX(Catálogo!$B$5:$B$304,MATCH(B195,Catálogo!$A$5:$A$304,0)),"ISBN não cadastrado"))</f>
        <v/>
      </c>
      <c r="E195" s="24"/>
      <c r="F195" s="21"/>
      <c r="G195" s="1"/>
      <c r="H195" s="1"/>
      <c r="I195" s="28" t="str">
        <f aca="false">IF(B195="","",E195*IFERROR(INDEX(Catálogo!$G$5:$G$304,MATCH(B195,Catálogo!$A$5:$A$304,0)),0))</f>
        <v/>
      </c>
      <c r="J195" s="22" t="str">
        <f aca="false">IF(B195="","",E195*F195)</f>
        <v/>
      </c>
      <c r="K195" s="23" t="str">
        <f aca="false">IF(OR(B195="",I195=0),"",1-J195/I195)</f>
        <v/>
      </c>
      <c r="L195" s="1"/>
    </row>
    <row r="196" customFormat="false" ht="15" hidden="false" customHeight="false" outlineLevel="0" collapsed="false">
      <c r="A196" s="25"/>
      <c r="B196" s="1"/>
      <c r="C196" s="33" t="str">
        <f aca="false">IF(B196="","",IFERROR(INDEX(Catálogo!$C$5:$C$304,MATCH(B196,Catálogo!$A$5:$A$304,0)),"ISBN não cadastrado"))</f>
        <v/>
      </c>
      <c r="D196" s="33" t="str">
        <f aca="false">IF(B196="","",IFERROR(INDEX(Catálogo!$B$5:$B$304,MATCH(B196,Catálogo!$A$5:$A$304,0)),"ISBN não cadastrado"))</f>
        <v/>
      </c>
      <c r="E196" s="24"/>
      <c r="F196" s="21"/>
      <c r="G196" s="1"/>
      <c r="H196" s="1"/>
      <c r="I196" s="28" t="str">
        <f aca="false">IF(B196="","",E196*IFERROR(INDEX(Catálogo!$G$5:$G$304,MATCH(B196,Catálogo!$A$5:$A$304,0)),0))</f>
        <v/>
      </c>
      <c r="J196" s="22" t="str">
        <f aca="false">IF(B196="","",E196*F196)</f>
        <v/>
      </c>
      <c r="K196" s="23" t="str">
        <f aca="false">IF(OR(B196="",I196=0),"",1-J196/I196)</f>
        <v/>
      </c>
      <c r="L196" s="1"/>
    </row>
    <row r="197" customFormat="false" ht="15" hidden="false" customHeight="false" outlineLevel="0" collapsed="false">
      <c r="A197" s="25"/>
      <c r="B197" s="1"/>
      <c r="C197" s="33" t="str">
        <f aca="false">IF(B197="","",IFERROR(INDEX(Catálogo!$C$5:$C$304,MATCH(B197,Catálogo!$A$5:$A$304,0)),"ISBN não cadastrado"))</f>
        <v/>
      </c>
      <c r="D197" s="33" t="str">
        <f aca="false">IF(B197="","",IFERROR(INDEX(Catálogo!$B$5:$B$304,MATCH(B197,Catálogo!$A$5:$A$304,0)),"ISBN não cadastrado"))</f>
        <v/>
      </c>
      <c r="E197" s="24"/>
      <c r="F197" s="21"/>
      <c r="G197" s="1"/>
      <c r="H197" s="1"/>
      <c r="I197" s="28" t="str">
        <f aca="false">IF(B197="","",E197*IFERROR(INDEX(Catálogo!$G$5:$G$304,MATCH(B197,Catálogo!$A$5:$A$304,0)),0))</f>
        <v/>
      </c>
      <c r="J197" s="22" t="str">
        <f aca="false">IF(B197="","",E197*F197)</f>
        <v/>
      </c>
      <c r="K197" s="23" t="str">
        <f aca="false">IF(OR(B197="",I197=0),"",1-J197/I197)</f>
        <v/>
      </c>
      <c r="L197" s="1"/>
    </row>
    <row r="198" customFormat="false" ht="15" hidden="false" customHeight="false" outlineLevel="0" collapsed="false">
      <c r="A198" s="25"/>
      <c r="B198" s="1"/>
      <c r="C198" s="33" t="str">
        <f aca="false">IF(B198="","",IFERROR(INDEX(Catálogo!$C$5:$C$304,MATCH(B198,Catálogo!$A$5:$A$304,0)),"ISBN não cadastrado"))</f>
        <v/>
      </c>
      <c r="D198" s="33" t="str">
        <f aca="false">IF(B198="","",IFERROR(INDEX(Catálogo!$B$5:$B$304,MATCH(B198,Catálogo!$A$5:$A$304,0)),"ISBN não cadastrado"))</f>
        <v/>
      </c>
      <c r="E198" s="24"/>
      <c r="F198" s="21"/>
      <c r="G198" s="1"/>
      <c r="H198" s="1"/>
      <c r="I198" s="28" t="str">
        <f aca="false">IF(B198="","",E198*IFERROR(INDEX(Catálogo!$G$5:$G$304,MATCH(B198,Catálogo!$A$5:$A$304,0)),0))</f>
        <v/>
      </c>
      <c r="J198" s="22" t="str">
        <f aca="false">IF(B198="","",E198*F198)</f>
        <v/>
      </c>
      <c r="K198" s="23" t="str">
        <f aca="false">IF(OR(B198="",I198=0),"",1-J198/I198)</f>
        <v/>
      </c>
      <c r="L198" s="1"/>
    </row>
    <row r="199" customFormat="false" ht="15" hidden="false" customHeight="false" outlineLevel="0" collapsed="false">
      <c r="A199" s="25"/>
      <c r="B199" s="1"/>
      <c r="C199" s="33" t="str">
        <f aca="false">IF(B199="","",IFERROR(INDEX(Catálogo!$C$5:$C$304,MATCH(B199,Catálogo!$A$5:$A$304,0)),"ISBN não cadastrado"))</f>
        <v/>
      </c>
      <c r="D199" s="33" t="str">
        <f aca="false">IF(B199="","",IFERROR(INDEX(Catálogo!$B$5:$B$304,MATCH(B199,Catálogo!$A$5:$A$304,0)),"ISBN não cadastrado"))</f>
        <v/>
      </c>
      <c r="E199" s="24"/>
      <c r="F199" s="21"/>
      <c r="G199" s="1"/>
      <c r="H199" s="1"/>
      <c r="I199" s="28" t="str">
        <f aca="false">IF(B199="","",E199*IFERROR(INDEX(Catálogo!$G$5:$G$304,MATCH(B199,Catálogo!$A$5:$A$304,0)),0))</f>
        <v/>
      </c>
      <c r="J199" s="22" t="str">
        <f aca="false">IF(B199="","",E199*F199)</f>
        <v/>
      </c>
      <c r="K199" s="23" t="str">
        <f aca="false">IF(OR(B199="",I199=0),"",1-J199/I199)</f>
        <v/>
      </c>
      <c r="L199" s="1"/>
    </row>
    <row r="200" customFormat="false" ht="15" hidden="false" customHeight="false" outlineLevel="0" collapsed="false">
      <c r="A200" s="25"/>
      <c r="B200" s="1"/>
      <c r="C200" s="33" t="str">
        <f aca="false">IF(B200="","",IFERROR(INDEX(Catálogo!$C$5:$C$304,MATCH(B200,Catálogo!$A$5:$A$304,0)),"ISBN não cadastrado"))</f>
        <v/>
      </c>
      <c r="D200" s="33" t="str">
        <f aca="false">IF(B200="","",IFERROR(INDEX(Catálogo!$B$5:$B$304,MATCH(B200,Catálogo!$A$5:$A$304,0)),"ISBN não cadastrado"))</f>
        <v/>
      </c>
      <c r="E200" s="24"/>
      <c r="F200" s="21"/>
      <c r="G200" s="1"/>
      <c r="H200" s="1"/>
      <c r="I200" s="28" t="str">
        <f aca="false">IF(B200="","",E200*IFERROR(INDEX(Catálogo!$G$5:$G$304,MATCH(B200,Catálogo!$A$5:$A$304,0)),0))</f>
        <v/>
      </c>
      <c r="J200" s="22" t="str">
        <f aca="false">IF(B200="","",E200*F200)</f>
        <v/>
      </c>
      <c r="K200" s="23" t="str">
        <f aca="false">IF(OR(B200="",I200=0),"",1-J200/I200)</f>
        <v/>
      </c>
      <c r="L200" s="1"/>
    </row>
    <row r="201" customFormat="false" ht="15" hidden="false" customHeight="false" outlineLevel="0" collapsed="false">
      <c r="A201" s="25"/>
      <c r="B201" s="1"/>
      <c r="C201" s="33" t="str">
        <f aca="false">IF(B201="","",IFERROR(INDEX(Catálogo!$C$5:$C$304,MATCH(B201,Catálogo!$A$5:$A$304,0)),"ISBN não cadastrado"))</f>
        <v/>
      </c>
      <c r="D201" s="33" t="str">
        <f aca="false">IF(B201="","",IFERROR(INDEX(Catálogo!$B$5:$B$304,MATCH(B201,Catálogo!$A$5:$A$304,0)),"ISBN não cadastrado"))</f>
        <v/>
      </c>
      <c r="E201" s="24"/>
      <c r="F201" s="21"/>
      <c r="G201" s="1"/>
      <c r="H201" s="1"/>
      <c r="I201" s="28" t="str">
        <f aca="false">IF(B201="","",E201*IFERROR(INDEX(Catálogo!$G$5:$G$304,MATCH(B201,Catálogo!$A$5:$A$304,0)),0))</f>
        <v/>
      </c>
      <c r="J201" s="22" t="str">
        <f aca="false">IF(B201="","",E201*F201)</f>
        <v/>
      </c>
      <c r="K201" s="23" t="str">
        <f aca="false">IF(OR(B201="",I201=0),"",1-J201/I201)</f>
        <v/>
      </c>
      <c r="L201" s="1"/>
    </row>
    <row r="202" customFormat="false" ht="15" hidden="false" customHeight="false" outlineLevel="0" collapsed="false">
      <c r="A202" s="25"/>
      <c r="B202" s="1"/>
      <c r="C202" s="33" t="str">
        <f aca="false">IF(B202="","",IFERROR(INDEX(Catálogo!$C$5:$C$304,MATCH(B202,Catálogo!$A$5:$A$304,0)),"ISBN não cadastrado"))</f>
        <v/>
      </c>
      <c r="D202" s="33" t="str">
        <f aca="false">IF(B202="","",IFERROR(INDEX(Catálogo!$B$5:$B$304,MATCH(B202,Catálogo!$A$5:$A$304,0)),"ISBN não cadastrado"))</f>
        <v/>
      </c>
      <c r="E202" s="24"/>
      <c r="F202" s="21"/>
      <c r="G202" s="1"/>
      <c r="H202" s="1"/>
      <c r="I202" s="28" t="str">
        <f aca="false">IF(B202="","",E202*IFERROR(INDEX(Catálogo!$G$5:$G$304,MATCH(B202,Catálogo!$A$5:$A$304,0)),0))</f>
        <v/>
      </c>
      <c r="J202" s="22" t="str">
        <f aca="false">IF(B202="","",E202*F202)</f>
        <v/>
      </c>
      <c r="K202" s="23" t="str">
        <f aca="false">IF(OR(B202="",I202=0),"",1-J202/I202)</f>
        <v/>
      </c>
      <c r="L202" s="1"/>
    </row>
    <row r="203" customFormat="false" ht="15" hidden="false" customHeight="false" outlineLevel="0" collapsed="false">
      <c r="A203" s="25"/>
      <c r="B203" s="1"/>
      <c r="C203" s="33" t="str">
        <f aca="false">IF(B203="","",IFERROR(INDEX(Catálogo!$C$5:$C$304,MATCH(B203,Catálogo!$A$5:$A$304,0)),"ISBN não cadastrado"))</f>
        <v/>
      </c>
      <c r="D203" s="33" t="str">
        <f aca="false">IF(B203="","",IFERROR(INDEX(Catálogo!$B$5:$B$304,MATCH(B203,Catálogo!$A$5:$A$304,0)),"ISBN não cadastrado"))</f>
        <v/>
      </c>
      <c r="E203" s="24"/>
      <c r="F203" s="21"/>
      <c r="G203" s="1"/>
      <c r="H203" s="1"/>
      <c r="I203" s="28" t="str">
        <f aca="false">IF(B203="","",E203*IFERROR(INDEX(Catálogo!$G$5:$G$304,MATCH(B203,Catálogo!$A$5:$A$304,0)),0))</f>
        <v/>
      </c>
      <c r="J203" s="22" t="str">
        <f aca="false">IF(B203="","",E203*F203)</f>
        <v/>
      </c>
      <c r="K203" s="23" t="str">
        <f aca="false">IF(OR(B203="",I203=0),"",1-J203/I203)</f>
        <v/>
      </c>
      <c r="L203" s="1"/>
    </row>
    <row r="204" customFormat="false" ht="15" hidden="false" customHeight="false" outlineLevel="0" collapsed="false">
      <c r="A204" s="25"/>
      <c r="B204" s="1"/>
      <c r="C204" s="33" t="str">
        <f aca="false">IF(B204="","",IFERROR(INDEX(Catálogo!$C$5:$C$304,MATCH(B204,Catálogo!$A$5:$A$304,0)),"ISBN não cadastrado"))</f>
        <v/>
      </c>
      <c r="D204" s="33" t="str">
        <f aca="false">IF(B204="","",IFERROR(INDEX(Catálogo!$B$5:$B$304,MATCH(B204,Catálogo!$A$5:$A$304,0)),"ISBN não cadastrado"))</f>
        <v/>
      </c>
      <c r="E204" s="24"/>
      <c r="F204" s="21"/>
      <c r="G204" s="1"/>
      <c r="H204" s="1"/>
      <c r="I204" s="28" t="str">
        <f aca="false">IF(B204="","",E204*IFERROR(INDEX(Catálogo!$G$5:$G$304,MATCH(B204,Catálogo!$A$5:$A$304,0)),0))</f>
        <v/>
      </c>
      <c r="J204" s="22" t="str">
        <f aca="false">IF(B204="","",E204*F204)</f>
        <v/>
      </c>
      <c r="K204" s="23" t="str">
        <f aca="false">IF(OR(B204="",I204=0),"",1-J204/I204)</f>
        <v/>
      </c>
      <c r="L204" s="1"/>
    </row>
    <row r="205" customFormat="false" ht="15" hidden="false" customHeight="false" outlineLevel="0" collapsed="false">
      <c r="A205" s="25"/>
      <c r="B205" s="1"/>
      <c r="C205" s="33" t="str">
        <f aca="false">IF(B205="","",IFERROR(INDEX(Catálogo!$C$5:$C$304,MATCH(B205,Catálogo!$A$5:$A$304,0)),"ISBN não cadastrado"))</f>
        <v/>
      </c>
      <c r="D205" s="33" t="str">
        <f aca="false">IF(B205="","",IFERROR(INDEX(Catálogo!$B$5:$B$304,MATCH(B205,Catálogo!$A$5:$A$304,0)),"ISBN não cadastrado"))</f>
        <v/>
      </c>
      <c r="E205" s="24"/>
      <c r="F205" s="21"/>
      <c r="G205" s="1"/>
      <c r="H205" s="1"/>
      <c r="I205" s="28" t="str">
        <f aca="false">IF(B205="","",E205*IFERROR(INDEX(Catálogo!$G$5:$G$304,MATCH(B205,Catálogo!$A$5:$A$304,0)),0))</f>
        <v/>
      </c>
      <c r="J205" s="22" t="str">
        <f aca="false">IF(B205="","",E205*F205)</f>
        <v/>
      </c>
      <c r="K205" s="23" t="str">
        <f aca="false">IF(OR(B205="",I205=0),"",1-J205/I205)</f>
        <v/>
      </c>
      <c r="L205" s="1"/>
    </row>
    <row r="206" customFormat="false" ht="15" hidden="false" customHeight="false" outlineLevel="0" collapsed="false">
      <c r="A206" s="25"/>
      <c r="B206" s="1"/>
      <c r="C206" s="33" t="str">
        <f aca="false">IF(B206="","",IFERROR(INDEX(Catálogo!$C$5:$C$304,MATCH(B206,Catálogo!$A$5:$A$304,0)),"ISBN não cadastrado"))</f>
        <v/>
      </c>
      <c r="D206" s="33" t="str">
        <f aca="false">IF(B206="","",IFERROR(INDEX(Catálogo!$B$5:$B$304,MATCH(B206,Catálogo!$A$5:$A$304,0)),"ISBN não cadastrado"))</f>
        <v/>
      </c>
      <c r="E206" s="24"/>
      <c r="F206" s="21"/>
      <c r="G206" s="1"/>
      <c r="H206" s="1"/>
      <c r="I206" s="28" t="str">
        <f aca="false">IF(B206="","",E206*IFERROR(INDEX(Catálogo!$G$5:$G$304,MATCH(B206,Catálogo!$A$5:$A$304,0)),0))</f>
        <v/>
      </c>
      <c r="J206" s="22" t="str">
        <f aca="false">IF(B206="","",E206*F206)</f>
        <v/>
      </c>
      <c r="K206" s="23" t="str">
        <f aca="false">IF(OR(B206="",I206=0),"",1-J206/I206)</f>
        <v/>
      </c>
      <c r="L206" s="1"/>
    </row>
    <row r="207" customFormat="false" ht="15" hidden="false" customHeight="false" outlineLevel="0" collapsed="false">
      <c r="A207" s="25"/>
      <c r="B207" s="1"/>
      <c r="C207" s="33" t="str">
        <f aca="false">IF(B207="","",IFERROR(INDEX(Catálogo!$C$5:$C$304,MATCH(B207,Catálogo!$A$5:$A$304,0)),"ISBN não cadastrado"))</f>
        <v/>
      </c>
      <c r="D207" s="33" t="str">
        <f aca="false">IF(B207="","",IFERROR(INDEX(Catálogo!$B$5:$B$304,MATCH(B207,Catálogo!$A$5:$A$304,0)),"ISBN não cadastrado"))</f>
        <v/>
      </c>
      <c r="E207" s="24"/>
      <c r="F207" s="21"/>
      <c r="G207" s="1"/>
      <c r="H207" s="1"/>
      <c r="I207" s="28" t="str">
        <f aca="false">IF(B207="","",E207*IFERROR(INDEX(Catálogo!$G$5:$G$304,MATCH(B207,Catálogo!$A$5:$A$304,0)),0))</f>
        <v/>
      </c>
      <c r="J207" s="22" t="str">
        <f aca="false">IF(B207="","",E207*F207)</f>
        <v/>
      </c>
      <c r="K207" s="23" t="str">
        <f aca="false">IF(OR(B207="",I207=0),"",1-J207/I207)</f>
        <v/>
      </c>
      <c r="L207" s="1"/>
    </row>
    <row r="208" customFormat="false" ht="15" hidden="false" customHeight="false" outlineLevel="0" collapsed="false">
      <c r="A208" s="25"/>
      <c r="B208" s="1"/>
      <c r="C208" s="33" t="str">
        <f aca="false">IF(B208="","",IFERROR(INDEX(Catálogo!$C$5:$C$304,MATCH(B208,Catálogo!$A$5:$A$304,0)),"ISBN não cadastrado"))</f>
        <v/>
      </c>
      <c r="D208" s="33" t="str">
        <f aca="false">IF(B208="","",IFERROR(INDEX(Catálogo!$B$5:$B$304,MATCH(B208,Catálogo!$A$5:$A$304,0)),"ISBN não cadastrado"))</f>
        <v/>
      </c>
      <c r="E208" s="24"/>
      <c r="F208" s="21"/>
      <c r="G208" s="1"/>
      <c r="H208" s="1"/>
      <c r="I208" s="28" t="str">
        <f aca="false">IF(B208="","",E208*IFERROR(INDEX(Catálogo!$G$5:$G$304,MATCH(B208,Catálogo!$A$5:$A$304,0)),0))</f>
        <v/>
      </c>
      <c r="J208" s="22" t="str">
        <f aca="false">IF(B208="","",E208*F208)</f>
        <v/>
      </c>
      <c r="K208" s="23" t="str">
        <f aca="false">IF(OR(B208="",I208=0),"",1-J208/I208)</f>
        <v/>
      </c>
      <c r="L208" s="1"/>
    </row>
    <row r="209" customFormat="false" ht="15" hidden="false" customHeight="false" outlineLevel="0" collapsed="false">
      <c r="A209" s="25"/>
      <c r="B209" s="1"/>
      <c r="C209" s="33" t="str">
        <f aca="false">IF(B209="","",IFERROR(INDEX(Catálogo!$C$5:$C$304,MATCH(B209,Catálogo!$A$5:$A$304,0)),"ISBN não cadastrado"))</f>
        <v/>
      </c>
      <c r="D209" s="33" t="str">
        <f aca="false">IF(B209="","",IFERROR(INDEX(Catálogo!$B$5:$B$304,MATCH(B209,Catálogo!$A$5:$A$304,0)),"ISBN não cadastrado"))</f>
        <v/>
      </c>
      <c r="E209" s="24"/>
      <c r="F209" s="21"/>
      <c r="G209" s="1"/>
      <c r="H209" s="1"/>
      <c r="I209" s="28" t="str">
        <f aca="false">IF(B209="","",E209*IFERROR(INDEX(Catálogo!$G$5:$G$304,MATCH(B209,Catálogo!$A$5:$A$304,0)),0))</f>
        <v/>
      </c>
      <c r="J209" s="22" t="str">
        <f aca="false">IF(B209="","",E209*F209)</f>
        <v/>
      </c>
      <c r="K209" s="23" t="str">
        <f aca="false">IF(OR(B209="",I209=0),"",1-J209/I209)</f>
        <v/>
      </c>
      <c r="L209" s="1"/>
    </row>
    <row r="210" customFormat="false" ht="15" hidden="false" customHeight="false" outlineLevel="0" collapsed="false">
      <c r="A210" s="25"/>
      <c r="B210" s="1"/>
      <c r="C210" s="33" t="str">
        <f aca="false">IF(B210="","",IFERROR(INDEX(Catálogo!$C$5:$C$304,MATCH(B210,Catálogo!$A$5:$A$304,0)),"ISBN não cadastrado"))</f>
        <v/>
      </c>
      <c r="D210" s="33" t="str">
        <f aca="false">IF(B210="","",IFERROR(INDEX(Catálogo!$B$5:$B$304,MATCH(B210,Catálogo!$A$5:$A$304,0)),"ISBN não cadastrado"))</f>
        <v/>
      </c>
      <c r="E210" s="24"/>
      <c r="F210" s="21"/>
      <c r="G210" s="1"/>
      <c r="H210" s="1"/>
      <c r="I210" s="28" t="str">
        <f aca="false">IF(B210="","",E210*IFERROR(INDEX(Catálogo!$G$5:$G$304,MATCH(B210,Catálogo!$A$5:$A$304,0)),0))</f>
        <v/>
      </c>
      <c r="J210" s="22" t="str">
        <f aca="false">IF(B210="","",E210*F210)</f>
        <v/>
      </c>
      <c r="K210" s="23" t="str">
        <f aca="false">IF(OR(B210="",I210=0),"",1-J210/I210)</f>
        <v/>
      </c>
      <c r="L210" s="1"/>
    </row>
    <row r="211" customFormat="false" ht="15" hidden="false" customHeight="false" outlineLevel="0" collapsed="false">
      <c r="A211" s="25"/>
      <c r="B211" s="1"/>
      <c r="C211" s="33" t="str">
        <f aca="false">IF(B211="","",IFERROR(INDEX(Catálogo!$C$5:$C$304,MATCH(B211,Catálogo!$A$5:$A$304,0)),"ISBN não cadastrado"))</f>
        <v/>
      </c>
      <c r="D211" s="33" t="str">
        <f aca="false">IF(B211="","",IFERROR(INDEX(Catálogo!$B$5:$B$304,MATCH(B211,Catálogo!$A$5:$A$304,0)),"ISBN não cadastrado"))</f>
        <v/>
      </c>
      <c r="E211" s="24"/>
      <c r="F211" s="21"/>
      <c r="G211" s="1"/>
      <c r="H211" s="1"/>
      <c r="I211" s="28" t="str">
        <f aca="false">IF(B211="","",E211*IFERROR(INDEX(Catálogo!$G$5:$G$304,MATCH(B211,Catálogo!$A$5:$A$304,0)),0))</f>
        <v/>
      </c>
      <c r="J211" s="22" t="str">
        <f aca="false">IF(B211="","",E211*F211)</f>
        <v/>
      </c>
      <c r="K211" s="23" t="str">
        <f aca="false">IF(OR(B211="",I211=0),"",1-J211/I211)</f>
        <v/>
      </c>
      <c r="L211" s="1"/>
    </row>
    <row r="212" customFormat="false" ht="15" hidden="false" customHeight="false" outlineLevel="0" collapsed="false">
      <c r="A212" s="25"/>
      <c r="B212" s="1"/>
      <c r="C212" s="33" t="str">
        <f aca="false">IF(B212="","",IFERROR(INDEX(Catálogo!$C$5:$C$304,MATCH(B212,Catálogo!$A$5:$A$304,0)),"ISBN não cadastrado"))</f>
        <v/>
      </c>
      <c r="D212" s="33" t="str">
        <f aca="false">IF(B212="","",IFERROR(INDEX(Catálogo!$B$5:$B$304,MATCH(B212,Catálogo!$A$5:$A$304,0)),"ISBN não cadastrado"))</f>
        <v/>
      </c>
      <c r="E212" s="24"/>
      <c r="F212" s="21"/>
      <c r="G212" s="1"/>
      <c r="H212" s="1"/>
      <c r="I212" s="28" t="str">
        <f aca="false">IF(B212="","",E212*IFERROR(INDEX(Catálogo!$G$5:$G$304,MATCH(B212,Catálogo!$A$5:$A$304,0)),0))</f>
        <v/>
      </c>
      <c r="J212" s="22" t="str">
        <f aca="false">IF(B212="","",E212*F212)</f>
        <v/>
      </c>
      <c r="K212" s="23" t="str">
        <f aca="false">IF(OR(B212="",I212=0),"",1-J212/I212)</f>
        <v/>
      </c>
      <c r="L212" s="1"/>
    </row>
    <row r="213" customFormat="false" ht="15" hidden="false" customHeight="false" outlineLevel="0" collapsed="false">
      <c r="A213" s="25"/>
      <c r="B213" s="1"/>
      <c r="C213" s="33" t="str">
        <f aca="false">IF(B213="","",IFERROR(INDEX(Catálogo!$C$5:$C$304,MATCH(B213,Catálogo!$A$5:$A$304,0)),"ISBN não cadastrado"))</f>
        <v/>
      </c>
      <c r="D213" s="33" t="str">
        <f aca="false">IF(B213="","",IFERROR(INDEX(Catálogo!$B$5:$B$304,MATCH(B213,Catálogo!$A$5:$A$304,0)),"ISBN não cadastrado"))</f>
        <v/>
      </c>
      <c r="E213" s="24"/>
      <c r="F213" s="21"/>
      <c r="G213" s="1"/>
      <c r="H213" s="1"/>
      <c r="I213" s="28" t="str">
        <f aca="false">IF(B213="","",E213*IFERROR(INDEX(Catálogo!$G$5:$G$304,MATCH(B213,Catálogo!$A$5:$A$304,0)),0))</f>
        <v/>
      </c>
      <c r="J213" s="22" t="str">
        <f aca="false">IF(B213="","",E213*F213)</f>
        <v/>
      </c>
      <c r="K213" s="23" t="str">
        <f aca="false">IF(OR(B213="",I213=0),"",1-J213/I213)</f>
        <v/>
      </c>
      <c r="L213" s="1"/>
    </row>
    <row r="214" customFormat="false" ht="15" hidden="false" customHeight="false" outlineLevel="0" collapsed="false">
      <c r="A214" s="25"/>
      <c r="B214" s="1"/>
      <c r="C214" s="33" t="str">
        <f aca="false">IF(B214="","",IFERROR(INDEX(Catálogo!$C$5:$C$304,MATCH(B214,Catálogo!$A$5:$A$304,0)),"ISBN não cadastrado"))</f>
        <v/>
      </c>
      <c r="D214" s="33" t="str">
        <f aca="false">IF(B214="","",IFERROR(INDEX(Catálogo!$B$5:$B$304,MATCH(B214,Catálogo!$A$5:$A$304,0)),"ISBN não cadastrado"))</f>
        <v/>
      </c>
      <c r="E214" s="24"/>
      <c r="F214" s="21"/>
      <c r="G214" s="1"/>
      <c r="H214" s="1"/>
      <c r="I214" s="28" t="str">
        <f aca="false">IF(B214="","",E214*IFERROR(INDEX(Catálogo!$G$5:$G$304,MATCH(B214,Catálogo!$A$5:$A$304,0)),0))</f>
        <v/>
      </c>
      <c r="J214" s="22" t="str">
        <f aca="false">IF(B214="","",E214*F214)</f>
        <v/>
      </c>
      <c r="K214" s="23" t="str">
        <f aca="false">IF(OR(B214="",I214=0),"",1-J214/I214)</f>
        <v/>
      </c>
      <c r="L214" s="1"/>
    </row>
    <row r="215" customFormat="false" ht="15" hidden="false" customHeight="false" outlineLevel="0" collapsed="false">
      <c r="A215" s="25"/>
      <c r="B215" s="1"/>
      <c r="C215" s="33" t="str">
        <f aca="false">IF(B215="","",IFERROR(INDEX(Catálogo!$C$5:$C$304,MATCH(B215,Catálogo!$A$5:$A$304,0)),"ISBN não cadastrado"))</f>
        <v/>
      </c>
      <c r="D215" s="33" t="str">
        <f aca="false">IF(B215="","",IFERROR(INDEX(Catálogo!$B$5:$B$304,MATCH(B215,Catálogo!$A$5:$A$304,0)),"ISBN não cadastrado"))</f>
        <v/>
      </c>
      <c r="E215" s="24"/>
      <c r="F215" s="21"/>
      <c r="G215" s="1"/>
      <c r="H215" s="1"/>
      <c r="I215" s="28" t="str">
        <f aca="false">IF(B215="","",E215*IFERROR(INDEX(Catálogo!$G$5:$G$304,MATCH(B215,Catálogo!$A$5:$A$304,0)),0))</f>
        <v/>
      </c>
      <c r="J215" s="22" t="str">
        <f aca="false">IF(B215="","",E215*F215)</f>
        <v/>
      </c>
      <c r="K215" s="23" t="str">
        <f aca="false">IF(OR(B215="",I215=0),"",1-J215/I215)</f>
        <v/>
      </c>
      <c r="L215" s="1"/>
    </row>
    <row r="216" customFormat="false" ht="15" hidden="false" customHeight="false" outlineLevel="0" collapsed="false">
      <c r="A216" s="25"/>
      <c r="B216" s="1"/>
      <c r="C216" s="33" t="str">
        <f aca="false">IF(B216="","",IFERROR(INDEX(Catálogo!$C$5:$C$304,MATCH(B216,Catálogo!$A$5:$A$304,0)),"ISBN não cadastrado"))</f>
        <v/>
      </c>
      <c r="D216" s="33" t="str">
        <f aca="false">IF(B216="","",IFERROR(INDEX(Catálogo!$B$5:$B$304,MATCH(B216,Catálogo!$A$5:$A$304,0)),"ISBN não cadastrado"))</f>
        <v/>
      </c>
      <c r="E216" s="24"/>
      <c r="F216" s="21"/>
      <c r="G216" s="1"/>
      <c r="H216" s="1"/>
      <c r="I216" s="28" t="str">
        <f aca="false">IF(B216="","",E216*IFERROR(INDEX(Catálogo!$G$5:$G$304,MATCH(B216,Catálogo!$A$5:$A$304,0)),0))</f>
        <v/>
      </c>
      <c r="J216" s="22" t="str">
        <f aca="false">IF(B216="","",E216*F216)</f>
        <v/>
      </c>
      <c r="K216" s="23" t="str">
        <f aca="false">IF(OR(B216="",I216=0),"",1-J216/I216)</f>
        <v/>
      </c>
      <c r="L216" s="1"/>
    </row>
    <row r="217" customFormat="false" ht="15" hidden="false" customHeight="false" outlineLevel="0" collapsed="false">
      <c r="A217" s="25"/>
      <c r="B217" s="1"/>
      <c r="C217" s="33" t="str">
        <f aca="false">IF(B217="","",IFERROR(INDEX(Catálogo!$C$5:$C$304,MATCH(B217,Catálogo!$A$5:$A$304,0)),"ISBN não cadastrado"))</f>
        <v/>
      </c>
      <c r="D217" s="33" t="str">
        <f aca="false">IF(B217="","",IFERROR(INDEX(Catálogo!$B$5:$B$304,MATCH(B217,Catálogo!$A$5:$A$304,0)),"ISBN não cadastrado"))</f>
        <v/>
      </c>
      <c r="E217" s="24"/>
      <c r="F217" s="21"/>
      <c r="G217" s="1"/>
      <c r="H217" s="1"/>
      <c r="I217" s="28" t="str">
        <f aca="false">IF(B217="","",E217*IFERROR(INDEX(Catálogo!$G$5:$G$304,MATCH(B217,Catálogo!$A$5:$A$304,0)),0))</f>
        <v/>
      </c>
      <c r="J217" s="22" t="str">
        <f aca="false">IF(B217="","",E217*F217)</f>
        <v/>
      </c>
      <c r="K217" s="23" t="str">
        <f aca="false">IF(OR(B217="",I217=0),"",1-J217/I217)</f>
        <v/>
      </c>
      <c r="L217" s="1"/>
    </row>
    <row r="218" customFormat="false" ht="15" hidden="false" customHeight="false" outlineLevel="0" collapsed="false">
      <c r="A218" s="25"/>
      <c r="B218" s="1"/>
      <c r="C218" s="33" t="str">
        <f aca="false">IF(B218="","",IFERROR(INDEX(Catálogo!$C$5:$C$304,MATCH(B218,Catálogo!$A$5:$A$304,0)),"ISBN não cadastrado"))</f>
        <v/>
      </c>
      <c r="D218" s="33" t="str">
        <f aca="false">IF(B218="","",IFERROR(INDEX(Catálogo!$B$5:$B$304,MATCH(B218,Catálogo!$A$5:$A$304,0)),"ISBN não cadastrado"))</f>
        <v/>
      </c>
      <c r="E218" s="24"/>
      <c r="F218" s="21"/>
      <c r="G218" s="1"/>
      <c r="H218" s="1"/>
      <c r="I218" s="28" t="str">
        <f aca="false">IF(B218="","",E218*IFERROR(INDEX(Catálogo!$G$5:$G$304,MATCH(B218,Catálogo!$A$5:$A$304,0)),0))</f>
        <v/>
      </c>
      <c r="J218" s="22" t="str">
        <f aca="false">IF(B218="","",E218*F218)</f>
        <v/>
      </c>
      <c r="K218" s="23" t="str">
        <f aca="false">IF(OR(B218="",I218=0),"",1-J218/I218)</f>
        <v/>
      </c>
      <c r="L218" s="1"/>
    </row>
    <row r="219" customFormat="false" ht="15" hidden="false" customHeight="false" outlineLevel="0" collapsed="false">
      <c r="A219" s="25"/>
      <c r="B219" s="1"/>
      <c r="C219" s="33" t="str">
        <f aca="false">IF(B219="","",IFERROR(INDEX(Catálogo!$C$5:$C$304,MATCH(B219,Catálogo!$A$5:$A$304,0)),"ISBN não cadastrado"))</f>
        <v/>
      </c>
      <c r="D219" s="33" t="str">
        <f aca="false">IF(B219="","",IFERROR(INDEX(Catálogo!$B$5:$B$304,MATCH(B219,Catálogo!$A$5:$A$304,0)),"ISBN não cadastrado"))</f>
        <v/>
      </c>
      <c r="E219" s="24"/>
      <c r="F219" s="21"/>
      <c r="G219" s="1"/>
      <c r="H219" s="1"/>
      <c r="I219" s="28" t="str">
        <f aca="false">IF(B219="","",E219*IFERROR(INDEX(Catálogo!$G$5:$G$304,MATCH(B219,Catálogo!$A$5:$A$304,0)),0))</f>
        <v/>
      </c>
      <c r="J219" s="22" t="str">
        <f aca="false">IF(B219="","",E219*F219)</f>
        <v/>
      </c>
      <c r="K219" s="23" t="str">
        <f aca="false">IF(OR(B219="",I219=0),"",1-J219/I219)</f>
        <v/>
      </c>
      <c r="L219" s="1"/>
    </row>
    <row r="220" customFormat="false" ht="15" hidden="false" customHeight="false" outlineLevel="0" collapsed="false">
      <c r="A220" s="25"/>
      <c r="B220" s="1"/>
      <c r="C220" s="33" t="str">
        <f aca="false">IF(B220="","",IFERROR(INDEX(Catálogo!$C$5:$C$304,MATCH(B220,Catálogo!$A$5:$A$304,0)),"ISBN não cadastrado"))</f>
        <v/>
      </c>
      <c r="D220" s="33" t="str">
        <f aca="false">IF(B220="","",IFERROR(INDEX(Catálogo!$B$5:$B$304,MATCH(B220,Catálogo!$A$5:$A$304,0)),"ISBN não cadastrado"))</f>
        <v/>
      </c>
      <c r="E220" s="24"/>
      <c r="F220" s="21"/>
      <c r="G220" s="1"/>
      <c r="H220" s="1"/>
      <c r="I220" s="28" t="str">
        <f aca="false">IF(B220="","",E220*IFERROR(INDEX(Catálogo!$G$5:$G$304,MATCH(B220,Catálogo!$A$5:$A$304,0)),0))</f>
        <v/>
      </c>
      <c r="J220" s="22" t="str">
        <f aca="false">IF(B220="","",E220*F220)</f>
        <v/>
      </c>
      <c r="K220" s="23" t="str">
        <f aca="false">IF(OR(B220="",I220=0),"",1-J220/I220)</f>
        <v/>
      </c>
      <c r="L220" s="1"/>
    </row>
    <row r="221" customFormat="false" ht="15" hidden="false" customHeight="false" outlineLevel="0" collapsed="false">
      <c r="A221" s="25"/>
      <c r="B221" s="1"/>
      <c r="C221" s="33" t="str">
        <f aca="false">IF(B221="","",IFERROR(INDEX(Catálogo!$C$5:$C$304,MATCH(B221,Catálogo!$A$5:$A$304,0)),"ISBN não cadastrado"))</f>
        <v/>
      </c>
      <c r="D221" s="33" t="str">
        <f aca="false">IF(B221="","",IFERROR(INDEX(Catálogo!$B$5:$B$304,MATCH(B221,Catálogo!$A$5:$A$304,0)),"ISBN não cadastrado"))</f>
        <v/>
      </c>
      <c r="E221" s="24"/>
      <c r="F221" s="21"/>
      <c r="G221" s="1"/>
      <c r="H221" s="1"/>
      <c r="I221" s="28" t="str">
        <f aca="false">IF(B221="","",E221*IFERROR(INDEX(Catálogo!$G$5:$G$304,MATCH(B221,Catálogo!$A$5:$A$304,0)),0))</f>
        <v/>
      </c>
      <c r="J221" s="22" t="str">
        <f aca="false">IF(B221="","",E221*F221)</f>
        <v/>
      </c>
      <c r="K221" s="23" t="str">
        <f aca="false">IF(OR(B221="",I221=0),"",1-J221/I221)</f>
        <v/>
      </c>
      <c r="L221" s="1"/>
    </row>
    <row r="222" customFormat="false" ht="15" hidden="false" customHeight="false" outlineLevel="0" collapsed="false">
      <c r="A222" s="25"/>
      <c r="B222" s="1"/>
      <c r="C222" s="33" t="str">
        <f aca="false">IF(B222="","",IFERROR(INDEX(Catálogo!$C$5:$C$304,MATCH(B222,Catálogo!$A$5:$A$304,0)),"ISBN não cadastrado"))</f>
        <v/>
      </c>
      <c r="D222" s="33" t="str">
        <f aca="false">IF(B222="","",IFERROR(INDEX(Catálogo!$B$5:$B$304,MATCH(B222,Catálogo!$A$5:$A$304,0)),"ISBN não cadastrado"))</f>
        <v/>
      </c>
      <c r="E222" s="24"/>
      <c r="F222" s="21"/>
      <c r="G222" s="1"/>
      <c r="H222" s="1"/>
      <c r="I222" s="28" t="str">
        <f aca="false">IF(B222="","",E222*IFERROR(INDEX(Catálogo!$G$5:$G$304,MATCH(B222,Catálogo!$A$5:$A$304,0)),0))</f>
        <v/>
      </c>
      <c r="J222" s="22" t="str">
        <f aca="false">IF(B222="","",E222*F222)</f>
        <v/>
      </c>
      <c r="K222" s="23" t="str">
        <f aca="false">IF(OR(B222="",I222=0),"",1-J222/I222)</f>
        <v/>
      </c>
      <c r="L222" s="1"/>
    </row>
    <row r="223" customFormat="false" ht="15" hidden="false" customHeight="false" outlineLevel="0" collapsed="false">
      <c r="A223" s="25"/>
      <c r="B223" s="1"/>
      <c r="C223" s="33" t="str">
        <f aca="false">IF(B223="","",IFERROR(INDEX(Catálogo!$C$5:$C$304,MATCH(B223,Catálogo!$A$5:$A$304,0)),"ISBN não cadastrado"))</f>
        <v/>
      </c>
      <c r="D223" s="33" t="str">
        <f aca="false">IF(B223="","",IFERROR(INDEX(Catálogo!$B$5:$B$304,MATCH(B223,Catálogo!$A$5:$A$304,0)),"ISBN não cadastrado"))</f>
        <v/>
      </c>
      <c r="E223" s="24"/>
      <c r="F223" s="21"/>
      <c r="G223" s="1"/>
      <c r="H223" s="1"/>
      <c r="I223" s="28" t="str">
        <f aca="false">IF(B223="","",E223*IFERROR(INDEX(Catálogo!$G$5:$G$304,MATCH(B223,Catálogo!$A$5:$A$304,0)),0))</f>
        <v/>
      </c>
      <c r="J223" s="22" t="str">
        <f aca="false">IF(B223="","",E223*F223)</f>
        <v/>
      </c>
      <c r="K223" s="23" t="str">
        <f aca="false">IF(OR(B223="",I223=0),"",1-J223/I223)</f>
        <v/>
      </c>
      <c r="L223" s="1"/>
    </row>
    <row r="224" customFormat="false" ht="15" hidden="false" customHeight="false" outlineLevel="0" collapsed="false">
      <c r="A224" s="25"/>
      <c r="B224" s="1"/>
      <c r="C224" s="33" t="str">
        <f aca="false">IF(B224="","",IFERROR(INDEX(Catálogo!$C$5:$C$304,MATCH(B224,Catálogo!$A$5:$A$304,0)),"ISBN não cadastrado"))</f>
        <v/>
      </c>
      <c r="D224" s="33" t="str">
        <f aca="false">IF(B224="","",IFERROR(INDEX(Catálogo!$B$5:$B$304,MATCH(B224,Catálogo!$A$5:$A$304,0)),"ISBN não cadastrado"))</f>
        <v/>
      </c>
      <c r="E224" s="24"/>
      <c r="F224" s="21"/>
      <c r="G224" s="1"/>
      <c r="H224" s="1"/>
      <c r="I224" s="28" t="str">
        <f aca="false">IF(B224="","",E224*IFERROR(INDEX(Catálogo!$G$5:$G$304,MATCH(B224,Catálogo!$A$5:$A$304,0)),0))</f>
        <v/>
      </c>
      <c r="J224" s="22" t="str">
        <f aca="false">IF(B224="","",E224*F224)</f>
        <v/>
      </c>
      <c r="K224" s="23" t="str">
        <f aca="false">IF(OR(B224="",I224=0),"",1-J224/I224)</f>
        <v/>
      </c>
      <c r="L224" s="1"/>
    </row>
    <row r="225" customFormat="false" ht="15" hidden="false" customHeight="false" outlineLevel="0" collapsed="false">
      <c r="A225" s="25"/>
      <c r="B225" s="1"/>
      <c r="C225" s="33" t="str">
        <f aca="false">IF(B225="","",IFERROR(INDEX(Catálogo!$C$5:$C$304,MATCH(B225,Catálogo!$A$5:$A$304,0)),"ISBN não cadastrado"))</f>
        <v/>
      </c>
      <c r="D225" s="33" t="str">
        <f aca="false">IF(B225="","",IFERROR(INDEX(Catálogo!$B$5:$B$304,MATCH(B225,Catálogo!$A$5:$A$304,0)),"ISBN não cadastrado"))</f>
        <v/>
      </c>
      <c r="E225" s="24"/>
      <c r="F225" s="21"/>
      <c r="G225" s="1"/>
      <c r="H225" s="1"/>
      <c r="I225" s="28" t="str">
        <f aca="false">IF(B225="","",E225*IFERROR(INDEX(Catálogo!$G$5:$G$304,MATCH(B225,Catálogo!$A$5:$A$304,0)),0))</f>
        <v/>
      </c>
      <c r="J225" s="22" t="str">
        <f aca="false">IF(B225="","",E225*F225)</f>
        <v/>
      </c>
      <c r="K225" s="23" t="str">
        <f aca="false">IF(OR(B225="",I225=0),"",1-J225/I225)</f>
        <v/>
      </c>
      <c r="L225" s="1"/>
    </row>
    <row r="226" customFormat="false" ht="15" hidden="false" customHeight="false" outlineLevel="0" collapsed="false">
      <c r="A226" s="25"/>
      <c r="B226" s="1"/>
      <c r="C226" s="33" t="str">
        <f aca="false">IF(B226="","",IFERROR(INDEX(Catálogo!$C$5:$C$304,MATCH(B226,Catálogo!$A$5:$A$304,0)),"ISBN não cadastrado"))</f>
        <v/>
      </c>
      <c r="D226" s="33" t="str">
        <f aca="false">IF(B226="","",IFERROR(INDEX(Catálogo!$B$5:$B$304,MATCH(B226,Catálogo!$A$5:$A$304,0)),"ISBN não cadastrado"))</f>
        <v/>
      </c>
      <c r="E226" s="24"/>
      <c r="F226" s="21"/>
      <c r="G226" s="1"/>
      <c r="H226" s="1"/>
      <c r="I226" s="28" t="str">
        <f aca="false">IF(B226="","",E226*IFERROR(INDEX(Catálogo!$G$5:$G$304,MATCH(B226,Catálogo!$A$5:$A$304,0)),0))</f>
        <v/>
      </c>
      <c r="J226" s="22" t="str">
        <f aca="false">IF(B226="","",E226*F226)</f>
        <v/>
      </c>
      <c r="K226" s="23" t="str">
        <f aca="false">IF(OR(B226="",I226=0),"",1-J226/I226)</f>
        <v/>
      </c>
      <c r="L226" s="1"/>
    </row>
    <row r="227" customFormat="false" ht="15" hidden="false" customHeight="false" outlineLevel="0" collapsed="false">
      <c r="A227" s="25"/>
      <c r="B227" s="1"/>
      <c r="C227" s="33" t="str">
        <f aca="false">IF(B227="","",IFERROR(INDEX(Catálogo!$C$5:$C$304,MATCH(B227,Catálogo!$A$5:$A$304,0)),"ISBN não cadastrado"))</f>
        <v/>
      </c>
      <c r="D227" s="33" t="str">
        <f aca="false">IF(B227="","",IFERROR(INDEX(Catálogo!$B$5:$B$304,MATCH(B227,Catálogo!$A$5:$A$304,0)),"ISBN não cadastrado"))</f>
        <v/>
      </c>
      <c r="E227" s="24"/>
      <c r="F227" s="21"/>
      <c r="G227" s="1"/>
      <c r="H227" s="1"/>
      <c r="I227" s="28" t="str">
        <f aca="false">IF(B227="","",E227*IFERROR(INDEX(Catálogo!$G$5:$G$304,MATCH(B227,Catálogo!$A$5:$A$304,0)),0))</f>
        <v/>
      </c>
      <c r="J227" s="22" t="str">
        <f aca="false">IF(B227="","",E227*F227)</f>
        <v/>
      </c>
      <c r="K227" s="23" t="str">
        <f aca="false">IF(OR(B227="",I227=0),"",1-J227/I227)</f>
        <v/>
      </c>
      <c r="L227" s="1"/>
    </row>
    <row r="228" customFormat="false" ht="15" hidden="false" customHeight="false" outlineLevel="0" collapsed="false">
      <c r="A228" s="25"/>
      <c r="B228" s="1"/>
      <c r="C228" s="33" t="str">
        <f aca="false">IF(B228="","",IFERROR(INDEX(Catálogo!$C$5:$C$304,MATCH(B228,Catálogo!$A$5:$A$304,0)),"ISBN não cadastrado"))</f>
        <v/>
      </c>
      <c r="D228" s="33" t="str">
        <f aca="false">IF(B228="","",IFERROR(INDEX(Catálogo!$B$5:$B$304,MATCH(B228,Catálogo!$A$5:$A$304,0)),"ISBN não cadastrado"))</f>
        <v/>
      </c>
      <c r="E228" s="24"/>
      <c r="F228" s="21"/>
      <c r="G228" s="1"/>
      <c r="H228" s="1"/>
      <c r="I228" s="28" t="str">
        <f aca="false">IF(B228="","",E228*IFERROR(INDEX(Catálogo!$G$5:$G$304,MATCH(B228,Catálogo!$A$5:$A$304,0)),0))</f>
        <v/>
      </c>
      <c r="J228" s="22" t="str">
        <f aca="false">IF(B228="","",E228*F228)</f>
        <v/>
      </c>
      <c r="K228" s="23" t="str">
        <f aca="false">IF(OR(B228="",I228=0),"",1-J228/I228)</f>
        <v/>
      </c>
      <c r="L228" s="1"/>
    </row>
    <row r="229" customFormat="false" ht="15" hidden="false" customHeight="false" outlineLevel="0" collapsed="false">
      <c r="A229" s="25"/>
      <c r="B229" s="1"/>
      <c r="C229" s="33" t="str">
        <f aca="false">IF(B229="","",IFERROR(INDEX(Catálogo!$C$5:$C$304,MATCH(B229,Catálogo!$A$5:$A$304,0)),"ISBN não cadastrado"))</f>
        <v/>
      </c>
      <c r="D229" s="33" t="str">
        <f aca="false">IF(B229="","",IFERROR(INDEX(Catálogo!$B$5:$B$304,MATCH(B229,Catálogo!$A$5:$A$304,0)),"ISBN não cadastrado"))</f>
        <v/>
      </c>
      <c r="E229" s="24"/>
      <c r="F229" s="21"/>
      <c r="G229" s="1"/>
      <c r="H229" s="1"/>
      <c r="I229" s="28" t="str">
        <f aca="false">IF(B229="","",E229*IFERROR(INDEX(Catálogo!$G$5:$G$304,MATCH(B229,Catálogo!$A$5:$A$304,0)),0))</f>
        <v/>
      </c>
      <c r="J229" s="22" t="str">
        <f aca="false">IF(B229="","",E229*F229)</f>
        <v/>
      </c>
      <c r="K229" s="23" t="str">
        <f aca="false">IF(OR(B229="",I229=0),"",1-J229/I229)</f>
        <v/>
      </c>
      <c r="L229" s="1"/>
    </row>
    <row r="230" customFormat="false" ht="15" hidden="false" customHeight="false" outlineLevel="0" collapsed="false">
      <c r="A230" s="25"/>
      <c r="B230" s="1"/>
      <c r="C230" s="33" t="str">
        <f aca="false">IF(B230="","",IFERROR(INDEX(Catálogo!$C$5:$C$304,MATCH(B230,Catálogo!$A$5:$A$304,0)),"ISBN não cadastrado"))</f>
        <v/>
      </c>
      <c r="D230" s="33" t="str">
        <f aca="false">IF(B230="","",IFERROR(INDEX(Catálogo!$B$5:$B$304,MATCH(B230,Catálogo!$A$5:$A$304,0)),"ISBN não cadastrado"))</f>
        <v/>
      </c>
      <c r="E230" s="24"/>
      <c r="F230" s="21"/>
      <c r="G230" s="1"/>
      <c r="H230" s="1"/>
      <c r="I230" s="28" t="str">
        <f aca="false">IF(B230="","",E230*IFERROR(INDEX(Catálogo!$G$5:$G$304,MATCH(B230,Catálogo!$A$5:$A$304,0)),0))</f>
        <v/>
      </c>
      <c r="J230" s="22" t="str">
        <f aca="false">IF(B230="","",E230*F230)</f>
        <v/>
      </c>
      <c r="K230" s="23" t="str">
        <f aca="false">IF(OR(B230="",I230=0),"",1-J230/I230)</f>
        <v/>
      </c>
      <c r="L230" s="1"/>
    </row>
    <row r="231" customFormat="false" ht="15" hidden="false" customHeight="false" outlineLevel="0" collapsed="false">
      <c r="A231" s="25"/>
      <c r="B231" s="1"/>
      <c r="C231" s="33" t="str">
        <f aca="false">IF(B231="","",IFERROR(INDEX(Catálogo!$C$5:$C$304,MATCH(B231,Catálogo!$A$5:$A$304,0)),"ISBN não cadastrado"))</f>
        <v/>
      </c>
      <c r="D231" s="33" t="str">
        <f aca="false">IF(B231="","",IFERROR(INDEX(Catálogo!$B$5:$B$304,MATCH(B231,Catálogo!$A$5:$A$304,0)),"ISBN não cadastrado"))</f>
        <v/>
      </c>
      <c r="E231" s="24"/>
      <c r="F231" s="21"/>
      <c r="G231" s="1"/>
      <c r="H231" s="1"/>
      <c r="I231" s="28" t="str">
        <f aca="false">IF(B231="","",E231*IFERROR(INDEX(Catálogo!$G$5:$G$304,MATCH(B231,Catálogo!$A$5:$A$304,0)),0))</f>
        <v/>
      </c>
      <c r="J231" s="22" t="str">
        <f aca="false">IF(B231="","",E231*F231)</f>
        <v/>
      </c>
      <c r="K231" s="23" t="str">
        <f aca="false">IF(OR(B231="",I231=0),"",1-J231/I231)</f>
        <v/>
      </c>
      <c r="L231" s="1"/>
    </row>
    <row r="232" customFormat="false" ht="15" hidden="false" customHeight="false" outlineLevel="0" collapsed="false">
      <c r="A232" s="25"/>
      <c r="B232" s="1"/>
      <c r="C232" s="33" t="str">
        <f aca="false">IF(B232="","",IFERROR(INDEX(Catálogo!$C$5:$C$304,MATCH(B232,Catálogo!$A$5:$A$304,0)),"ISBN não cadastrado"))</f>
        <v/>
      </c>
      <c r="D232" s="33" t="str">
        <f aca="false">IF(B232="","",IFERROR(INDEX(Catálogo!$B$5:$B$304,MATCH(B232,Catálogo!$A$5:$A$304,0)),"ISBN não cadastrado"))</f>
        <v/>
      </c>
      <c r="E232" s="24"/>
      <c r="F232" s="21"/>
      <c r="G232" s="1"/>
      <c r="H232" s="1"/>
      <c r="I232" s="28" t="str">
        <f aca="false">IF(B232="","",E232*IFERROR(INDEX(Catálogo!$G$5:$G$304,MATCH(B232,Catálogo!$A$5:$A$304,0)),0))</f>
        <v/>
      </c>
      <c r="J232" s="22" t="str">
        <f aca="false">IF(B232="","",E232*F232)</f>
        <v/>
      </c>
      <c r="K232" s="23" t="str">
        <f aca="false">IF(OR(B232="",I232=0),"",1-J232/I232)</f>
        <v/>
      </c>
      <c r="L232" s="1"/>
    </row>
    <row r="233" customFormat="false" ht="15" hidden="false" customHeight="false" outlineLevel="0" collapsed="false">
      <c r="A233" s="25"/>
      <c r="B233" s="1"/>
      <c r="C233" s="33" t="str">
        <f aca="false">IF(B233="","",IFERROR(INDEX(Catálogo!$C$5:$C$304,MATCH(B233,Catálogo!$A$5:$A$304,0)),"ISBN não cadastrado"))</f>
        <v/>
      </c>
      <c r="D233" s="33" t="str">
        <f aca="false">IF(B233="","",IFERROR(INDEX(Catálogo!$B$5:$B$304,MATCH(B233,Catálogo!$A$5:$A$304,0)),"ISBN não cadastrado"))</f>
        <v/>
      </c>
      <c r="E233" s="24"/>
      <c r="F233" s="21"/>
      <c r="G233" s="1"/>
      <c r="H233" s="1"/>
      <c r="I233" s="28" t="str">
        <f aca="false">IF(B233="","",E233*IFERROR(INDEX(Catálogo!$G$5:$G$304,MATCH(B233,Catálogo!$A$5:$A$304,0)),0))</f>
        <v/>
      </c>
      <c r="J233" s="22" t="str">
        <f aca="false">IF(B233="","",E233*F233)</f>
        <v/>
      </c>
      <c r="K233" s="23" t="str">
        <f aca="false">IF(OR(B233="",I233=0),"",1-J233/I233)</f>
        <v/>
      </c>
      <c r="L233" s="1"/>
    </row>
    <row r="234" customFormat="false" ht="15" hidden="false" customHeight="false" outlineLevel="0" collapsed="false">
      <c r="A234" s="25"/>
      <c r="B234" s="1"/>
      <c r="C234" s="33" t="str">
        <f aca="false">IF(B234="","",IFERROR(INDEX(Catálogo!$C$5:$C$304,MATCH(B234,Catálogo!$A$5:$A$304,0)),"ISBN não cadastrado"))</f>
        <v/>
      </c>
      <c r="D234" s="33" t="str">
        <f aca="false">IF(B234="","",IFERROR(INDEX(Catálogo!$B$5:$B$304,MATCH(B234,Catálogo!$A$5:$A$304,0)),"ISBN não cadastrado"))</f>
        <v/>
      </c>
      <c r="E234" s="24"/>
      <c r="F234" s="21"/>
      <c r="G234" s="1"/>
      <c r="H234" s="1"/>
      <c r="I234" s="28" t="str">
        <f aca="false">IF(B234="","",E234*IFERROR(INDEX(Catálogo!$G$5:$G$304,MATCH(B234,Catálogo!$A$5:$A$304,0)),0))</f>
        <v/>
      </c>
      <c r="J234" s="22" t="str">
        <f aca="false">IF(B234="","",E234*F234)</f>
        <v/>
      </c>
      <c r="K234" s="23" t="str">
        <f aca="false">IF(OR(B234="",I234=0),"",1-J234/I234)</f>
        <v/>
      </c>
      <c r="L234" s="1"/>
    </row>
    <row r="235" customFormat="false" ht="15" hidden="false" customHeight="false" outlineLevel="0" collapsed="false">
      <c r="A235" s="25"/>
      <c r="B235" s="1"/>
      <c r="C235" s="33" t="str">
        <f aca="false">IF(B235="","",IFERROR(INDEX(Catálogo!$C$5:$C$304,MATCH(B235,Catálogo!$A$5:$A$304,0)),"ISBN não cadastrado"))</f>
        <v/>
      </c>
      <c r="D235" s="33" t="str">
        <f aca="false">IF(B235="","",IFERROR(INDEX(Catálogo!$B$5:$B$304,MATCH(B235,Catálogo!$A$5:$A$304,0)),"ISBN não cadastrado"))</f>
        <v/>
      </c>
      <c r="E235" s="24"/>
      <c r="F235" s="21"/>
      <c r="G235" s="1"/>
      <c r="H235" s="1"/>
      <c r="I235" s="28" t="str">
        <f aca="false">IF(B235="","",E235*IFERROR(INDEX(Catálogo!$G$5:$G$304,MATCH(B235,Catálogo!$A$5:$A$304,0)),0))</f>
        <v/>
      </c>
      <c r="J235" s="22" t="str">
        <f aca="false">IF(B235="","",E235*F235)</f>
        <v/>
      </c>
      <c r="K235" s="23" t="str">
        <f aca="false">IF(OR(B235="",I235=0),"",1-J235/I235)</f>
        <v/>
      </c>
      <c r="L235" s="1"/>
    </row>
    <row r="236" customFormat="false" ht="15" hidden="false" customHeight="false" outlineLevel="0" collapsed="false">
      <c r="A236" s="25"/>
      <c r="B236" s="1"/>
      <c r="C236" s="33" t="str">
        <f aca="false">IF(B236="","",IFERROR(INDEX(Catálogo!$C$5:$C$304,MATCH(B236,Catálogo!$A$5:$A$304,0)),"ISBN não cadastrado"))</f>
        <v/>
      </c>
      <c r="D236" s="33" t="str">
        <f aca="false">IF(B236="","",IFERROR(INDEX(Catálogo!$B$5:$B$304,MATCH(B236,Catálogo!$A$5:$A$304,0)),"ISBN não cadastrado"))</f>
        <v/>
      </c>
      <c r="E236" s="24"/>
      <c r="F236" s="21"/>
      <c r="G236" s="1"/>
      <c r="H236" s="1"/>
      <c r="I236" s="28" t="str">
        <f aca="false">IF(B236="","",E236*IFERROR(INDEX(Catálogo!$G$5:$G$304,MATCH(B236,Catálogo!$A$5:$A$304,0)),0))</f>
        <v/>
      </c>
      <c r="J236" s="22" t="str">
        <f aca="false">IF(B236="","",E236*F236)</f>
        <v/>
      </c>
      <c r="K236" s="23" t="str">
        <f aca="false">IF(OR(B236="",I236=0),"",1-J236/I236)</f>
        <v/>
      </c>
      <c r="L236" s="1"/>
    </row>
    <row r="237" customFormat="false" ht="15" hidden="false" customHeight="false" outlineLevel="0" collapsed="false">
      <c r="A237" s="25"/>
      <c r="B237" s="1"/>
      <c r="C237" s="33" t="str">
        <f aca="false">IF(B237="","",IFERROR(INDEX(Catálogo!$C$5:$C$304,MATCH(B237,Catálogo!$A$5:$A$304,0)),"ISBN não cadastrado"))</f>
        <v/>
      </c>
      <c r="D237" s="33" t="str">
        <f aca="false">IF(B237="","",IFERROR(INDEX(Catálogo!$B$5:$B$304,MATCH(B237,Catálogo!$A$5:$A$304,0)),"ISBN não cadastrado"))</f>
        <v/>
      </c>
      <c r="E237" s="24"/>
      <c r="F237" s="21"/>
      <c r="G237" s="1"/>
      <c r="H237" s="1"/>
      <c r="I237" s="28" t="str">
        <f aca="false">IF(B237="","",E237*IFERROR(INDEX(Catálogo!$G$5:$G$304,MATCH(B237,Catálogo!$A$5:$A$304,0)),0))</f>
        <v/>
      </c>
      <c r="J237" s="22" t="str">
        <f aca="false">IF(B237="","",E237*F237)</f>
        <v/>
      </c>
      <c r="K237" s="23" t="str">
        <f aca="false">IF(OR(B237="",I237=0),"",1-J237/I237)</f>
        <v/>
      </c>
      <c r="L237" s="1"/>
    </row>
    <row r="238" customFormat="false" ht="15" hidden="false" customHeight="false" outlineLevel="0" collapsed="false">
      <c r="A238" s="25"/>
      <c r="B238" s="1"/>
      <c r="C238" s="33" t="str">
        <f aca="false">IF(B238="","",IFERROR(INDEX(Catálogo!$C$5:$C$304,MATCH(B238,Catálogo!$A$5:$A$304,0)),"ISBN não cadastrado"))</f>
        <v/>
      </c>
      <c r="D238" s="33" t="str">
        <f aca="false">IF(B238="","",IFERROR(INDEX(Catálogo!$B$5:$B$304,MATCH(B238,Catálogo!$A$5:$A$304,0)),"ISBN não cadastrado"))</f>
        <v/>
      </c>
      <c r="E238" s="24"/>
      <c r="F238" s="21"/>
      <c r="G238" s="1"/>
      <c r="H238" s="1"/>
      <c r="I238" s="28" t="str">
        <f aca="false">IF(B238="","",E238*IFERROR(INDEX(Catálogo!$G$5:$G$304,MATCH(B238,Catálogo!$A$5:$A$304,0)),0))</f>
        <v/>
      </c>
      <c r="J238" s="22" t="str">
        <f aca="false">IF(B238="","",E238*F238)</f>
        <v/>
      </c>
      <c r="K238" s="23" t="str">
        <f aca="false">IF(OR(B238="",I238=0),"",1-J238/I238)</f>
        <v/>
      </c>
      <c r="L238" s="1"/>
    </row>
    <row r="239" customFormat="false" ht="15" hidden="false" customHeight="false" outlineLevel="0" collapsed="false">
      <c r="A239" s="25"/>
      <c r="B239" s="1"/>
      <c r="C239" s="33" t="str">
        <f aca="false">IF(B239="","",IFERROR(INDEX(Catálogo!$C$5:$C$304,MATCH(B239,Catálogo!$A$5:$A$304,0)),"ISBN não cadastrado"))</f>
        <v/>
      </c>
      <c r="D239" s="33" t="str">
        <f aca="false">IF(B239="","",IFERROR(INDEX(Catálogo!$B$5:$B$304,MATCH(B239,Catálogo!$A$5:$A$304,0)),"ISBN não cadastrado"))</f>
        <v/>
      </c>
      <c r="E239" s="24"/>
      <c r="F239" s="21"/>
      <c r="G239" s="1"/>
      <c r="H239" s="1"/>
      <c r="I239" s="28" t="str">
        <f aca="false">IF(B239="","",E239*IFERROR(INDEX(Catálogo!$G$5:$G$304,MATCH(B239,Catálogo!$A$5:$A$304,0)),0))</f>
        <v/>
      </c>
      <c r="J239" s="22" t="str">
        <f aca="false">IF(B239="","",E239*F239)</f>
        <v/>
      </c>
      <c r="K239" s="23" t="str">
        <f aca="false">IF(OR(B239="",I239=0),"",1-J239/I239)</f>
        <v/>
      </c>
      <c r="L239" s="1"/>
    </row>
    <row r="240" customFormat="false" ht="15" hidden="false" customHeight="false" outlineLevel="0" collapsed="false">
      <c r="A240" s="25"/>
      <c r="B240" s="1"/>
      <c r="C240" s="33" t="str">
        <f aca="false">IF(B240="","",IFERROR(INDEX(Catálogo!$C$5:$C$304,MATCH(B240,Catálogo!$A$5:$A$304,0)),"ISBN não cadastrado"))</f>
        <v/>
      </c>
      <c r="D240" s="33" t="str">
        <f aca="false">IF(B240="","",IFERROR(INDEX(Catálogo!$B$5:$B$304,MATCH(B240,Catálogo!$A$5:$A$304,0)),"ISBN não cadastrado"))</f>
        <v/>
      </c>
      <c r="E240" s="24"/>
      <c r="F240" s="21"/>
      <c r="G240" s="1"/>
      <c r="H240" s="1"/>
      <c r="I240" s="28" t="str">
        <f aca="false">IF(B240="","",E240*IFERROR(INDEX(Catálogo!$G$5:$G$304,MATCH(B240,Catálogo!$A$5:$A$304,0)),0))</f>
        <v/>
      </c>
      <c r="J240" s="22" t="str">
        <f aca="false">IF(B240="","",E240*F240)</f>
        <v/>
      </c>
      <c r="K240" s="23" t="str">
        <f aca="false">IF(OR(B240="",I240=0),"",1-J240/I240)</f>
        <v/>
      </c>
      <c r="L240" s="1"/>
    </row>
    <row r="241" customFormat="false" ht="15" hidden="false" customHeight="false" outlineLevel="0" collapsed="false">
      <c r="A241" s="25"/>
      <c r="B241" s="1"/>
      <c r="C241" s="33" t="str">
        <f aca="false">IF(B241="","",IFERROR(INDEX(Catálogo!$C$5:$C$304,MATCH(B241,Catálogo!$A$5:$A$304,0)),"ISBN não cadastrado"))</f>
        <v/>
      </c>
      <c r="D241" s="33" t="str">
        <f aca="false">IF(B241="","",IFERROR(INDEX(Catálogo!$B$5:$B$304,MATCH(B241,Catálogo!$A$5:$A$304,0)),"ISBN não cadastrado"))</f>
        <v/>
      </c>
      <c r="E241" s="24"/>
      <c r="F241" s="21"/>
      <c r="G241" s="1"/>
      <c r="H241" s="1"/>
      <c r="I241" s="28" t="str">
        <f aca="false">IF(B241="","",E241*IFERROR(INDEX(Catálogo!$G$5:$G$304,MATCH(B241,Catálogo!$A$5:$A$304,0)),0))</f>
        <v/>
      </c>
      <c r="J241" s="22" t="str">
        <f aca="false">IF(B241="","",E241*F241)</f>
        <v/>
      </c>
      <c r="K241" s="23" t="str">
        <f aca="false">IF(OR(B241="",I241=0),"",1-J241/I241)</f>
        <v/>
      </c>
      <c r="L241" s="1"/>
    </row>
    <row r="242" customFormat="false" ht="15" hidden="false" customHeight="false" outlineLevel="0" collapsed="false">
      <c r="A242" s="25"/>
      <c r="B242" s="1"/>
      <c r="C242" s="33" t="str">
        <f aca="false">IF(B242="","",IFERROR(INDEX(Catálogo!$C$5:$C$304,MATCH(B242,Catálogo!$A$5:$A$304,0)),"ISBN não cadastrado"))</f>
        <v/>
      </c>
      <c r="D242" s="33" t="str">
        <f aca="false">IF(B242="","",IFERROR(INDEX(Catálogo!$B$5:$B$304,MATCH(B242,Catálogo!$A$5:$A$304,0)),"ISBN não cadastrado"))</f>
        <v/>
      </c>
      <c r="E242" s="24"/>
      <c r="F242" s="21"/>
      <c r="G242" s="1"/>
      <c r="H242" s="1"/>
      <c r="I242" s="28" t="str">
        <f aca="false">IF(B242="","",E242*IFERROR(INDEX(Catálogo!$G$5:$G$304,MATCH(B242,Catálogo!$A$5:$A$304,0)),0))</f>
        <v/>
      </c>
      <c r="J242" s="22" t="str">
        <f aca="false">IF(B242="","",E242*F242)</f>
        <v/>
      </c>
      <c r="K242" s="23" t="str">
        <f aca="false">IF(OR(B242="",I242=0),"",1-J242/I242)</f>
        <v/>
      </c>
      <c r="L242" s="1"/>
    </row>
    <row r="243" customFormat="false" ht="15" hidden="false" customHeight="false" outlineLevel="0" collapsed="false">
      <c r="A243" s="25"/>
      <c r="B243" s="1"/>
      <c r="C243" s="33" t="str">
        <f aca="false">IF(B243="","",IFERROR(INDEX(Catálogo!$C$5:$C$304,MATCH(B243,Catálogo!$A$5:$A$304,0)),"ISBN não cadastrado"))</f>
        <v/>
      </c>
      <c r="D243" s="33" t="str">
        <f aca="false">IF(B243="","",IFERROR(INDEX(Catálogo!$B$5:$B$304,MATCH(B243,Catálogo!$A$5:$A$304,0)),"ISBN não cadastrado"))</f>
        <v/>
      </c>
      <c r="E243" s="24"/>
      <c r="F243" s="21"/>
      <c r="G243" s="1"/>
      <c r="H243" s="1"/>
      <c r="I243" s="28" t="str">
        <f aca="false">IF(B243="","",E243*IFERROR(INDEX(Catálogo!$G$5:$G$304,MATCH(B243,Catálogo!$A$5:$A$304,0)),0))</f>
        <v/>
      </c>
      <c r="J243" s="22" t="str">
        <f aca="false">IF(B243="","",E243*F243)</f>
        <v/>
      </c>
      <c r="K243" s="23" t="str">
        <f aca="false">IF(OR(B243="",I243=0),"",1-J243/I243)</f>
        <v/>
      </c>
      <c r="L243" s="1"/>
    </row>
    <row r="244" customFormat="false" ht="15" hidden="false" customHeight="false" outlineLevel="0" collapsed="false">
      <c r="A244" s="25"/>
      <c r="B244" s="1"/>
      <c r="C244" s="33" t="str">
        <f aca="false">IF(B244="","",IFERROR(INDEX(Catálogo!$C$5:$C$304,MATCH(B244,Catálogo!$A$5:$A$304,0)),"ISBN não cadastrado"))</f>
        <v/>
      </c>
      <c r="D244" s="33" t="str">
        <f aca="false">IF(B244="","",IFERROR(INDEX(Catálogo!$B$5:$B$304,MATCH(B244,Catálogo!$A$5:$A$304,0)),"ISBN não cadastrado"))</f>
        <v/>
      </c>
      <c r="E244" s="24"/>
      <c r="F244" s="21"/>
      <c r="G244" s="1"/>
      <c r="H244" s="1"/>
      <c r="I244" s="28" t="str">
        <f aca="false">IF(B244="","",E244*IFERROR(INDEX(Catálogo!$G$5:$G$304,MATCH(B244,Catálogo!$A$5:$A$304,0)),0))</f>
        <v/>
      </c>
      <c r="J244" s="22" t="str">
        <f aca="false">IF(B244="","",E244*F244)</f>
        <v/>
      </c>
      <c r="K244" s="23" t="str">
        <f aca="false">IF(OR(B244="",I244=0),"",1-J244/I244)</f>
        <v/>
      </c>
      <c r="L244" s="1"/>
    </row>
    <row r="245" customFormat="false" ht="15" hidden="false" customHeight="false" outlineLevel="0" collapsed="false">
      <c r="A245" s="25"/>
      <c r="B245" s="1"/>
      <c r="C245" s="33" t="str">
        <f aca="false">IF(B245="","",IFERROR(INDEX(Catálogo!$C$5:$C$304,MATCH(B245,Catálogo!$A$5:$A$304,0)),"ISBN não cadastrado"))</f>
        <v/>
      </c>
      <c r="D245" s="33" t="str">
        <f aca="false">IF(B245="","",IFERROR(INDEX(Catálogo!$B$5:$B$304,MATCH(B245,Catálogo!$A$5:$A$304,0)),"ISBN não cadastrado"))</f>
        <v/>
      </c>
      <c r="E245" s="24"/>
      <c r="F245" s="21"/>
      <c r="G245" s="1"/>
      <c r="H245" s="1"/>
      <c r="I245" s="28" t="str">
        <f aca="false">IF(B245="","",E245*IFERROR(INDEX(Catálogo!$G$5:$G$304,MATCH(B245,Catálogo!$A$5:$A$304,0)),0))</f>
        <v/>
      </c>
      <c r="J245" s="22" t="str">
        <f aca="false">IF(B245="","",E245*F245)</f>
        <v/>
      </c>
      <c r="K245" s="23" t="str">
        <f aca="false">IF(OR(B245="",I245=0),"",1-J245/I245)</f>
        <v/>
      </c>
      <c r="L245" s="1"/>
    </row>
    <row r="246" customFormat="false" ht="15" hidden="false" customHeight="false" outlineLevel="0" collapsed="false">
      <c r="A246" s="25"/>
      <c r="B246" s="1"/>
      <c r="C246" s="33" t="str">
        <f aca="false">IF(B246="","",IFERROR(INDEX(Catálogo!$C$5:$C$304,MATCH(B246,Catálogo!$A$5:$A$304,0)),"ISBN não cadastrado"))</f>
        <v/>
      </c>
      <c r="D246" s="33" t="str">
        <f aca="false">IF(B246="","",IFERROR(INDEX(Catálogo!$B$5:$B$304,MATCH(B246,Catálogo!$A$5:$A$304,0)),"ISBN não cadastrado"))</f>
        <v/>
      </c>
      <c r="E246" s="24"/>
      <c r="F246" s="21"/>
      <c r="G246" s="1"/>
      <c r="H246" s="1"/>
      <c r="I246" s="28" t="str">
        <f aca="false">IF(B246="","",E246*IFERROR(INDEX(Catálogo!$G$5:$G$304,MATCH(B246,Catálogo!$A$5:$A$304,0)),0))</f>
        <v/>
      </c>
      <c r="J246" s="22" t="str">
        <f aca="false">IF(B246="","",E246*F246)</f>
        <v/>
      </c>
      <c r="K246" s="23" t="str">
        <f aca="false">IF(OR(B246="",I246=0),"",1-J246/I246)</f>
        <v/>
      </c>
      <c r="L246" s="1"/>
    </row>
    <row r="247" customFormat="false" ht="15" hidden="false" customHeight="false" outlineLevel="0" collapsed="false">
      <c r="A247" s="25"/>
      <c r="B247" s="1"/>
      <c r="C247" s="33" t="str">
        <f aca="false">IF(B247="","",IFERROR(INDEX(Catálogo!$C$5:$C$304,MATCH(B247,Catálogo!$A$5:$A$304,0)),"ISBN não cadastrado"))</f>
        <v/>
      </c>
      <c r="D247" s="33" t="str">
        <f aca="false">IF(B247="","",IFERROR(INDEX(Catálogo!$B$5:$B$304,MATCH(B247,Catálogo!$A$5:$A$304,0)),"ISBN não cadastrado"))</f>
        <v/>
      </c>
      <c r="E247" s="24"/>
      <c r="F247" s="21"/>
      <c r="G247" s="1"/>
      <c r="H247" s="1"/>
      <c r="I247" s="28" t="str">
        <f aca="false">IF(B247="","",E247*IFERROR(INDEX(Catálogo!$G$5:$G$304,MATCH(B247,Catálogo!$A$5:$A$304,0)),0))</f>
        <v/>
      </c>
      <c r="J247" s="22" t="str">
        <f aca="false">IF(B247="","",E247*F247)</f>
        <v/>
      </c>
      <c r="K247" s="23" t="str">
        <f aca="false">IF(OR(B247="",I247=0),"",1-J247/I247)</f>
        <v/>
      </c>
      <c r="L247" s="1"/>
    </row>
    <row r="248" customFormat="false" ht="15" hidden="false" customHeight="false" outlineLevel="0" collapsed="false">
      <c r="A248" s="25"/>
      <c r="B248" s="1"/>
      <c r="C248" s="33" t="str">
        <f aca="false">IF(B248="","",IFERROR(INDEX(Catálogo!$C$5:$C$304,MATCH(B248,Catálogo!$A$5:$A$304,0)),"ISBN não cadastrado"))</f>
        <v/>
      </c>
      <c r="D248" s="33" t="str">
        <f aca="false">IF(B248="","",IFERROR(INDEX(Catálogo!$B$5:$B$304,MATCH(B248,Catálogo!$A$5:$A$304,0)),"ISBN não cadastrado"))</f>
        <v/>
      </c>
      <c r="E248" s="24"/>
      <c r="F248" s="21"/>
      <c r="G248" s="1"/>
      <c r="H248" s="1"/>
      <c r="I248" s="28" t="str">
        <f aca="false">IF(B248="","",E248*IFERROR(INDEX(Catálogo!$G$5:$G$304,MATCH(B248,Catálogo!$A$5:$A$304,0)),0))</f>
        <v/>
      </c>
      <c r="J248" s="22" t="str">
        <f aca="false">IF(B248="","",E248*F248)</f>
        <v/>
      </c>
      <c r="K248" s="23" t="str">
        <f aca="false">IF(OR(B248="",I248=0),"",1-J248/I248)</f>
        <v/>
      </c>
      <c r="L248" s="1"/>
    </row>
    <row r="249" customFormat="false" ht="15" hidden="false" customHeight="false" outlineLevel="0" collapsed="false">
      <c r="A249" s="25"/>
      <c r="B249" s="1"/>
      <c r="C249" s="33" t="str">
        <f aca="false">IF(B249="","",IFERROR(INDEX(Catálogo!$C$5:$C$304,MATCH(B249,Catálogo!$A$5:$A$304,0)),"ISBN não cadastrado"))</f>
        <v/>
      </c>
      <c r="D249" s="33" t="str">
        <f aca="false">IF(B249="","",IFERROR(INDEX(Catálogo!$B$5:$B$304,MATCH(B249,Catálogo!$A$5:$A$304,0)),"ISBN não cadastrado"))</f>
        <v/>
      </c>
      <c r="E249" s="24"/>
      <c r="F249" s="21"/>
      <c r="G249" s="1"/>
      <c r="H249" s="1"/>
      <c r="I249" s="28" t="str">
        <f aca="false">IF(B249="","",E249*IFERROR(INDEX(Catálogo!$G$5:$G$304,MATCH(B249,Catálogo!$A$5:$A$304,0)),0))</f>
        <v/>
      </c>
      <c r="J249" s="22" t="str">
        <f aca="false">IF(B249="","",E249*F249)</f>
        <v/>
      </c>
      <c r="K249" s="23" t="str">
        <f aca="false">IF(OR(B249="",I249=0),"",1-J249/I249)</f>
        <v/>
      </c>
      <c r="L249" s="1"/>
    </row>
    <row r="250" customFormat="false" ht="15" hidden="false" customHeight="false" outlineLevel="0" collapsed="false">
      <c r="A250" s="25"/>
      <c r="B250" s="1"/>
      <c r="C250" s="33" t="str">
        <f aca="false">IF(B250="","",IFERROR(INDEX(Catálogo!$C$5:$C$304,MATCH(B250,Catálogo!$A$5:$A$304,0)),"ISBN não cadastrado"))</f>
        <v/>
      </c>
      <c r="D250" s="33" t="str">
        <f aca="false">IF(B250="","",IFERROR(INDEX(Catálogo!$B$5:$B$304,MATCH(B250,Catálogo!$A$5:$A$304,0)),"ISBN não cadastrado"))</f>
        <v/>
      </c>
      <c r="E250" s="24"/>
      <c r="F250" s="21"/>
      <c r="G250" s="1"/>
      <c r="H250" s="1"/>
      <c r="I250" s="28" t="str">
        <f aca="false">IF(B250="","",E250*IFERROR(INDEX(Catálogo!$G$5:$G$304,MATCH(B250,Catálogo!$A$5:$A$304,0)),0))</f>
        <v/>
      </c>
      <c r="J250" s="22" t="str">
        <f aca="false">IF(B250="","",E250*F250)</f>
        <v/>
      </c>
      <c r="K250" s="23" t="str">
        <f aca="false">IF(OR(B250="",I250=0),"",1-J250/I250)</f>
        <v/>
      </c>
      <c r="L250" s="1"/>
    </row>
    <row r="251" customFormat="false" ht="15" hidden="false" customHeight="false" outlineLevel="0" collapsed="false">
      <c r="A251" s="25"/>
      <c r="B251" s="1"/>
      <c r="C251" s="33" t="str">
        <f aca="false">IF(B251="","",IFERROR(INDEX(Catálogo!$C$5:$C$304,MATCH(B251,Catálogo!$A$5:$A$304,0)),"ISBN não cadastrado"))</f>
        <v/>
      </c>
      <c r="D251" s="33" t="str">
        <f aca="false">IF(B251="","",IFERROR(INDEX(Catálogo!$B$5:$B$304,MATCH(B251,Catálogo!$A$5:$A$304,0)),"ISBN não cadastrado"))</f>
        <v/>
      </c>
      <c r="E251" s="24"/>
      <c r="F251" s="21"/>
      <c r="G251" s="1"/>
      <c r="H251" s="1"/>
      <c r="I251" s="28" t="str">
        <f aca="false">IF(B251="","",E251*IFERROR(INDEX(Catálogo!$G$5:$G$304,MATCH(B251,Catálogo!$A$5:$A$304,0)),0))</f>
        <v/>
      </c>
      <c r="J251" s="22" t="str">
        <f aca="false">IF(B251="","",E251*F251)</f>
        <v/>
      </c>
      <c r="K251" s="23" t="str">
        <f aca="false">IF(OR(B251="",I251=0),"",1-J251/I251)</f>
        <v/>
      </c>
      <c r="L251" s="1"/>
    </row>
    <row r="252" customFormat="false" ht="15" hidden="false" customHeight="false" outlineLevel="0" collapsed="false">
      <c r="A252" s="25"/>
      <c r="B252" s="1"/>
      <c r="C252" s="33" t="str">
        <f aca="false">IF(B252="","",IFERROR(INDEX(Catálogo!$C$5:$C$304,MATCH(B252,Catálogo!$A$5:$A$304,0)),"ISBN não cadastrado"))</f>
        <v/>
      </c>
      <c r="D252" s="33" t="str">
        <f aca="false">IF(B252="","",IFERROR(INDEX(Catálogo!$B$5:$B$304,MATCH(B252,Catálogo!$A$5:$A$304,0)),"ISBN não cadastrado"))</f>
        <v/>
      </c>
      <c r="E252" s="24"/>
      <c r="F252" s="21"/>
      <c r="G252" s="1"/>
      <c r="H252" s="1"/>
      <c r="I252" s="28" t="str">
        <f aca="false">IF(B252="","",E252*IFERROR(INDEX(Catálogo!$G$5:$G$304,MATCH(B252,Catálogo!$A$5:$A$304,0)),0))</f>
        <v/>
      </c>
      <c r="J252" s="22" t="str">
        <f aca="false">IF(B252="","",E252*F252)</f>
        <v/>
      </c>
      <c r="K252" s="23" t="str">
        <f aca="false">IF(OR(B252="",I252=0),"",1-J252/I252)</f>
        <v/>
      </c>
      <c r="L252" s="1"/>
    </row>
    <row r="253" customFormat="false" ht="15" hidden="false" customHeight="false" outlineLevel="0" collapsed="false">
      <c r="A253" s="25"/>
      <c r="B253" s="1"/>
      <c r="C253" s="33" t="str">
        <f aca="false">IF(B253="","",IFERROR(INDEX(Catálogo!$C$5:$C$304,MATCH(B253,Catálogo!$A$5:$A$304,0)),"ISBN não cadastrado"))</f>
        <v/>
      </c>
      <c r="D253" s="33" t="str">
        <f aca="false">IF(B253="","",IFERROR(INDEX(Catálogo!$B$5:$B$304,MATCH(B253,Catálogo!$A$5:$A$304,0)),"ISBN não cadastrado"))</f>
        <v/>
      </c>
      <c r="E253" s="24"/>
      <c r="F253" s="21"/>
      <c r="G253" s="1"/>
      <c r="H253" s="1"/>
      <c r="I253" s="28" t="str">
        <f aca="false">IF(B253="","",E253*IFERROR(INDEX(Catálogo!$G$5:$G$304,MATCH(B253,Catálogo!$A$5:$A$304,0)),0))</f>
        <v/>
      </c>
      <c r="J253" s="22" t="str">
        <f aca="false">IF(B253="","",E253*F253)</f>
        <v/>
      </c>
      <c r="K253" s="23" t="str">
        <f aca="false">IF(OR(B253="",I253=0),"",1-J253/I253)</f>
        <v/>
      </c>
      <c r="L253" s="1"/>
    </row>
    <row r="254" customFormat="false" ht="15" hidden="false" customHeight="false" outlineLevel="0" collapsed="false">
      <c r="A254" s="25"/>
      <c r="B254" s="1"/>
      <c r="C254" s="33" t="str">
        <f aca="false">IF(B254="","",IFERROR(INDEX(Catálogo!$C$5:$C$304,MATCH(B254,Catálogo!$A$5:$A$304,0)),"ISBN não cadastrado"))</f>
        <v/>
      </c>
      <c r="D254" s="33" t="str">
        <f aca="false">IF(B254="","",IFERROR(INDEX(Catálogo!$B$5:$B$304,MATCH(B254,Catálogo!$A$5:$A$304,0)),"ISBN não cadastrado"))</f>
        <v/>
      </c>
      <c r="E254" s="24"/>
      <c r="F254" s="21"/>
      <c r="G254" s="1"/>
      <c r="H254" s="1"/>
      <c r="I254" s="28" t="str">
        <f aca="false">IF(B254="","",E254*IFERROR(INDEX(Catálogo!$G$5:$G$304,MATCH(B254,Catálogo!$A$5:$A$304,0)),0))</f>
        <v/>
      </c>
      <c r="J254" s="22" t="str">
        <f aca="false">IF(B254="","",E254*F254)</f>
        <v/>
      </c>
      <c r="K254" s="23" t="str">
        <f aca="false">IF(OR(B254="",I254=0),"",1-J254/I254)</f>
        <v/>
      </c>
      <c r="L254" s="1"/>
    </row>
    <row r="255" customFormat="false" ht="15" hidden="false" customHeight="false" outlineLevel="0" collapsed="false">
      <c r="A255" s="25"/>
      <c r="B255" s="1"/>
      <c r="C255" s="33" t="str">
        <f aca="false">IF(B255="","",IFERROR(INDEX(Catálogo!$C$5:$C$304,MATCH(B255,Catálogo!$A$5:$A$304,0)),"ISBN não cadastrado"))</f>
        <v/>
      </c>
      <c r="D255" s="33" t="str">
        <f aca="false">IF(B255="","",IFERROR(INDEX(Catálogo!$B$5:$B$304,MATCH(B255,Catálogo!$A$5:$A$304,0)),"ISBN não cadastrado"))</f>
        <v/>
      </c>
      <c r="E255" s="24"/>
      <c r="F255" s="21"/>
      <c r="G255" s="1"/>
      <c r="H255" s="1"/>
      <c r="I255" s="28" t="str">
        <f aca="false">IF(B255="","",E255*IFERROR(INDEX(Catálogo!$G$5:$G$304,MATCH(B255,Catálogo!$A$5:$A$304,0)),0))</f>
        <v/>
      </c>
      <c r="J255" s="22" t="str">
        <f aca="false">IF(B255="","",E255*F255)</f>
        <v/>
      </c>
      <c r="K255" s="23" t="str">
        <f aca="false">IF(OR(B255="",I255=0),"",1-J255/I255)</f>
        <v/>
      </c>
      <c r="L255" s="1"/>
    </row>
    <row r="256" customFormat="false" ht="15" hidden="false" customHeight="false" outlineLevel="0" collapsed="false">
      <c r="A256" s="25"/>
      <c r="B256" s="1"/>
      <c r="C256" s="33" t="str">
        <f aca="false">IF(B256="","",IFERROR(INDEX(Catálogo!$C$5:$C$304,MATCH(B256,Catálogo!$A$5:$A$304,0)),"ISBN não cadastrado"))</f>
        <v/>
      </c>
      <c r="D256" s="33" t="str">
        <f aca="false">IF(B256="","",IFERROR(INDEX(Catálogo!$B$5:$B$304,MATCH(B256,Catálogo!$A$5:$A$304,0)),"ISBN não cadastrado"))</f>
        <v/>
      </c>
      <c r="E256" s="24"/>
      <c r="F256" s="21"/>
      <c r="G256" s="1"/>
      <c r="H256" s="1"/>
      <c r="I256" s="28" t="str">
        <f aca="false">IF(B256="","",E256*IFERROR(INDEX(Catálogo!$G$5:$G$304,MATCH(B256,Catálogo!$A$5:$A$304,0)),0))</f>
        <v/>
      </c>
      <c r="J256" s="22" t="str">
        <f aca="false">IF(B256="","",E256*F256)</f>
        <v/>
      </c>
      <c r="K256" s="23" t="str">
        <f aca="false">IF(OR(B256="",I256=0),"",1-J256/I256)</f>
        <v/>
      </c>
      <c r="L256" s="1"/>
    </row>
    <row r="257" customFormat="false" ht="15" hidden="false" customHeight="false" outlineLevel="0" collapsed="false">
      <c r="A257" s="25"/>
      <c r="B257" s="1"/>
      <c r="C257" s="33" t="str">
        <f aca="false">IF(B257="","",IFERROR(INDEX(Catálogo!$C$5:$C$304,MATCH(B257,Catálogo!$A$5:$A$304,0)),"ISBN não cadastrado"))</f>
        <v/>
      </c>
      <c r="D257" s="33" t="str">
        <f aca="false">IF(B257="","",IFERROR(INDEX(Catálogo!$B$5:$B$304,MATCH(B257,Catálogo!$A$5:$A$304,0)),"ISBN não cadastrado"))</f>
        <v/>
      </c>
      <c r="E257" s="24"/>
      <c r="F257" s="21"/>
      <c r="G257" s="1"/>
      <c r="H257" s="1"/>
      <c r="I257" s="28" t="str">
        <f aca="false">IF(B257="","",E257*IFERROR(INDEX(Catálogo!$G$5:$G$304,MATCH(B257,Catálogo!$A$5:$A$304,0)),0))</f>
        <v/>
      </c>
      <c r="J257" s="22" t="str">
        <f aca="false">IF(B257="","",E257*F257)</f>
        <v/>
      </c>
      <c r="K257" s="23" t="str">
        <f aca="false">IF(OR(B257="",I257=0),"",1-J257/I257)</f>
        <v/>
      </c>
      <c r="L257" s="1"/>
    </row>
    <row r="258" customFormat="false" ht="15" hidden="false" customHeight="false" outlineLevel="0" collapsed="false">
      <c r="A258" s="25"/>
      <c r="B258" s="1"/>
      <c r="C258" s="33" t="str">
        <f aca="false">IF(B258="","",IFERROR(INDEX(Catálogo!$C$5:$C$304,MATCH(B258,Catálogo!$A$5:$A$304,0)),"ISBN não cadastrado"))</f>
        <v/>
      </c>
      <c r="D258" s="33" t="str">
        <f aca="false">IF(B258="","",IFERROR(INDEX(Catálogo!$B$5:$B$304,MATCH(B258,Catálogo!$A$5:$A$304,0)),"ISBN não cadastrado"))</f>
        <v/>
      </c>
      <c r="E258" s="24"/>
      <c r="F258" s="21"/>
      <c r="G258" s="1"/>
      <c r="H258" s="1"/>
      <c r="I258" s="28" t="str">
        <f aca="false">IF(B258="","",E258*IFERROR(INDEX(Catálogo!$G$5:$G$304,MATCH(B258,Catálogo!$A$5:$A$304,0)),0))</f>
        <v/>
      </c>
      <c r="J258" s="22" t="str">
        <f aca="false">IF(B258="","",E258*F258)</f>
        <v/>
      </c>
      <c r="K258" s="23" t="str">
        <f aca="false">IF(OR(B258="",I258=0),"",1-J258/I258)</f>
        <v/>
      </c>
      <c r="L258" s="1"/>
    </row>
    <row r="259" customFormat="false" ht="15" hidden="false" customHeight="false" outlineLevel="0" collapsed="false">
      <c r="A259" s="25"/>
      <c r="B259" s="1"/>
      <c r="C259" s="33" t="str">
        <f aca="false">IF(B259="","",IFERROR(INDEX(Catálogo!$C$5:$C$304,MATCH(B259,Catálogo!$A$5:$A$304,0)),"ISBN não cadastrado"))</f>
        <v/>
      </c>
      <c r="D259" s="33" t="str">
        <f aca="false">IF(B259="","",IFERROR(INDEX(Catálogo!$B$5:$B$304,MATCH(B259,Catálogo!$A$5:$A$304,0)),"ISBN não cadastrado"))</f>
        <v/>
      </c>
      <c r="E259" s="24"/>
      <c r="F259" s="21"/>
      <c r="G259" s="1"/>
      <c r="H259" s="1"/>
      <c r="I259" s="28" t="str">
        <f aca="false">IF(B259="","",E259*IFERROR(INDEX(Catálogo!$G$5:$G$304,MATCH(B259,Catálogo!$A$5:$A$304,0)),0))</f>
        <v/>
      </c>
      <c r="J259" s="22" t="str">
        <f aca="false">IF(B259="","",E259*F259)</f>
        <v/>
      </c>
      <c r="K259" s="23" t="str">
        <f aca="false">IF(OR(B259="",I259=0),"",1-J259/I259)</f>
        <v/>
      </c>
      <c r="L259" s="1"/>
    </row>
    <row r="260" customFormat="false" ht="15" hidden="false" customHeight="false" outlineLevel="0" collapsed="false">
      <c r="A260" s="25"/>
      <c r="B260" s="1"/>
      <c r="C260" s="33" t="str">
        <f aca="false">IF(B260="","",IFERROR(INDEX(Catálogo!$C$5:$C$304,MATCH(B260,Catálogo!$A$5:$A$304,0)),"ISBN não cadastrado"))</f>
        <v/>
      </c>
      <c r="D260" s="33" t="str">
        <f aca="false">IF(B260="","",IFERROR(INDEX(Catálogo!$B$5:$B$304,MATCH(B260,Catálogo!$A$5:$A$304,0)),"ISBN não cadastrado"))</f>
        <v/>
      </c>
      <c r="E260" s="24"/>
      <c r="F260" s="21"/>
      <c r="G260" s="1"/>
      <c r="H260" s="1"/>
      <c r="I260" s="28" t="str">
        <f aca="false">IF(B260="","",E260*IFERROR(INDEX(Catálogo!$G$5:$G$304,MATCH(B260,Catálogo!$A$5:$A$304,0)),0))</f>
        <v/>
      </c>
      <c r="J260" s="22" t="str">
        <f aca="false">IF(B260="","",E260*F260)</f>
        <v/>
      </c>
      <c r="K260" s="23" t="str">
        <f aca="false">IF(OR(B260="",I260=0),"",1-J260/I260)</f>
        <v/>
      </c>
      <c r="L260" s="1"/>
    </row>
    <row r="261" customFormat="false" ht="15" hidden="false" customHeight="false" outlineLevel="0" collapsed="false">
      <c r="A261" s="25"/>
      <c r="B261" s="1"/>
      <c r="C261" s="33" t="str">
        <f aca="false">IF(B261="","",IFERROR(INDEX(Catálogo!$C$5:$C$304,MATCH(B261,Catálogo!$A$5:$A$304,0)),"ISBN não cadastrado"))</f>
        <v/>
      </c>
      <c r="D261" s="33" t="str">
        <f aca="false">IF(B261="","",IFERROR(INDEX(Catálogo!$B$5:$B$304,MATCH(B261,Catálogo!$A$5:$A$304,0)),"ISBN não cadastrado"))</f>
        <v/>
      </c>
      <c r="E261" s="24"/>
      <c r="F261" s="21"/>
      <c r="G261" s="1"/>
      <c r="H261" s="1"/>
      <c r="I261" s="28" t="str">
        <f aca="false">IF(B261="","",E261*IFERROR(INDEX(Catálogo!$G$5:$G$304,MATCH(B261,Catálogo!$A$5:$A$304,0)),0))</f>
        <v/>
      </c>
      <c r="J261" s="22" t="str">
        <f aca="false">IF(B261="","",E261*F261)</f>
        <v/>
      </c>
      <c r="K261" s="23" t="str">
        <f aca="false">IF(OR(B261="",I261=0),"",1-J261/I261)</f>
        <v/>
      </c>
      <c r="L261" s="1"/>
    </row>
    <row r="262" customFormat="false" ht="15" hidden="false" customHeight="false" outlineLevel="0" collapsed="false">
      <c r="A262" s="25"/>
      <c r="B262" s="1"/>
      <c r="C262" s="33" t="str">
        <f aca="false">IF(B262="","",IFERROR(INDEX(Catálogo!$C$5:$C$304,MATCH(B262,Catálogo!$A$5:$A$304,0)),"ISBN não cadastrado"))</f>
        <v/>
      </c>
      <c r="D262" s="33" t="str">
        <f aca="false">IF(B262="","",IFERROR(INDEX(Catálogo!$B$5:$B$304,MATCH(B262,Catálogo!$A$5:$A$304,0)),"ISBN não cadastrado"))</f>
        <v/>
      </c>
      <c r="E262" s="24"/>
      <c r="F262" s="21"/>
      <c r="G262" s="1"/>
      <c r="H262" s="1"/>
      <c r="I262" s="28" t="str">
        <f aca="false">IF(B262="","",E262*IFERROR(INDEX(Catálogo!$G$5:$G$304,MATCH(B262,Catálogo!$A$5:$A$304,0)),0))</f>
        <v/>
      </c>
      <c r="J262" s="22" t="str">
        <f aca="false">IF(B262="","",E262*F262)</f>
        <v/>
      </c>
      <c r="K262" s="23" t="str">
        <f aca="false">IF(OR(B262="",I262=0),"",1-J262/I262)</f>
        <v/>
      </c>
      <c r="L262" s="1"/>
    </row>
    <row r="263" customFormat="false" ht="15" hidden="false" customHeight="false" outlineLevel="0" collapsed="false">
      <c r="A263" s="25"/>
      <c r="B263" s="1"/>
      <c r="C263" s="33" t="str">
        <f aca="false">IF(B263="","",IFERROR(INDEX(Catálogo!$C$5:$C$304,MATCH(B263,Catálogo!$A$5:$A$304,0)),"ISBN não cadastrado"))</f>
        <v/>
      </c>
      <c r="D263" s="33" t="str">
        <f aca="false">IF(B263="","",IFERROR(INDEX(Catálogo!$B$5:$B$304,MATCH(B263,Catálogo!$A$5:$A$304,0)),"ISBN não cadastrado"))</f>
        <v/>
      </c>
      <c r="E263" s="24"/>
      <c r="F263" s="21"/>
      <c r="G263" s="1"/>
      <c r="H263" s="1"/>
      <c r="I263" s="28" t="str">
        <f aca="false">IF(B263="","",E263*IFERROR(INDEX(Catálogo!$G$5:$G$304,MATCH(B263,Catálogo!$A$5:$A$304,0)),0))</f>
        <v/>
      </c>
      <c r="J263" s="22" t="str">
        <f aca="false">IF(B263="","",E263*F263)</f>
        <v/>
      </c>
      <c r="K263" s="23" t="str">
        <f aca="false">IF(OR(B263="",I263=0),"",1-J263/I263)</f>
        <v/>
      </c>
      <c r="L263" s="1"/>
    </row>
    <row r="264" customFormat="false" ht="15" hidden="false" customHeight="false" outlineLevel="0" collapsed="false">
      <c r="A264" s="25"/>
      <c r="B264" s="1"/>
      <c r="C264" s="33" t="str">
        <f aca="false">IF(B264="","",IFERROR(INDEX(Catálogo!$C$5:$C$304,MATCH(B264,Catálogo!$A$5:$A$304,0)),"ISBN não cadastrado"))</f>
        <v/>
      </c>
      <c r="D264" s="33" t="str">
        <f aca="false">IF(B264="","",IFERROR(INDEX(Catálogo!$B$5:$B$304,MATCH(B264,Catálogo!$A$5:$A$304,0)),"ISBN não cadastrado"))</f>
        <v/>
      </c>
      <c r="E264" s="24"/>
      <c r="F264" s="21"/>
      <c r="G264" s="1"/>
      <c r="H264" s="1"/>
      <c r="I264" s="28" t="str">
        <f aca="false">IF(B264="","",E264*IFERROR(INDEX(Catálogo!$G$5:$G$304,MATCH(B264,Catálogo!$A$5:$A$304,0)),0))</f>
        <v/>
      </c>
      <c r="J264" s="22" t="str">
        <f aca="false">IF(B264="","",E264*F264)</f>
        <v/>
      </c>
      <c r="K264" s="23" t="str">
        <f aca="false">IF(OR(B264="",I264=0),"",1-J264/I264)</f>
        <v/>
      </c>
      <c r="L264" s="1"/>
    </row>
    <row r="265" customFormat="false" ht="15" hidden="false" customHeight="false" outlineLevel="0" collapsed="false">
      <c r="A265" s="25"/>
      <c r="B265" s="1"/>
      <c r="C265" s="33" t="str">
        <f aca="false">IF(B265="","",IFERROR(INDEX(Catálogo!$C$5:$C$304,MATCH(B265,Catálogo!$A$5:$A$304,0)),"ISBN não cadastrado"))</f>
        <v/>
      </c>
      <c r="D265" s="33" t="str">
        <f aca="false">IF(B265="","",IFERROR(INDEX(Catálogo!$B$5:$B$304,MATCH(B265,Catálogo!$A$5:$A$304,0)),"ISBN não cadastrado"))</f>
        <v/>
      </c>
      <c r="E265" s="24"/>
      <c r="F265" s="21"/>
      <c r="G265" s="1"/>
      <c r="H265" s="1"/>
      <c r="I265" s="28" t="str">
        <f aca="false">IF(B265="","",E265*IFERROR(INDEX(Catálogo!$G$5:$G$304,MATCH(B265,Catálogo!$A$5:$A$304,0)),0))</f>
        <v/>
      </c>
      <c r="J265" s="22" t="str">
        <f aca="false">IF(B265="","",E265*F265)</f>
        <v/>
      </c>
      <c r="K265" s="23" t="str">
        <f aca="false">IF(OR(B265="",I265=0),"",1-J265/I265)</f>
        <v/>
      </c>
      <c r="L265" s="1"/>
    </row>
    <row r="266" customFormat="false" ht="15" hidden="false" customHeight="false" outlineLevel="0" collapsed="false">
      <c r="A266" s="25"/>
      <c r="B266" s="1"/>
      <c r="C266" s="33" t="str">
        <f aca="false">IF(B266="","",IFERROR(INDEX(Catálogo!$C$5:$C$304,MATCH(B266,Catálogo!$A$5:$A$304,0)),"ISBN não cadastrado"))</f>
        <v/>
      </c>
      <c r="D266" s="33" t="str">
        <f aca="false">IF(B266="","",IFERROR(INDEX(Catálogo!$B$5:$B$304,MATCH(B266,Catálogo!$A$5:$A$304,0)),"ISBN não cadastrado"))</f>
        <v/>
      </c>
      <c r="E266" s="24"/>
      <c r="F266" s="21"/>
      <c r="G266" s="1"/>
      <c r="H266" s="1"/>
      <c r="I266" s="28" t="str">
        <f aca="false">IF(B266="","",E266*IFERROR(INDEX(Catálogo!$G$5:$G$304,MATCH(B266,Catálogo!$A$5:$A$304,0)),0))</f>
        <v/>
      </c>
      <c r="J266" s="22" t="str">
        <f aca="false">IF(B266="","",E266*F266)</f>
        <v/>
      </c>
      <c r="K266" s="23" t="str">
        <f aca="false">IF(OR(B266="",I266=0),"",1-J266/I266)</f>
        <v/>
      </c>
      <c r="L266" s="1"/>
    </row>
    <row r="267" customFormat="false" ht="15" hidden="false" customHeight="false" outlineLevel="0" collapsed="false">
      <c r="A267" s="25"/>
      <c r="B267" s="1"/>
      <c r="C267" s="33" t="str">
        <f aca="false">IF(B267="","",IFERROR(INDEX(Catálogo!$C$5:$C$304,MATCH(B267,Catálogo!$A$5:$A$304,0)),"ISBN não cadastrado"))</f>
        <v/>
      </c>
      <c r="D267" s="33" t="str">
        <f aca="false">IF(B267="","",IFERROR(INDEX(Catálogo!$B$5:$B$304,MATCH(B267,Catálogo!$A$5:$A$304,0)),"ISBN não cadastrado"))</f>
        <v/>
      </c>
      <c r="E267" s="24"/>
      <c r="F267" s="21"/>
      <c r="G267" s="1"/>
      <c r="H267" s="1"/>
      <c r="I267" s="28" t="str">
        <f aca="false">IF(B267="","",E267*IFERROR(INDEX(Catálogo!$G$5:$G$304,MATCH(B267,Catálogo!$A$5:$A$304,0)),0))</f>
        <v/>
      </c>
      <c r="J267" s="22" t="str">
        <f aca="false">IF(B267="","",E267*F267)</f>
        <v/>
      </c>
      <c r="K267" s="23" t="str">
        <f aca="false">IF(OR(B267="",I267=0),"",1-J267/I267)</f>
        <v/>
      </c>
      <c r="L267" s="1"/>
    </row>
    <row r="268" customFormat="false" ht="15" hidden="false" customHeight="false" outlineLevel="0" collapsed="false">
      <c r="A268" s="25"/>
      <c r="B268" s="1"/>
      <c r="C268" s="33" t="str">
        <f aca="false">IF(B268="","",IFERROR(INDEX(Catálogo!$C$5:$C$304,MATCH(B268,Catálogo!$A$5:$A$304,0)),"ISBN não cadastrado"))</f>
        <v/>
      </c>
      <c r="D268" s="33" t="str">
        <f aca="false">IF(B268="","",IFERROR(INDEX(Catálogo!$B$5:$B$304,MATCH(B268,Catálogo!$A$5:$A$304,0)),"ISBN não cadastrado"))</f>
        <v/>
      </c>
      <c r="E268" s="24"/>
      <c r="F268" s="21"/>
      <c r="G268" s="1"/>
      <c r="H268" s="1"/>
      <c r="I268" s="28" t="str">
        <f aca="false">IF(B268="","",E268*IFERROR(INDEX(Catálogo!$G$5:$G$304,MATCH(B268,Catálogo!$A$5:$A$304,0)),0))</f>
        <v/>
      </c>
      <c r="J268" s="22" t="str">
        <f aca="false">IF(B268="","",E268*F268)</f>
        <v/>
      </c>
      <c r="K268" s="23" t="str">
        <f aca="false">IF(OR(B268="",I268=0),"",1-J268/I268)</f>
        <v/>
      </c>
      <c r="L268" s="1"/>
    </row>
    <row r="269" customFormat="false" ht="15" hidden="false" customHeight="false" outlineLevel="0" collapsed="false">
      <c r="A269" s="25"/>
      <c r="B269" s="1"/>
      <c r="C269" s="33" t="str">
        <f aca="false">IF(B269="","",IFERROR(INDEX(Catálogo!$C$5:$C$304,MATCH(B269,Catálogo!$A$5:$A$304,0)),"ISBN não cadastrado"))</f>
        <v/>
      </c>
      <c r="D269" s="33" t="str">
        <f aca="false">IF(B269="","",IFERROR(INDEX(Catálogo!$B$5:$B$304,MATCH(B269,Catálogo!$A$5:$A$304,0)),"ISBN não cadastrado"))</f>
        <v/>
      </c>
      <c r="E269" s="24"/>
      <c r="F269" s="21"/>
      <c r="G269" s="1"/>
      <c r="H269" s="1"/>
      <c r="I269" s="28" t="str">
        <f aca="false">IF(B269="","",E269*IFERROR(INDEX(Catálogo!$G$5:$G$304,MATCH(B269,Catálogo!$A$5:$A$304,0)),0))</f>
        <v/>
      </c>
      <c r="J269" s="22" t="str">
        <f aca="false">IF(B269="","",E269*F269)</f>
        <v/>
      </c>
      <c r="K269" s="23" t="str">
        <f aca="false">IF(OR(B269="",I269=0),"",1-J269/I269)</f>
        <v/>
      </c>
      <c r="L269" s="1"/>
    </row>
    <row r="270" customFormat="false" ht="15" hidden="false" customHeight="false" outlineLevel="0" collapsed="false">
      <c r="A270" s="25"/>
      <c r="B270" s="1"/>
      <c r="C270" s="33" t="str">
        <f aca="false">IF(B270="","",IFERROR(INDEX(Catálogo!$C$5:$C$304,MATCH(B270,Catálogo!$A$5:$A$304,0)),"ISBN não cadastrado"))</f>
        <v/>
      </c>
      <c r="D270" s="33" t="str">
        <f aca="false">IF(B270="","",IFERROR(INDEX(Catálogo!$B$5:$B$304,MATCH(B270,Catálogo!$A$5:$A$304,0)),"ISBN não cadastrado"))</f>
        <v/>
      </c>
      <c r="E270" s="24"/>
      <c r="F270" s="21"/>
      <c r="G270" s="1"/>
      <c r="H270" s="1"/>
      <c r="I270" s="28" t="str">
        <f aca="false">IF(B270="","",E270*IFERROR(INDEX(Catálogo!$G$5:$G$304,MATCH(B270,Catálogo!$A$5:$A$304,0)),0))</f>
        <v/>
      </c>
      <c r="J270" s="22" t="str">
        <f aca="false">IF(B270="","",E270*F270)</f>
        <v/>
      </c>
      <c r="K270" s="23" t="str">
        <f aca="false">IF(OR(B270="",I270=0),"",1-J270/I270)</f>
        <v/>
      </c>
      <c r="L270" s="1"/>
    </row>
    <row r="271" customFormat="false" ht="15" hidden="false" customHeight="false" outlineLevel="0" collapsed="false">
      <c r="A271" s="25"/>
      <c r="B271" s="1"/>
      <c r="C271" s="33" t="str">
        <f aca="false">IF(B271="","",IFERROR(INDEX(Catálogo!$C$5:$C$304,MATCH(B271,Catálogo!$A$5:$A$304,0)),"ISBN não cadastrado"))</f>
        <v/>
      </c>
      <c r="D271" s="33" t="str">
        <f aca="false">IF(B271="","",IFERROR(INDEX(Catálogo!$B$5:$B$304,MATCH(B271,Catálogo!$A$5:$A$304,0)),"ISBN não cadastrado"))</f>
        <v/>
      </c>
      <c r="E271" s="24"/>
      <c r="F271" s="21"/>
      <c r="G271" s="1"/>
      <c r="H271" s="1"/>
      <c r="I271" s="28" t="str">
        <f aca="false">IF(B271="","",E271*IFERROR(INDEX(Catálogo!$G$5:$G$304,MATCH(B271,Catálogo!$A$5:$A$304,0)),0))</f>
        <v/>
      </c>
      <c r="J271" s="22" t="str">
        <f aca="false">IF(B271="","",E271*F271)</f>
        <v/>
      </c>
      <c r="K271" s="23" t="str">
        <f aca="false">IF(OR(B271="",I271=0),"",1-J271/I271)</f>
        <v/>
      </c>
      <c r="L271" s="1"/>
    </row>
    <row r="272" customFormat="false" ht="15" hidden="false" customHeight="false" outlineLevel="0" collapsed="false">
      <c r="A272" s="25"/>
      <c r="B272" s="1"/>
      <c r="C272" s="33" t="str">
        <f aca="false">IF(B272="","",IFERROR(INDEX(Catálogo!$C$5:$C$304,MATCH(B272,Catálogo!$A$5:$A$304,0)),"ISBN não cadastrado"))</f>
        <v/>
      </c>
      <c r="D272" s="33" t="str">
        <f aca="false">IF(B272="","",IFERROR(INDEX(Catálogo!$B$5:$B$304,MATCH(B272,Catálogo!$A$5:$A$304,0)),"ISBN não cadastrado"))</f>
        <v/>
      </c>
      <c r="E272" s="24"/>
      <c r="F272" s="21"/>
      <c r="G272" s="1"/>
      <c r="H272" s="1"/>
      <c r="I272" s="28" t="str">
        <f aca="false">IF(B272="","",E272*IFERROR(INDEX(Catálogo!$G$5:$G$304,MATCH(B272,Catálogo!$A$5:$A$304,0)),0))</f>
        <v/>
      </c>
      <c r="J272" s="22" t="str">
        <f aca="false">IF(B272="","",E272*F272)</f>
        <v/>
      </c>
      <c r="K272" s="23" t="str">
        <f aca="false">IF(OR(B272="",I272=0),"",1-J272/I272)</f>
        <v/>
      </c>
      <c r="L272" s="1"/>
    </row>
    <row r="273" customFormat="false" ht="15" hidden="false" customHeight="false" outlineLevel="0" collapsed="false">
      <c r="A273" s="25"/>
      <c r="B273" s="1"/>
      <c r="C273" s="33" t="str">
        <f aca="false">IF(B273="","",IFERROR(INDEX(Catálogo!$C$5:$C$304,MATCH(B273,Catálogo!$A$5:$A$304,0)),"ISBN não cadastrado"))</f>
        <v/>
      </c>
      <c r="D273" s="33" t="str">
        <f aca="false">IF(B273="","",IFERROR(INDEX(Catálogo!$B$5:$B$304,MATCH(B273,Catálogo!$A$5:$A$304,0)),"ISBN não cadastrado"))</f>
        <v/>
      </c>
      <c r="E273" s="24"/>
      <c r="F273" s="21"/>
      <c r="G273" s="1"/>
      <c r="H273" s="1"/>
      <c r="I273" s="28" t="str">
        <f aca="false">IF(B273="","",E273*IFERROR(INDEX(Catálogo!$G$5:$G$304,MATCH(B273,Catálogo!$A$5:$A$304,0)),0))</f>
        <v/>
      </c>
      <c r="J273" s="22" t="str">
        <f aca="false">IF(B273="","",E273*F273)</f>
        <v/>
      </c>
      <c r="K273" s="23" t="str">
        <f aca="false">IF(OR(B273="",I273=0),"",1-J273/I273)</f>
        <v/>
      </c>
      <c r="L273" s="1"/>
    </row>
    <row r="274" customFormat="false" ht="15" hidden="false" customHeight="false" outlineLevel="0" collapsed="false">
      <c r="A274" s="25"/>
      <c r="B274" s="1"/>
      <c r="C274" s="33" t="str">
        <f aca="false">IF(B274="","",IFERROR(INDEX(Catálogo!$C$5:$C$304,MATCH(B274,Catálogo!$A$5:$A$304,0)),"ISBN não cadastrado"))</f>
        <v/>
      </c>
      <c r="D274" s="33" t="str">
        <f aca="false">IF(B274="","",IFERROR(INDEX(Catálogo!$B$5:$B$304,MATCH(B274,Catálogo!$A$5:$A$304,0)),"ISBN não cadastrado"))</f>
        <v/>
      </c>
      <c r="E274" s="24"/>
      <c r="F274" s="21"/>
      <c r="G274" s="1"/>
      <c r="H274" s="1"/>
      <c r="I274" s="28" t="str">
        <f aca="false">IF(B274="","",E274*IFERROR(INDEX(Catálogo!$G$5:$G$304,MATCH(B274,Catálogo!$A$5:$A$304,0)),0))</f>
        <v/>
      </c>
      <c r="J274" s="22" t="str">
        <f aca="false">IF(B274="","",E274*F274)</f>
        <v/>
      </c>
      <c r="K274" s="23" t="str">
        <f aca="false">IF(OR(B274="",I274=0),"",1-J274/I274)</f>
        <v/>
      </c>
      <c r="L274" s="1"/>
    </row>
    <row r="275" customFormat="false" ht="15" hidden="false" customHeight="false" outlineLevel="0" collapsed="false">
      <c r="A275" s="25"/>
      <c r="B275" s="1"/>
      <c r="C275" s="33" t="str">
        <f aca="false">IF(B275="","",IFERROR(INDEX(Catálogo!$C$5:$C$304,MATCH(B275,Catálogo!$A$5:$A$304,0)),"ISBN não cadastrado"))</f>
        <v/>
      </c>
      <c r="D275" s="33" t="str">
        <f aca="false">IF(B275="","",IFERROR(INDEX(Catálogo!$B$5:$B$304,MATCH(B275,Catálogo!$A$5:$A$304,0)),"ISBN não cadastrado"))</f>
        <v/>
      </c>
      <c r="E275" s="24"/>
      <c r="F275" s="21"/>
      <c r="G275" s="1"/>
      <c r="H275" s="1"/>
      <c r="I275" s="28" t="str">
        <f aca="false">IF(B275="","",E275*IFERROR(INDEX(Catálogo!$G$5:$G$304,MATCH(B275,Catálogo!$A$5:$A$304,0)),0))</f>
        <v/>
      </c>
      <c r="J275" s="22" t="str">
        <f aca="false">IF(B275="","",E275*F275)</f>
        <v/>
      </c>
      <c r="K275" s="23" t="str">
        <f aca="false">IF(OR(B275="",I275=0),"",1-J275/I275)</f>
        <v/>
      </c>
      <c r="L275" s="1"/>
    </row>
    <row r="276" customFormat="false" ht="15" hidden="false" customHeight="false" outlineLevel="0" collapsed="false">
      <c r="A276" s="25"/>
      <c r="B276" s="1"/>
      <c r="C276" s="33" t="str">
        <f aca="false">IF(B276="","",IFERROR(INDEX(Catálogo!$C$5:$C$304,MATCH(B276,Catálogo!$A$5:$A$304,0)),"ISBN não cadastrado"))</f>
        <v/>
      </c>
      <c r="D276" s="33" t="str">
        <f aca="false">IF(B276="","",IFERROR(INDEX(Catálogo!$B$5:$B$304,MATCH(B276,Catálogo!$A$5:$A$304,0)),"ISBN não cadastrado"))</f>
        <v/>
      </c>
      <c r="E276" s="24"/>
      <c r="F276" s="21"/>
      <c r="G276" s="1"/>
      <c r="H276" s="1"/>
      <c r="I276" s="28" t="str">
        <f aca="false">IF(B276="","",E276*IFERROR(INDEX(Catálogo!$G$5:$G$304,MATCH(B276,Catálogo!$A$5:$A$304,0)),0))</f>
        <v/>
      </c>
      <c r="J276" s="22" t="str">
        <f aca="false">IF(B276="","",E276*F276)</f>
        <v/>
      </c>
      <c r="K276" s="23" t="str">
        <f aca="false">IF(OR(B276="",I276=0),"",1-J276/I276)</f>
        <v/>
      </c>
      <c r="L276" s="1"/>
    </row>
    <row r="277" customFormat="false" ht="15" hidden="false" customHeight="false" outlineLevel="0" collapsed="false">
      <c r="A277" s="25"/>
      <c r="B277" s="1"/>
      <c r="C277" s="33" t="str">
        <f aca="false">IF(B277="","",IFERROR(INDEX(Catálogo!$C$5:$C$304,MATCH(B277,Catálogo!$A$5:$A$304,0)),"ISBN não cadastrado"))</f>
        <v/>
      </c>
      <c r="D277" s="33" t="str">
        <f aca="false">IF(B277="","",IFERROR(INDEX(Catálogo!$B$5:$B$304,MATCH(B277,Catálogo!$A$5:$A$304,0)),"ISBN não cadastrado"))</f>
        <v/>
      </c>
      <c r="E277" s="24"/>
      <c r="F277" s="21"/>
      <c r="G277" s="1"/>
      <c r="H277" s="1"/>
      <c r="I277" s="28" t="str">
        <f aca="false">IF(B277="","",E277*IFERROR(INDEX(Catálogo!$G$5:$G$304,MATCH(B277,Catálogo!$A$5:$A$304,0)),0))</f>
        <v/>
      </c>
      <c r="J277" s="22" t="str">
        <f aca="false">IF(B277="","",E277*F277)</f>
        <v/>
      </c>
      <c r="K277" s="23" t="str">
        <f aca="false">IF(OR(B277="",I277=0),"",1-J277/I277)</f>
        <v/>
      </c>
      <c r="L277" s="1"/>
    </row>
    <row r="278" customFormat="false" ht="15" hidden="false" customHeight="false" outlineLevel="0" collapsed="false">
      <c r="A278" s="25"/>
      <c r="B278" s="1"/>
      <c r="C278" s="33" t="str">
        <f aca="false">IF(B278="","",IFERROR(INDEX(Catálogo!$C$5:$C$304,MATCH(B278,Catálogo!$A$5:$A$304,0)),"ISBN não cadastrado"))</f>
        <v/>
      </c>
      <c r="D278" s="33" t="str">
        <f aca="false">IF(B278="","",IFERROR(INDEX(Catálogo!$B$5:$B$304,MATCH(B278,Catálogo!$A$5:$A$304,0)),"ISBN não cadastrado"))</f>
        <v/>
      </c>
      <c r="E278" s="24"/>
      <c r="F278" s="21"/>
      <c r="G278" s="1"/>
      <c r="H278" s="1"/>
      <c r="I278" s="28" t="str">
        <f aca="false">IF(B278="","",E278*IFERROR(INDEX(Catálogo!$G$5:$G$304,MATCH(B278,Catálogo!$A$5:$A$304,0)),0))</f>
        <v/>
      </c>
      <c r="J278" s="22" t="str">
        <f aca="false">IF(B278="","",E278*F278)</f>
        <v/>
      </c>
      <c r="K278" s="23" t="str">
        <f aca="false">IF(OR(B278="",I278=0),"",1-J278/I278)</f>
        <v/>
      </c>
      <c r="L278" s="1"/>
    </row>
    <row r="279" customFormat="false" ht="15" hidden="false" customHeight="false" outlineLevel="0" collapsed="false">
      <c r="A279" s="25"/>
      <c r="B279" s="1"/>
      <c r="C279" s="33" t="str">
        <f aca="false">IF(B279="","",IFERROR(INDEX(Catálogo!$C$5:$C$304,MATCH(B279,Catálogo!$A$5:$A$304,0)),"ISBN não cadastrado"))</f>
        <v/>
      </c>
      <c r="D279" s="33" t="str">
        <f aca="false">IF(B279="","",IFERROR(INDEX(Catálogo!$B$5:$B$304,MATCH(B279,Catálogo!$A$5:$A$304,0)),"ISBN não cadastrado"))</f>
        <v/>
      </c>
      <c r="E279" s="24"/>
      <c r="F279" s="21"/>
      <c r="G279" s="1"/>
      <c r="H279" s="1"/>
      <c r="I279" s="28" t="str">
        <f aca="false">IF(B279="","",E279*IFERROR(INDEX(Catálogo!$G$5:$G$304,MATCH(B279,Catálogo!$A$5:$A$304,0)),0))</f>
        <v/>
      </c>
      <c r="J279" s="22" t="str">
        <f aca="false">IF(B279="","",E279*F279)</f>
        <v/>
      </c>
      <c r="K279" s="23" t="str">
        <f aca="false">IF(OR(B279="",I279=0),"",1-J279/I279)</f>
        <v/>
      </c>
      <c r="L279" s="1"/>
    </row>
    <row r="280" customFormat="false" ht="15" hidden="false" customHeight="false" outlineLevel="0" collapsed="false">
      <c r="A280" s="25"/>
      <c r="B280" s="1"/>
      <c r="C280" s="33" t="str">
        <f aca="false">IF(B280="","",IFERROR(INDEX(Catálogo!$C$5:$C$304,MATCH(B280,Catálogo!$A$5:$A$304,0)),"ISBN não cadastrado"))</f>
        <v/>
      </c>
      <c r="D280" s="33" t="str">
        <f aca="false">IF(B280="","",IFERROR(INDEX(Catálogo!$B$5:$B$304,MATCH(B280,Catálogo!$A$5:$A$304,0)),"ISBN não cadastrado"))</f>
        <v/>
      </c>
      <c r="E280" s="24"/>
      <c r="F280" s="21"/>
      <c r="G280" s="1"/>
      <c r="H280" s="1"/>
      <c r="I280" s="28" t="str">
        <f aca="false">IF(B280="","",E280*IFERROR(INDEX(Catálogo!$G$5:$G$304,MATCH(B280,Catálogo!$A$5:$A$304,0)),0))</f>
        <v/>
      </c>
      <c r="J280" s="22" t="str">
        <f aca="false">IF(B280="","",E280*F280)</f>
        <v/>
      </c>
      <c r="K280" s="23" t="str">
        <f aca="false">IF(OR(B280="",I280=0),"",1-J280/I280)</f>
        <v/>
      </c>
      <c r="L280" s="1"/>
    </row>
    <row r="281" customFormat="false" ht="15" hidden="false" customHeight="false" outlineLevel="0" collapsed="false">
      <c r="A281" s="25"/>
      <c r="B281" s="1"/>
      <c r="C281" s="33" t="str">
        <f aca="false">IF(B281="","",IFERROR(INDEX(Catálogo!$C$5:$C$304,MATCH(B281,Catálogo!$A$5:$A$304,0)),"ISBN não cadastrado"))</f>
        <v/>
      </c>
      <c r="D281" s="33" t="str">
        <f aca="false">IF(B281="","",IFERROR(INDEX(Catálogo!$B$5:$B$304,MATCH(B281,Catálogo!$A$5:$A$304,0)),"ISBN não cadastrado"))</f>
        <v/>
      </c>
      <c r="E281" s="24"/>
      <c r="F281" s="21"/>
      <c r="G281" s="1"/>
      <c r="H281" s="1"/>
      <c r="I281" s="28" t="str">
        <f aca="false">IF(B281="","",E281*IFERROR(INDEX(Catálogo!$G$5:$G$304,MATCH(B281,Catálogo!$A$5:$A$304,0)),0))</f>
        <v/>
      </c>
      <c r="J281" s="22" t="str">
        <f aca="false">IF(B281="","",E281*F281)</f>
        <v/>
      </c>
      <c r="K281" s="23" t="str">
        <f aca="false">IF(OR(B281="",I281=0),"",1-J281/I281)</f>
        <v/>
      </c>
      <c r="L281" s="1"/>
    </row>
    <row r="282" customFormat="false" ht="15" hidden="false" customHeight="false" outlineLevel="0" collapsed="false">
      <c r="A282" s="25"/>
      <c r="B282" s="1"/>
      <c r="C282" s="33" t="str">
        <f aca="false">IF(B282="","",IFERROR(INDEX(Catálogo!$C$5:$C$304,MATCH(B282,Catálogo!$A$5:$A$304,0)),"ISBN não cadastrado"))</f>
        <v/>
      </c>
      <c r="D282" s="33" t="str">
        <f aca="false">IF(B282="","",IFERROR(INDEX(Catálogo!$B$5:$B$304,MATCH(B282,Catálogo!$A$5:$A$304,0)),"ISBN não cadastrado"))</f>
        <v/>
      </c>
      <c r="E282" s="24"/>
      <c r="F282" s="21"/>
      <c r="G282" s="1"/>
      <c r="H282" s="1"/>
      <c r="I282" s="28" t="str">
        <f aca="false">IF(B282="","",E282*IFERROR(INDEX(Catálogo!$G$5:$G$304,MATCH(B282,Catálogo!$A$5:$A$304,0)),0))</f>
        <v/>
      </c>
      <c r="J282" s="22" t="str">
        <f aca="false">IF(B282="","",E282*F282)</f>
        <v/>
      </c>
      <c r="K282" s="23" t="str">
        <f aca="false">IF(OR(B282="",I282=0),"",1-J282/I282)</f>
        <v/>
      </c>
      <c r="L282" s="1"/>
    </row>
    <row r="283" customFormat="false" ht="15" hidden="false" customHeight="false" outlineLevel="0" collapsed="false">
      <c r="A283" s="25"/>
      <c r="B283" s="1"/>
      <c r="C283" s="33" t="str">
        <f aca="false">IF(B283="","",IFERROR(INDEX(Catálogo!$C$5:$C$304,MATCH(B283,Catálogo!$A$5:$A$304,0)),"ISBN não cadastrado"))</f>
        <v/>
      </c>
      <c r="D283" s="33" t="str">
        <f aca="false">IF(B283="","",IFERROR(INDEX(Catálogo!$B$5:$B$304,MATCH(B283,Catálogo!$A$5:$A$304,0)),"ISBN não cadastrado"))</f>
        <v/>
      </c>
      <c r="E283" s="24"/>
      <c r="F283" s="21"/>
      <c r="G283" s="1"/>
      <c r="H283" s="1"/>
      <c r="I283" s="28" t="str">
        <f aca="false">IF(B283="","",E283*IFERROR(INDEX(Catálogo!$G$5:$G$304,MATCH(B283,Catálogo!$A$5:$A$304,0)),0))</f>
        <v/>
      </c>
      <c r="J283" s="22" t="str">
        <f aca="false">IF(B283="","",E283*F283)</f>
        <v/>
      </c>
      <c r="K283" s="23" t="str">
        <f aca="false">IF(OR(B283="",I283=0),"",1-J283/I283)</f>
        <v/>
      </c>
      <c r="L283" s="1"/>
    </row>
    <row r="284" customFormat="false" ht="15" hidden="false" customHeight="false" outlineLevel="0" collapsed="false">
      <c r="A284" s="25"/>
      <c r="B284" s="1"/>
      <c r="C284" s="33" t="str">
        <f aca="false">IF(B284="","",IFERROR(INDEX(Catálogo!$C$5:$C$304,MATCH(B284,Catálogo!$A$5:$A$304,0)),"ISBN não cadastrado"))</f>
        <v/>
      </c>
      <c r="D284" s="33" t="str">
        <f aca="false">IF(B284="","",IFERROR(INDEX(Catálogo!$B$5:$B$304,MATCH(B284,Catálogo!$A$5:$A$304,0)),"ISBN não cadastrado"))</f>
        <v/>
      </c>
      <c r="E284" s="24"/>
      <c r="F284" s="21"/>
      <c r="G284" s="1"/>
      <c r="H284" s="1"/>
      <c r="I284" s="28" t="str">
        <f aca="false">IF(B284="","",E284*IFERROR(INDEX(Catálogo!$G$5:$G$304,MATCH(B284,Catálogo!$A$5:$A$304,0)),0))</f>
        <v/>
      </c>
      <c r="J284" s="22" t="str">
        <f aca="false">IF(B284="","",E284*F284)</f>
        <v/>
      </c>
      <c r="K284" s="23" t="str">
        <f aca="false">IF(OR(B284="",I284=0),"",1-J284/I284)</f>
        <v/>
      </c>
      <c r="L284" s="1"/>
    </row>
    <row r="285" customFormat="false" ht="15" hidden="false" customHeight="false" outlineLevel="0" collapsed="false">
      <c r="A285" s="25"/>
      <c r="B285" s="1"/>
      <c r="C285" s="33" t="str">
        <f aca="false">IF(B285="","",IFERROR(INDEX(Catálogo!$C$5:$C$304,MATCH(B285,Catálogo!$A$5:$A$304,0)),"ISBN não cadastrado"))</f>
        <v/>
      </c>
      <c r="D285" s="33" t="str">
        <f aca="false">IF(B285="","",IFERROR(INDEX(Catálogo!$B$5:$B$304,MATCH(B285,Catálogo!$A$5:$A$304,0)),"ISBN não cadastrado"))</f>
        <v/>
      </c>
      <c r="E285" s="24"/>
      <c r="F285" s="21"/>
      <c r="G285" s="1"/>
      <c r="H285" s="1"/>
      <c r="I285" s="28" t="str">
        <f aca="false">IF(B285="","",E285*IFERROR(INDEX(Catálogo!$G$5:$G$304,MATCH(B285,Catálogo!$A$5:$A$304,0)),0))</f>
        <v/>
      </c>
      <c r="J285" s="22" t="str">
        <f aca="false">IF(B285="","",E285*F285)</f>
        <v/>
      </c>
      <c r="K285" s="23" t="str">
        <f aca="false">IF(OR(B285="",I285=0),"",1-J285/I285)</f>
        <v/>
      </c>
      <c r="L285" s="1"/>
    </row>
    <row r="286" customFormat="false" ht="15" hidden="false" customHeight="false" outlineLevel="0" collapsed="false">
      <c r="A286" s="25"/>
      <c r="B286" s="1"/>
      <c r="C286" s="33" t="str">
        <f aca="false">IF(B286="","",IFERROR(INDEX(Catálogo!$C$5:$C$304,MATCH(B286,Catálogo!$A$5:$A$304,0)),"ISBN não cadastrado"))</f>
        <v/>
      </c>
      <c r="D286" s="33" t="str">
        <f aca="false">IF(B286="","",IFERROR(INDEX(Catálogo!$B$5:$B$304,MATCH(B286,Catálogo!$A$5:$A$304,0)),"ISBN não cadastrado"))</f>
        <v/>
      </c>
      <c r="E286" s="24"/>
      <c r="F286" s="21"/>
      <c r="G286" s="1"/>
      <c r="H286" s="1"/>
      <c r="I286" s="28" t="str">
        <f aca="false">IF(B286="","",E286*IFERROR(INDEX(Catálogo!$G$5:$G$304,MATCH(B286,Catálogo!$A$5:$A$304,0)),0))</f>
        <v/>
      </c>
      <c r="J286" s="22" t="str">
        <f aca="false">IF(B286="","",E286*F286)</f>
        <v/>
      </c>
      <c r="K286" s="23" t="str">
        <f aca="false">IF(OR(B286="",I286=0),"",1-J286/I286)</f>
        <v/>
      </c>
      <c r="L286" s="1"/>
    </row>
    <row r="287" customFormat="false" ht="15" hidden="false" customHeight="false" outlineLevel="0" collapsed="false">
      <c r="A287" s="25"/>
      <c r="B287" s="1"/>
      <c r="C287" s="33" t="str">
        <f aca="false">IF(B287="","",IFERROR(INDEX(Catálogo!$C$5:$C$304,MATCH(B287,Catálogo!$A$5:$A$304,0)),"ISBN não cadastrado"))</f>
        <v/>
      </c>
      <c r="D287" s="33" t="str">
        <f aca="false">IF(B287="","",IFERROR(INDEX(Catálogo!$B$5:$B$304,MATCH(B287,Catálogo!$A$5:$A$304,0)),"ISBN não cadastrado"))</f>
        <v/>
      </c>
      <c r="E287" s="24"/>
      <c r="F287" s="21"/>
      <c r="G287" s="1"/>
      <c r="H287" s="1"/>
      <c r="I287" s="28" t="str">
        <f aca="false">IF(B287="","",E287*IFERROR(INDEX(Catálogo!$G$5:$G$304,MATCH(B287,Catálogo!$A$5:$A$304,0)),0))</f>
        <v/>
      </c>
      <c r="J287" s="22" t="str">
        <f aca="false">IF(B287="","",E287*F287)</f>
        <v/>
      </c>
      <c r="K287" s="23" t="str">
        <f aca="false">IF(OR(B287="",I287=0),"",1-J287/I287)</f>
        <v/>
      </c>
      <c r="L287" s="1"/>
    </row>
    <row r="288" customFormat="false" ht="15" hidden="false" customHeight="false" outlineLevel="0" collapsed="false">
      <c r="A288" s="25"/>
      <c r="B288" s="1"/>
      <c r="C288" s="33" t="str">
        <f aca="false">IF(B288="","",IFERROR(INDEX(Catálogo!$C$5:$C$304,MATCH(B288,Catálogo!$A$5:$A$304,0)),"ISBN não cadastrado"))</f>
        <v/>
      </c>
      <c r="D288" s="33" t="str">
        <f aca="false">IF(B288="","",IFERROR(INDEX(Catálogo!$B$5:$B$304,MATCH(B288,Catálogo!$A$5:$A$304,0)),"ISBN não cadastrado"))</f>
        <v/>
      </c>
      <c r="E288" s="24"/>
      <c r="F288" s="21"/>
      <c r="G288" s="1"/>
      <c r="H288" s="1"/>
      <c r="I288" s="28" t="str">
        <f aca="false">IF(B288="","",E288*IFERROR(INDEX(Catálogo!$G$5:$G$304,MATCH(B288,Catálogo!$A$5:$A$304,0)),0))</f>
        <v/>
      </c>
      <c r="J288" s="22" t="str">
        <f aca="false">IF(B288="","",E288*F288)</f>
        <v/>
      </c>
      <c r="K288" s="23" t="str">
        <f aca="false">IF(OR(B288="",I288=0),"",1-J288/I288)</f>
        <v/>
      </c>
      <c r="L288" s="1"/>
    </row>
    <row r="289" customFormat="false" ht="15" hidden="false" customHeight="false" outlineLevel="0" collapsed="false">
      <c r="A289" s="25"/>
      <c r="B289" s="1"/>
      <c r="C289" s="33" t="str">
        <f aca="false">IF(B289="","",IFERROR(INDEX(Catálogo!$C$5:$C$304,MATCH(B289,Catálogo!$A$5:$A$304,0)),"ISBN não cadastrado"))</f>
        <v/>
      </c>
      <c r="D289" s="33" t="str">
        <f aca="false">IF(B289="","",IFERROR(INDEX(Catálogo!$B$5:$B$304,MATCH(B289,Catálogo!$A$5:$A$304,0)),"ISBN não cadastrado"))</f>
        <v/>
      </c>
      <c r="E289" s="24"/>
      <c r="F289" s="21"/>
      <c r="G289" s="1"/>
      <c r="H289" s="1"/>
      <c r="I289" s="28" t="str">
        <f aca="false">IF(B289="","",E289*IFERROR(INDEX(Catálogo!$G$5:$G$304,MATCH(B289,Catálogo!$A$5:$A$304,0)),0))</f>
        <v/>
      </c>
      <c r="J289" s="22" t="str">
        <f aca="false">IF(B289="","",E289*F289)</f>
        <v/>
      </c>
      <c r="K289" s="23" t="str">
        <f aca="false">IF(OR(B289="",I289=0),"",1-J289/I289)</f>
        <v/>
      </c>
      <c r="L289" s="1"/>
    </row>
    <row r="290" customFormat="false" ht="15" hidden="false" customHeight="false" outlineLevel="0" collapsed="false">
      <c r="A290" s="25"/>
      <c r="B290" s="1"/>
      <c r="C290" s="33" t="str">
        <f aca="false">IF(B290="","",IFERROR(INDEX(Catálogo!$C$5:$C$304,MATCH(B290,Catálogo!$A$5:$A$304,0)),"ISBN não cadastrado"))</f>
        <v/>
      </c>
      <c r="D290" s="33" t="str">
        <f aca="false">IF(B290="","",IFERROR(INDEX(Catálogo!$B$5:$B$304,MATCH(B290,Catálogo!$A$5:$A$304,0)),"ISBN não cadastrado"))</f>
        <v/>
      </c>
      <c r="E290" s="24"/>
      <c r="F290" s="21"/>
      <c r="G290" s="1"/>
      <c r="H290" s="1"/>
      <c r="I290" s="28" t="str">
        <f aca="false">IF(B290="","",E290*IFERROR(INDEX(Catálogo!$G$5:$G$304,MATCH(B290,Catálogo!$A$5:$A$304,0)),0))</f>
        <v/>
      </c>
      <c r="J290" s="22" t="str">
        <f aca="false">IF(B290="","",E290*F290)</f>
        <v/>
      </c>
      <c r="K290" s="23" t="str">
        <f aca="false">IF(OR(B290="",I290=0),"",1-J290/I290)</f>
        <v/>
      </c>
      <c r="L290" s="1"/>
    </row>
    <row r="291" customFormat="false" ht="15" hidden="false" customHeight="false" outlineLevel="0" collapsed="false">
      <c r="A291" s="25"/>
      <c r="B291" s="1"/>
      <c r="C291" s="33" t="str">
        <f aca="false">IF(B291="","",IFERROR(INDEX(Catálogo!$C$5:$C$304,MATCH(B291,Catálogo!$A$5:$A$304,0)),"ISBN não cadastrado"))</f>
        <v/>
      </c>
      <c r="D291" s="33" t="str">
        <f aca="false">IF(B291="","",IFERROR(INDEX(Catálogo!$B$5:$B$304,MATCH(B291,Catálogo!$A$5:$A$304,0)),"ISBN não cadastrado"))</f>
        <v/>
      </c>
      <c r="E291" s="24"/>
      <c r="F291" s="21"/>
      <c r="G291" s="1"/>
      <c r="H291" s="1"/>
      <c r="I291" s="28" t="str">
        <f aca="false">IF(B291="","",E291*IFERROR(INDEX(Catálogo!$G$5:$G$304,MATCH(B291,Catálogo!$A$5:$A$304,0)),0))</f>
        <v/>
      </c>
      <c r="J291" s="22" t="str">
        <f aca="false">IF(B291="","",E291*F291)</f>
        <v/>
      </c>
      <c r="K291" s="23" t="str">
        <f aca="false">IF(OR(B291="",I291=0),"",1-J291/I291)</f>
        <v/>
      </c>
      <c r="L291" s="1"/>
    </row>
    <row r="292" customFormat="false" ht="15" hidden="false" customHeight="false" outlineLevel="0" collapsed="false">
      <c r="A292" s="25"/>
      <c r="B292" s="1"/>
      <c r="C292" s="33" t="str">
        <f aca="false">IF(B292="","",IFERROR(INDEX(Catálogo!$C$5:$C$304,MATCH(B292,Catálogo!$A$5:$A$304,0)),"ISBN não cadastrado"))</f>
        <v/>
      </c>
      <c r="D292" s="33" t="str">
        <f aca="false">IF(B292="","",IFERROR(INDEX(Catálogo!$B$5:$B$304,MATCH(B292,Catálogo!$A$5:$A$304,0)),"ISBN não cadastrado"))</f>
        <v/>
      </c>
      <c r="E292" s="24"/>
      <c r="F292" s="21"/>
      <c r="G292" s="1"/>
      <c r="H292" s="1"/>
      <c r="I292" s="28" t="str">
        <f aca="false">IF(B292="","",E292*IFERROR(INDEX(Catálogo!$G$5:$G$304,MATCH(B292,Catálogo!$A$5:$A$304,0)),0))</f>
        <v/>
      </c>
      <c r="J292" s="22" t="str">
        <f aca="false">IF(B292="","",E292*F292)</f>
        <v/>
      </c>
      <c r="K292" s="23" t="str">
        <f aca="false">IF(OR(B292="",I292=0),"",1-J292/I292)</f>
        <v/>
      </c>
      <c r="L292" s="1"/>
    </row>
    <row r="293" customFormat="false" ht="15" hidden="false" customHeight="false" outlineLevel="0" collapsed="false">
      <c r="A293" s="25"/>
      <c r="B293" s="1"/>
      <c r="C293" s="33" t="str">
        <f aca="false">IF(B293="","",IFERROR(INDEX(Catálogo!$C$5:$C$304,MATCH(B293,Catálogo!$A$5:$A$304,0)),"ISBN não cadastrado"))</f>
        <v/>
      </c>
      <c r="D293" s="33" t="str">
        <f aca="false">IF(B293="","",IFERROR(INDEX(Catálogo!$B$5:$B$304,MATCH(B293,Catálogo!$A$5:$A$304,0)),"ISBN não cadastrado"))</f>
        <v/>
      </c>
      <c r="E293" s="24"/>
      <c r="F293" s="21"/>
      <c r="G293" s="1"/>
      <c r="H293" s="1"/>
      <c r="I293" s="28" t="str">
        <f aca="false">IF(B293="","",E293*IFERROR(INDEX(Catálogo!$G$5:$G$304,MATCH(B293,Catálogo!$A$5:$A$304,0)),0))</f>
        <v/>
      </c>
      <c r="J293" s="22" t="str">
        <f aca="false">IF(B293="","",E293*F293)</f>
        <v/>
      </c>
      <c r="K293" s="23" t="str">
        <f aca="false">IF(OR(B293="",I293=0),"",1-J293/I293)</f>
        <v/>
      </c>
      <c r="L293" s="1"/>
    </row>
    <row r="294" customFormat="false" ht="15" hidden="false" customHeight="false" outlineLevel="0" collapsed="false">
      <c r="A294" s="25"/>
      <c r="B294" s="1"/>
      <c r="C294" s="33" t="str">
        <f aca="false">IF(B294="","",IFERROR(INDEX(Catálogo!$C$5:$C$304,MATCH(B294,Catálogo!$A$5:$A$304,0)),"ISBN não cadastrado"))</f>
        <v/>
      </c>
      <c r="D294" s="33" t="str">
        <f aca="false">IF(B294="","",IFERROR(INDEX(Catálogo!$B$5:$B$304,MATCH(B294,Catálogo!$A$5:$A$304,0)),"ISBN não cadastrado"))</f>
        <v/>
      </c>
      <c r="E294" s="24"/>
      <c r="F294" s="21"/>
      <c r="G294" s="1"/>
      <c r="H294" s="1"/>
      <c r="I294" s="28" t="str">
        <f aca="false">IF(B294="","",E294*IFERROR(INDEX(Catálogo!$G$5:$G$304,MATCH(B294,Catálogo!$A$5:$A$304,0)),0))</f>
        <v/>
      </c>
      <c r="J294" s="22" t="str">
        <f aca="false">IF(B294="","",E294*F294)</f>
        <v/>
      </c>
      <c r="K294" s="23" t="str">
        <f aca="false">IF(OR(B294="",I294=0),"",1-J294/I294)</f>
        <v/>
      </c>
      <c r="L294" s="1"/>
    </row>
    <row r="295" customFormat="false" ht="15" hidden="false" customHeight="false" outlineLevel="0" collapsed="false">
      <c r="A295" s="25"/>
      <c r="B295" s="1"/>
      <c r="C295" s="33" t="str">
        <f aca="false">IF(B295="","",IFERROR(INDEX(Catálogo!$C$5:$C$304,MATCH(B295,Catálogo!$A$5:$A$304,0)),"ISBN não cadastrado"))</f>
        <v/>
      </c>
      <c r="D295" s="33" t="str">
        <f aca="false">IF(B295="","",IFERROR(INDEX(Catálogo!$B$5:$B$304,MATCH(B295,Catálogo!$A$5:$A$304,0)),"ISBN não cadastrado"))</f>
        <v/>
      </c>
      <c r="E295" s="24"/>
      <c r="F295" s="21"/>
      <c r="G295" s="1"/>
      <c r="H295" s="1"/>
      <c r="I295" s="28" t="str">
        <f aca="false">IF(B295="","",E295*IFERROR(INDEX(Catálogo!$G$5:$G$304,MATCH(B295,Catálogo!$A$5:$A$304,0)),0))</f>
        <v/>
      </c>
      <c r="J295" s="22" t="str">
        <f aca="false">IF(B295="","",E295*F295)</f>
        <v/>
      </c>
      <c r="K295" s="23" t="str">
        <f aca="false">IF(OR(B295="",I295=0),"",1-J295/I295)</f>
        <v/>
      </c>
      <c r="L295" s="1"/>
    </row>
    <row r="296" customFormat="false" ht="15" hidden="false" customHeight="false" outlineLevel="0" collapsed="false">
      <c r="A296" s="25"/>
      <c r="B296" s="1"/>
      <c r="C296" s="33" t="str">
        <f aca="false">IF(B296="","",IFERROR(INDEX(Catálogo!$C$5:$C$304,MATCH(B296,Catálogo!$A$5:$A$304,0)),"ISBN não cadastrado"))</f>
        <v/>
      </c>
      <c r="D296" s="33" t="str">
        <f aca="false">IF(B296="","",IFERROR(INDEX(Catálogo!$B$5:$B$304,MATCH(B296,Catálogo!$A$5:$A$304,0)),"ISBN não cadastrado"))</f>
        <v/>
      </c>
      <c r="E296" s="24"/>
      <c r="F296" s="21"/>
      <c r="G296" s="1"/>
      <c r="H296" s="1"/>
      <c r="I296" s="28" t="str">
        <f aca="false">IF(B296="","",E296*IFERROR(INDEX(Catálogo!$G$5:$G$304,MATCH(B296,Catálogo!$A$5:$A$304,0)),0))</f>
        <v/>
      </c>
      <c r="J296" s="22" t="str">
        <f aca="false">IF(B296="","",E296*F296)</f>
        <v/>
      </c>
      <c r="K296" s="23" t="str">
        <f aca="false">IF(OR(B296="",I296=0),"",1-J296/I296)</f>
        <v/>
      </c>
      <c r="L296" s="1"/>
    </row>
    <row r="297" customFormat="false" ht="15" hidden="false" customHeight="false" outlineLevel="0" collapsed="false">
      <c r="A297" s="25"/>
      <c r="B297" s="1"/>
      <c r="C297" s="33" t="str">
        <f aca="false">IF(B297="","",IFERROR(INDEX(Catálogo!$C$5:$C$304,MATCH(B297,Catálogo!$A$5:$A$304,0)),"ISBN não cadastrado"))</f>
        <v/>
      </c>
      <c r="D297" s="33" t="str">
        <f aca="false">IF(B297="","",IFERROR(INDEX(Catálogo!$B$5:$B$304,MATCH(B297,Catálogo!$A$5:$A$304,0)),"ISBN não cadastrado"))</f>
        <v/>
      </c>
      <c r="E297" s="24"/>
      <c r="F297" s="21"/>
      <c r="G297" s="1"/>
      <c r="H297" s="1"/>
      <c r="I297" s="28" t="str">
        <f aca="false">IF(B297="","",E297*IFERROR(INDEX(Catálogo!$G$5:$G$304,MATCH(B297,Catálogo!$A$5:$A$304,0)),0))</f>
        <v/>
      </c>
      <c r="J297" s="22" t="str">
        <f aca="false">IF(B297="","",E297*F297)</f>
        <v/>
      </c>
      <c r="K297" s="23" t="str">
        <f aca="false">IF(OR(B297="",I297=0),"",1-J297/I297)</f>
        <v/>
      </c>
      <c r="L297" s="1"/>
    </row>
    <row r="298" customFormat="false" ht="15" hidden="false" customHeight="false" outlineLevel="0" collapsed="false">
      <c r="A298" s="25"/>
      <c r="B298" s="1"/>
      <c r="C298" s="33" t="str">
        <f aca="false">IF(B298="","",IFERROR(INDEX(Catálogo!$C$5:$C$304,MATCH(B298,Catálogo!$A$5:$A$304,0)),"ISBN não cadastrado"))</f>
        <v/>
      </c>
      <c r="D298" s="33" t="str">
        <f aca="false">IF(B298="","",IFERROR(INDEX(Catálogo!$B$5:$B$304,MATCH(B298,Catálogo!$A$5:$A$304,0)),"ISBN não cadastrado"))</f>
        <v/>
      </c>
      <c r="E298" s="24"/>
      <c r="F298" s="21"/>
      <c r="G298" s="1"/>
      <c r="H298" s="1"/>
      <c r="I298" s="28" t="str">
        <f aca="false">IF(B298="","",E298*IFERROR(INDEX(Catálogo!$G$5:$G$304,MATCH(B298,Catálogo!$A$5:$A$304,0)),0))</f>
        <v/>
      </c>
      <c r="J298" s="22" t="str">
        <f aca="false">IF(B298="","",E298*F298)</f>
        <v/>
      </c>
      <c r="K298" s="23" t="str">
        <f aca="false">IF(OR(B298="",I298=0),"",1-J298/I298)</f>
        <v/>
      </c>
      <c r="L298" s="1"/>
    </row>
    <row r="299" customFormat="false" ht="15" hidden="false" customHeight="false" outlineLevel="0" collapsed="false">
      <c r="A299" s="25"/>
      <c r="B299" s="1"/>
      <c r="C299" s="33" t="str">
        <f aca="false">IF(B299="","",IFERROR(INDEX(Catálogo!$C$5:$C$304,MATCH(B299,Catálogo!$A$5:$A$304,0)),"ISBN não cadastrado"))</f>
        <v/>
      </c>
      <c r="D299" s="33" t="str">
        <f aca="false">IF(B299="","",IFERROR(INDEX(Catálogo!$B$5:$B$304,MATCH(B299,Catálogo!$A$5:$A$304,0)),"ISBN não cadastrado"))</f>
        <v/>
      </c>
      <c r="E299" s="24"/>
      <c r="F299" s="21"/>
      <c r="G299" s="1"/>
      <c r="H299" s="1"/>
      <c r="I299" s="28" t="str">
        <f aca="false">IF(B299="","",E299*IFERROR(INDEX(Catálogo!$G$5:$G$304,MATCH(B299,Catálogo!$A$5:$A$304,0)),0))</f>
        <v/>
      </c>
      <c r="J299" s="22" t="str">
        <f aca="false">IF(B299="","",E299*F299)</f>
        <v/>
      </c>
      <c r="K299" s="23" t="str">
        <f aca="false">IF(OR(B299="",I299=0),"",1-J299/I299)</f>
        <v/>
      </c>
      <c r="L299" s="1"/>
    </row>
    <row r="300" customFormat="false" ht="15" hidden="false" customHeight="false" outlineLevel="0" collapsed="false">
      <c r="A300" s="25"/>
      <c r="B300" s="1"/>
      <c r="C300" s="33" t="str">
        <f aca="false">IF(B300="","",IFERROR(INDEX(Catálogo!$C$5:$C$304,MATCH(B300,Catálogo!$A$5:$A$304,0)),"ISBN não cadastrado"))</f>
        <v/>
      </c>
      <c r="D300" s="33" t="str">
        <f aca="false">IF(B300="","",IFERROR(INDEX(Catálogo!$B$5:$B$304,MATCH(B300,Catálogo!$A$5:$A$304,0)),"ISBN não cadastrado"))</f>
        <v/>
      </c>
      <c r="E300" s="24"/>
      <c r="F300" s="21"/>
      <c r="G300" s="1"/>
      <c r="H300" s="1"/>
      <c r="I300" s="28" t="str">
        <f aca="false">IF(B300="","",E300*IFERROR(INDEX(Catálogo!$G$5:$G$304,MATCH(B300,Catálogo!$A$5:$A$304,0)),0))</f>
        <v/>
      </c>
      <c r="J300" s="22" t="str">
        <f aca="false">IF(B300="","",E300*F300)</f>
        <v/>
      </c>
      <c r="K300" s="23" t="str">
        <f aca="false">IF(OR(B300="",I300=0),"",1-J300/I300)</f>
        <v/>
      </c>
      <c r="L300" s="1"/>
    </row>
    <row r="301" customFormat="false" ht="15" hidden="false" customHeight="false" outlineLevel="0" collapsed="false">
      <c r="A301" s="25"/>
      <c r="B301" s="1"/>
      <c r="C301" s="33" t="str">
        <f aca="false">IF(B301="","",IFERROR(INDEX(Catálogo!$C$5:$C$304,MATCH(B301,Catálogo!$A$5:$A$304,0)),"ISBN não cadastrado"))</f>
        <v/>
      </c>
      <c r="D301" s="33" t="str">
        <f aca="false">IF(B301="","",IFERROR(INDEX(Catálogo!$B$5:$B$304,MATCH(B301,Catálogo!$A$5:$A$304,0)),"ISBN não cadastrado"))</f>
        <v/>
      </c>
      <c r="E301" s="24"/>
      <c r="F301" s="21"/>
      <c r="G301" s="1"/>
      <c r="H301" s="1"/>
      <c r="I301" s="28" t="str">
        <f aca="false">IF(B301="","",E301*IFERROR(INDEX(Catálogo!$G$5:$G$304,MATCH(B301,Catálogo!$A$5:$A$304,0)),0))</f>
        <v/>
      </c>
      <c r="J301" s="22" t="str">
        <f aca="false">IF(B301="","",E301*F301)</f>
        <v/>
      </c>
      <c r="K301" s="23" t="str">
        <f aca="false">IF(OR(B301="",I301=0),"",1-J301/I301)</f>
        <v/>
      </c>
      <c r="L301" s="1"/>
    </row>
    <row r="302" customFormat="false" ht="15" hidden="false" customHeight="false" outlineLevel="0" collapsed="false">
      <c r="A302" s="25"/>
      <c r="B302" s="1"/>
      <c r="C302" s="33" t="str">
        <f aca="false">IF(B302="","",IFERROR(INDEX(Catálogo!$C$5:$C$304,MATCH(B302,Catálogo!$A$5:$A$304,0)),"ISBN não cadastrado"))</f>
        <v/>
      </c>
      <c r="D302" s="33" t="str">
        <f aca="false">IF(B302="","",IFERROR(INDEX(Catálogo!$B$5:$B$304,MATCH(B302,Catálogo!$A$5:$A$304,0)),"ISBN não cadastrado"))</f>
        <v/>
      </c>
      <c r="E302" s="24"/>
      <c r="F302" s="21"/>
      <c r="G302" s="1"/>
      <c r="H302" s="1"/>
      <c r="I302" s="28" t="str">
        <f aca="false">IF(B302="","",E302*IFERROR(INDEX(Catálogo!$G$5:$G$304,MATCH(B302,Catálogo!$A$5:$A$304,0)),0))</f>
        <v/>
      </c>
      <c r="J302" s="22" t="str">
        <f aca="false">IF(B302="","",E302*F302)</f>
        <v/>
      </c>
      <c r="K302" s="23" t="str">
        <f aca="false">IF(OR(B302="",I302=0),"",1-J302/I302)</f>
        <v/>
      </c>
      <c r="L302" s="1"/>
    </row>
    <row r="303" customFormat="false" ht="15" hidden="false" customHeight="false" outlineLevel="0" collapsed="false">
      <c r="A303" s="25"/>
      <c r="B303" s="1"/>
      <c r="C303" s="33" t="str">
        <f aca="false">IF(B303="","",IFERROR(INDEX(Catálogo!$C$5:$C$304,MATCH(B303,Catálogo!$A$5:$A$304,0)),"ISBN não cadastrado"))</f>
        <v/>
      </c>
      <c r="D303" s="33" t="str">
        <f aca="false">IF(B303="","",IFERROR(INDEX(Catálogo!$B$5:$B$304,MATCH(B303,Catálogo!$A$5:$A$304,0)),"ISBN não cadastrado"))</f>
        <v/>
      </c>
      <c r="E303" s="24"/>
      <c r="F303" s="21"/>
      <c r="G303" s="1"/>
      <c r="H303" s="1"/>
      <c r="I303" s="28" t="str">
        <f aca="false">IF(B303="","",E303*IFERROR(INDEX(Catálogo!$G$5:$G$304,MATCH(B303,Catálogo!$A$5:$A$304,0)),0))</f>
        <v/>
      </c>
      <c r="J303" s="22" t="str">
        <f aca="false">IF(B303="","",E303*F303)</f>
        <v/>
      </c>
      <c r="K303" s="23" t="str">
        <f aca="false">IF(OR(B303="",I303=0),"",1-J303/I303)</f>
        <v/>
      </c>
      <c r="L303" s="1"/>
    </row>
    <row r="304" customFormat="false" ht="15" hidden="false" customHeight="false" outlineLevel="0" collapsed="false">
      <c r="A304" s="25"/>
      <c r="B304" s="1"/>
      <c r="C304" s="33" t="str">
        <f aca="false">IF(B304="","",IFERROR(INDEX(Catálogo!$C$5:$C$304,MATCH(B304,Catálogo!$A$5:$A$304,0)),"ISBN não cadastrado"))</f>
        <v/>
      </c>
      <c r="D304" s="33" t="str">
        <f aca="false">IF(B304="","",IFERROR(INDEX(Catálogo!$B$5:$B$304,MATCH(B304,Catálogo!$A$5:$A$304,0)),"ISBN não cadastrado"))</f>
        <v/>
      </c>
      <c r="E304" s="24"/>
      <c r="F304" s="21"/>
      <c r="G304" s="1"/>
      <c r="H304" s="1"/>
      <c r="I304" s="28" t="str">
        <f aca="false">IF(B304="","",E304*IFERROR(INDEX(Catálogo!$G$5:$G$304,MATCH(B304,Catálogo!$A$5:$A$304,0)),0))</f>
        <v/>
      </c>
      <c r="J304" s="22" t="str">
        <f aca="false">IF(B304="","",E304*F304)</f>
        <v/>
      </c>
      <c r="K304" s="23" t="str">
        <f aca="false">IF(OR(B304="",I304=0),"",1-J304/I304)</f>
        <v/>
      </c>
      <c r="L304" s="1"/>
    </row>
  </sheetData>
  <autoFilter ref="A4:L304"/>
  <dataValidations count="1">
    <dataValidation allowBlank="true" errorStyle="stop" operator="between" showDropDown="false" showErrorMessage="false" showInputMessage="false" sqref="H5:H304" type="list">
      <formula1>Listas!$G$4:$G$40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6" t="s">
        <v>238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3" t="s">
        <v>239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30" hidden="false" customHeight="true" outlineLevel="0" collapsed="false">
      <c r="A4" s="18" t="s">
        <v>218</v>
      </c>
      <c r="B4" s="18" t="s">
        <v>161</v>
      </c>
      <c r="C4" s="18" t="s">
        <v>240</v>
      </c>
      <c r="D4" s="18" t="s">
        <v>241</v>
      </c>
      <c r="E4" s="18" t="s">
        <v>242</v>
      </c>
      <c r="F4" s="18" t="s">
        <v>243</v>
      </c>
      <c r="G4" s="18" t="s">
        <v>244</v>
      </c>
      <c r="H4" s="18" t="s">
        <v>245</v>
      </c>
      <c r="I4" s="18" t="s">
        <v>246</v>
      </c>
    </row>
    <row r="5" customFormat="false" ht="15" hidden="false" customHeight="false" outlineLevel="0" collapsed="false">
      <c r="A5" s="25" t="n">
        <v>46239</v>
      </c>
      <c r="B5" s="19" t="s">
        <v>247</v>
      </c>
      <c r="C5" s="19" t="s">
        <v>248</v>
      </c>
      <c r="D5" s="19" t="s">
        <v>249</v>
      </c>
      <c r="E5" s="19" t="s">
        <v>106</v>
      </c>
      <c r="F5" s="21" t="n">
        <v>900</v>
      </c>
      <c r="G5" s="22" t="n">
        <f aca="false">IF(F5="","",IF(B5="Despesa",-F5,F5))</f>
        <v>-900</v>
      </c>
      <c r="H5" s="19" t="s">
        <v>179</v>
      </c>
      <c r="I5" s="35" t="str">
        <f aca="false">IF(A5="","",TEXT(A5,"yyyy-mm"))</f>
        <v>2026-08</v>
      </c>
    </row>
    <row r="6" customFormat="false" ht="15" hidden="false" customHeight="false" outlineLevel="0" collapsed="false">
      <c r="A6" s="25" t="n">
        <v>46254</v>
      </c>
      <c r="B6" s="19" t="s">
        <v>247</v>
      </c>
      <c r="C6" s="19" t="s">
        <v>154</v>
      </c>
      <c r="D6" s="19" t="s">
        <v>250</v>
      </c>
      <c r="E6" s="19" t="s">
        <v>106</v>
      </c>
      <c r="F6" s="21" t="n">
        <v>4900</v>
      </c>
      <c r="G6" s="22" t="n">
        <f aca="false">IF(F6="","",IF(B6="Despesa",-F6,F6))</f>
        <v>-4900</v>
      </c>
      <c r="H6" s="19" t="s">
        <v>179</v>
      </c>
      <c r="I6" s="35" t="str">
        <f aca="false">IF(A6="","",TEXT(A6,"yyyy-mm"))</f>
        <v>2026-08</v>
      </c>
    </row>
    <row r="7" customFormat="false" ht="15" hidden="false" customHeight="false" outlineLevel="0" collapsed="false">
      <c r="A7" s="25" t="n">
        <v>46265</v>
      </c>
      <c r="B7" s="19" t="s">
        <v>251</v>
      </c>
      <c r="C7" s="19" t="s">
        <v>252</v>
      </c>
      <c r="D7" s="19" t="s">
        <v>253</v>
      </c>
      <c r="E7" s="19" t="s">
        <v>106</v>
      </c>
      <c r="F7" s="21" t="n">
        <v>5988</v>
      </c>
      <c r="G7" s="22" t="n">
        <f aca="false">IF(F7="","",IF(B7="Despesa",-F7,F7))</f>
        <v>5988</v>
      </c>
      <c r="H7" s="19" t="s">
        <v>179</v>
      </c>
      <c r="I7" s="35" t="str">
        <f aca="false">IF(A7="","",TEXT(A7,"yyyy-mm"))</f>
        <v>2026-08</v>
      </c>
    </row>
    <row r="8" customFormat="false" ht="15" hidden="false" customHeight="false" outlineLevel="0" collapsed="false">
      <c r="A8" s="25" t="n">
        <v>46275</v>
      </c>
      <c r="B8" s="19" t="s">
        <v>247</v>
      </c>
      <c r="C8" s="19" t="s">
        <v>196</v>
      </c>
      <c r="D8" s="19" t="s">
        <v>254</v>
      </c>
      <c r="E8" s="1"/>
      <c r="F8" s="21" t="n">
        <v>400</v>
      </c>
      <c r="G8" s="22" t="n">
        <f aca="false">IF(F8="","",IF(B8="Despesa",-F8,F8))</f>
        <v>-400</v>
      </c>
      <c r="H8" s="19" t="s">
        <v>179</v>
      </c>
      <c r="I8" s="35" t="str">
        <f aca="false">IF(A8="","",TEXT(A8,"yyyy-mm"))</f>
        <v>2026-09</v>
      </c>
    </row>
    <row r="9" customFormat="false" ht="15" hidden="false" customHeight="false" outlineLevel="0" collapsed="false">
      <c r="A9" s="25"/>
      <c r="B9" s="1"/>
      <c r="C9" s="1"/>
      <c r="D9" s="1"/>
      <c r="E9" s="1"/>
      <c r="F9" s="21"/>
      <c r="G9" s="22" t="str">
        <f aca="false">IF(F9="","",IF(B9="Despesa",-F9,F9))</f>
        <v/>
      </c>
      <c r="H9" s="1"/>
      <c r="I9" s="35" t="str">
        <f aca="false">IF(A9="","",TEXT(A9,"yyyy-mm"))</f>
        <v/>
      </c>
    </row>
    <row r="10" customFormat="false" ht="15" hidden="false" customHeight="false" outlineLevel="0" collapsed="false">
      <c r="A10" s="25"/>
      <c r="B10" s="1"/>
      <c r="C10" s="1"/>
      <c r="D10" s="1"/>
      <c r="E10" s="1"/>
      <c r="F10" s="21"/>
      <c r="G10" s="22" t="str">
        <f aca="false">IF(F10="","",IF(B10="Despesa",-F10,F10))</f>
        <v/>
      </c>
      <c r="H10" s="1"/>
      <c r="I10" s="35" t="str">
        <f aca="false">IF(A10="","",TEXT(A10,"yyyy-mm"))</f>
        <v/>
      </c>
    </row>
    <row r="11" customFormat="false" ht="15" hidden="false" customHeight="false" outlineLevel="0" collapsed="false">
      <c r="A11" s="25"/>
      <c r="B11" s="1"/>
      <c r="C11" s="1"/>
      <c r="D11" s="1"/>
      <c r="E11" s="1"/>
      <c r="F11" s="21"/>
      <c r="G11" s="22" t="str">
        <f aca="false">IF(F11="","",IF(B11="Despesa",-F11,F11))</f>
        <v/>
      </c>
      <c r="H11" s="1"/>
      <c r="I11" s="35" t="str">
        <f aca="false">IF(A11="","",TEXT(A11,"yyyy-mm"))</f>
        <v/>
      </c>
    </row>
    <row r="12" customFormat="false" ht="15" hidden="false" customHeight="false" outlineLevel="0" collapsed="false">
      <c r="A12" s="25"/>
      <c r="B12" s="1"/>
      <c r="C12" s="1"/>
      <c r="D12" s="1"/>
      <c r="E12" s="1"/>
      <c r="F12" s="21"/>
      <c r="G12" s="22" t="str">
        <f aca="false">IF(F12="","",IF(B12="Despesa",-F12,F12))</f>
        <v/>
      </c>
      <c r="H12" s="1"/>
      <c r="I12" s="35" t="str">
        <f aca="false">IF(A12="","",TEXT(A12,"yyyy-mm"))</f>
        <v/>
      </c>
    </row>
    <row r="13" customFormat="false" ht="15" hidden="false" customHeight="false" outlineLevel="0" collapsed="false">
      <c r="A13" s="25"/>
      <c r="B13" s="1"/>
      <c r="C13" s="1"/>
      <c r="D13" s="1"/>
      <c r="E13" s="1"/>
      <c r="F13" s="21"/>
      <c r="G13" s="22" t="str">
        <f aca="false">IF(F13="","",IF(B13="Despesa",-F13,F13))</f>
        <v/>
      </c>
      <c r="H13" s="1"/>
      <c r="I13" s="35" t="str">
        <f aca="false">IF(A13="","",TEXT(A13,"yyyy-mm"))</f>
        <v/>
      </c>
    </row>
    <row r="14" customFormat="false" ht="15" hidden="false" customHeight="false" outlineLevel="0" collapsed="false">
      <c r="A14" s="25"/>
      <c r="B14" s="1"/>
      <c r="C14" s="1"/>
      <c r="D14" s="1"/>
      <c r="E14" s="1"/>
      <c r="F14" s="21"/>
      <c r="G14" s="22" t="str">
        <f aca="false">IF(F14="","",IF(B14="Despesa",-F14,F14))</f>
        <v/>
      </c>
      <c r="H14" s="1"/>
      <c r="I14" s="35" t="str">
        <f aca="false">IF(A14="","",TEXT(A14,"yyyy-mm"))</f>
        <v/>
      </c>
    </row>
    <row r="15" customFormat="false" ht="15" hidden="false" customHeight="false" outlineLevel="0" collapsed="false">
      <c r="A15" s="25"/>
      <c r="B15" s="1"/>
      <c r="C15" s="1"/>
      <c r="D15" s="1"/>
      <c r="E15" s="1"/>
      <c r="F15" s="21"/>
      <c r="G15" s="22" t="str">
        <f aca="false">IF(F15="","",IF(B15="Despesa",-F15,F15))</f>
        <v/>
      </c>
      <c r="H15" s="1"/>
      <c r="I15" s="35" t="str">
        <f aca="false">IF(A15="","",TEXT(A15,"yyyy-mm"))</f>
        <v/>
      </c>
    </row>
    <row r="16" customFormat="false" ht="15" hidden="false" customHeight="false" outlineLevel="0" collapsed="false">
      <c r="A16" s="25"/>
      <c r="B16" s="1"/>
      <c r="C16" s="1"/>
      <c r="D16" s="1"/>
      <c r="E16" s="1"/>
      <c r="F16" s="21"/>
      <c r="G16" s="22" t="str">
        <f aca="false">IF(F16="","",IF(B16="Despesa",-F16,F16))</f>
        <v/>
      </c>
      <c r="H16" s="1"/>
      <c r="I16" s="35" t="str">
        <f aca="false">IF(A16="","",TEXT(A16,"yyyy-mm"))</f>
        <v/>
      </c>
    </row>
    <row r="17" customFormat="false" ht="15" hidden="false" customHeight="false" outlineLevel="0" collapsed="false">
      <c r="A17" s="25"/>
      <c r="B17" s="1"/>
      <c r="C17" s="1"/>
      <c r="D17" s="1"/>
      <c r="E17" s="1"/>
      <c r="F17" s="21"/>
      <c r="G17" s="22" t="str">
        <f aca="false">IF(F17="","",IF(B17="Despesa",-F17,F17))</f>
        <v/>
      </c>
      <c r="H17" s="1"/>
      <c r="I17" s="35" t="str">
        <f aca="false">IF(A17="","",TEXT(A17,"yyyy-mm"))</f>
        <v/>
      </c>
    </row>
    <row r="18" customFormat="false" ht="15" hidden="false" customHeight="false" outlineLevel="0" collapsed="false">
      <c r="A18" s="25"/>
      <c r="B18" s="1"/>
      <c r="C18" s="1"/>
      <c r="D18" s="1"/>
      <c r="E18" s="1"/>
      <c r="F18" s="21"/>
      <c r="G18" s="22" t="str">
        <f aca="false">IF(F18="","",IF(B18="Despesa",-F18,F18))</f>
        <v/>
      </c>
      <c r="H18" s="1"/>
      <c r="I18" s="35" t="str">
        <f aca="false">IF(A18="","",TEXT(A18,"yyyy-mm"))</f>
        <v/>
      </c>
    </row>
    <row r="19" customFormat="false" ht="15" hidden="false" customHeight="false" outlineLevel="0" collapsed="false">
      <c r="A19" s="25"/>
      <c r="B19" s="1"/>
      <c r="C19" s="1"/>
      <c r="D19" s="1"/>
      <c r="E19" s="1"/>
      <c r="F19" s="21"/>
      <c r="G19" s="22" t="str">
        <f aca="false">IF(F19="","",IF(B19="Despesa",-F19,F19))</f>
        <v/>
      </c>
      <c r="H19" s="1"/>
      <c r="I19" s="35" t="str">
        <f aca="false">IF(A19="","",TEXT(A19,"yyyy-mm"))</f>
        <v/>
      </c>
    </row>
    <row r="20" customFormat="false" ht="15" hidden="false" customHeight="false" outlineLevel="0" collapsed="false">
      <c r="A20" s="25"/>
      <c r="B20" s="1"/>
      <c r="C20" s="1"/>
      <c r="D20" s="1"/>
      <c r="E20" s="1"/>
      <c r="F20" s="21"/>
      <c r="G20" s="22" t="str">
        <f aca="false">IF(F20="","",IF(B20="Despesa",-F20,F20))</f>
        <v/>
      </c>
      <c r="H20" s="1"/>
      <c r="I20" s="35" t="str">
        <f aca="false">IF(A20="","",TEXT(A20,"yyyy-mm"))</f>
        <v/>
      </c>
    </row>
    <row r="21" customFormat="false" ht="15" hidden="false" customHeight="false" outlineLevel="0" collapsed="false">
      <c r="A21" s="25"/>
      <c r="B21" s="1"/>
      <c r="C21" s="1"/>
      <c r="D21" s="1"/>
      <c r="E21" s="1"/>
      <c r="F21" s="21"/>
      <c r="G21" s="22" t="str">
        <f aca="false">IF(F21="","",IF(B21="Despesa",-F21,F21))</f>
        <v/>
      </c>
      <c r="H21" s="1"/>
      <c r="I21" s="35" t="str">
        <f aca="false">IF(A21="","",TEXT(A21,"yyyy-mm"))</f>
        <v/>
      </c>
    </row>
    <row r="22" customFormat="false" ht="15" hidden="false" customHeight="false" outlineLevel="0" collapsed="false">
      <c r="A22" s="25"/>
      <c r="B22" s="1"/>
      <c r="C22" s="1"/>
      <c r="D22" s="1"/>
      <c r="E22" s="1"/>
      <c r="F22" s="21"/>
      <c r="G22" s="22" t="str">
        <f aca="false">IF(F22="","",IF(B22="Despesa",-F22,F22))</f>
        <v/>
      </c>
      <c r="H22" s="1"/>
      <c r="I22" s="35" t="str">
        <f aca="false">IF(A22="","",TEXT(A22,"yyyy-mm"))</f>
        <v/>
      </c>
    </row>
    <row r="23" customFormat="false" ht="15" hidden="false" customHeight="false" outlineLevel="0" collapsed="false">
      <c r="A23" s="25"/>
      <c r="B23" s="1"/>
      <c r="C23" s="1"/>
      <c r="D23" s="1"/>
      <c r="E23" s="1"/>
      <c r="F23" s="21"/>
      <c r="G23" s="22" t="str">
        <f aca="false">IF(F23="","",IF(B23="Despesa",-F23,F23))</f>
        <v/>
      </c>
      <c r="H23" s="1"/>
      <c r="I23" s="35" t="str">
        <f aca="false">IF(A23="","",TEXT(A23,"yyyy-mm"))</f>
        <v/>
      </c>
    </row>
    <row r="24" customFormat="false" ht="15" hidden="false" customHeight="false" outlineLevel="0" collapsed="false">
      <c r="A24" s="25"/>
      <c r="B24" s="1"/>
      <c r="C24" s="1"/>
      <c r="D24" s="1"/>
      <c r="E24" s="1"/>
      <c r="F24" s="21"/>
      <c r="G24" s="22" t="str">
        <f aca="false">IF(F24="","",IF(B24="Despesa",-F24,F24))</f>
        <v/>
      </c>
      <c r="H24" s="1"/>
      <c r="I24" s="35" t="str">
        <f aca="false">IF(A24="","",TEXT(A24,"yyyy-mm"))</f>
        <v/>
      </c>
    </row>
    <row r="25" customFormat="false" ht="15" hidden="false" customHeight="false" outlineLevel="0" collapsed="false">
      <c r="A25" s="25"/>
      <c r="B25" s="1"/>
      <c r="C25" s="1"/>
      <c r="D25" s="1"/>
      <c r="E25" s="1"/>
      <c r="F25" s="21"/>
      <c r="G25" s="22" t="str">
        <f aca="false">IF(F25="","",IF(B25="Despesa",-F25,F25))</f>
        <v/>
      </c>
      <c r="H25" s="1"/>
      <c r="I25" s="35" t="str">
        <f aca="false">IF(A25="","",TEXT(A25,"yyyy-mm"))</f>
        <v/>
      </c>
    </row>
    <row r="26" customFormat="false" ht="15" hidden="false" customHeight="false" outlineLevel="0" collapsed="false">
      <c r="A26" s="25"/>
      <c r="B26" s="1"/>
      <c r="C26" s="1"/>
      <c r="D26" s="1"/>
      <c r="E26" s="1"/>
      <c r="F26" s="21"/>
      <c r="G26" s="22" t="str">
        <f aca="false">IF(F26="","",IF(B26="Despesa",-F26,F26))</f>
        <v/>
      </c>
      <c r="H26" s="1"/>
      <c r="I26" s="35" t="str">
        <f aca="false">IF(A26="","",TEXT(A26,"yyyy-mm"))</f>
        <v/>
      </c>
    </row>
    <row r="27" customFormat="false" ht="15" hidden="false" customHeight="false" outlineLevel="0" collapsed="false">
      <c r="A27" s="25"/>
      <c r="B27" s="1"/>
      <c r="C27" s="1"/>
      <c r="D27" s="1"/>
      <c r="E27" s="1"/>
      <c r="F27" s="21"/>
      <c r="G27" s="22" t="str">
        <f aca="false">IF(F27="","",IF(B27="Despesa",-F27,F27))</f>
        <v/>
      </c>
      <c r="H27" s="1"/>
      <c r="I27" s="35" t="str">
        <f aca="false">IF(A27="","",TEXT(A27,"yyyy-mm"))</f>
        <v/>
      </c>
    </row>
    <row r="28" customFormat="false" ht="15" hidden="false" customHeight="false" outlineLevel="0" collapsed="false">
      <c r="A28" s="25"/>
      <c r="B28" s="1"/>
      <c r="C28" s="1"/>
      <c r="D28" s="1"/>
      <c r="E28" s="1"/>
      <c r="F28" s="21"/>
      <c r="G28" s="22" t="str">
        <f aca="false">IF(F28="","",IF(B28="Despesa",-F28,F28))</f>
        <v/>
      </c>
      <c r="H28" s="1"/>
      <c r="I28" s="35" t="str">
        <f aca="false">IF(A28="","",TEXT(A28,"yyyy-mm"))</f>
        <v/>
      </c>
    </row>
    <row r="29" customFormat="false" ht="15" hidden="false" customHeight="false" outlineLevel="0" collapsed="false">
      <c r="A29" s="25"/>
      <c r="B29" s="1"/>
      <c r="C29" s="1"/>
      <c r="D29" s="1"/>
      <c r="E29" s="1"/>
      <c r="F29" s="21"/>
      <c r="G29" s="22" t="str">
        <f aca="false">IF(F29="","",IF(B29="Despesa",-F29,F29))</f>
        <v/>
      </c>
      <c r="H29" s="1"/>
      <c r="I29" s="35" t="str">
        <f aca="false">IF(A29="","",TEXT(A29,"yyyy-mm"))</f>
        <v/>
      </c>
    </row>
    <row r="30" customFormat="false" ht="15" hidden="false" customHeight="false" outlineLevel="0" collapsed="false">
      <c r="A30" s="25"/>
      <c r="B30" s="1"/>
      <c r="C30" s="1"/>
      <c r="D30" s="1"/>
      <c r="E30" s="1"/>
      <c r="F30" s="21"/>
      <c r="G30" s="22" t="str">
        <f aca="false">IF(F30="","",IF(B30="Despesa",-F30,F30))</f>
        <v/>
      </c>
      <c r="H30" s="1"/>
      <c r="I30" s="35" t="str">
        <f aca="false">IF(A30="","",TEXT(A30,"yyyy-mm"))</f>
        <v/>
      </c>
    </row>
    <row r="31" customFormat="false" ht="15" hidden="false" customHeight="false" outlineLevel="0" collapsed="false">
      <c r="A31" s="25"/>
      <c r="B31" s="1"/>
      <c r="C31" s="1"/>
      <c r="D31" s="1"/>
      <c r="E31" s="1"/>
      <c r="F31" s="21"/>
      <c r="G31" s="22" t="str">
        <f aca="false">IF(F31="","",IF(B31="Despesa",-F31,F31))</f>
        <v/>
      </c>
      <c r="H31" s="1"/>
      <c r="I31" s="35" t="str">
        <f aca="false">IF(A31="","",TEXT(A31,"yyyy-mm"))</f>
        <v/>
      </c>
    </row>
    <row r="32" customFormat="false" ht="15" hidden="false" customHeight="false" outlineLevel="0" collapsed="false">
      <c r="A32" s="25"/>
      <c r="B32" s="1"/>
      <c r="C32" s="1"/>
      <c r="D32" s="1"/>
      <c r="E32" s="1"/>
      <c r="F32" s="21"/>
      <c r="G32" s="22" t="str">
        <f aca="false">IF(F32="","",IF(B32="Despesa",-F32,F32))</f>
        <v/>
      </c>
      <c r="H32" s="1"/>
      <c r="I32" s="35" t="str">
        <f aca="false">IF(A32="","",TEXT(A32,"yyyy-mm"))</f>
        <v/>
      </c>
    </row>
    <row r="33" customFormat="false" ht="15" hidden="false" customHeight="false" outlineLevel="0" collapsed="false">
      <c r="A33" s="25"/>
      <c r="B33" s="1"/>
      <c r="C33" s="1"/>
      <c r="D33" s="1"/>
      <c r="E33" s="1"/>
      <c r="F33" s="21"/>
      <c r="G33" s="22" t="str">
        <f aca="false">IF(F33="","",IF(B33="Despesa",-F33,F33))</f>
        <v/>
      </c>
      <c r="H33" s="1"/>
      <c r="I33" s="35" t="str">
        <f aca="false">IF(A33="","",TEXT(A33,"yyyy-mm"))</f>
        <v/>
      </c>
    </row>
    <row r="34" customFormat="false" ht="15" hidden="false" customHeight="false" outlineLevel="0" collapsed="false">
      <c r="A34" s="25"/>
      <c r="B34" s="1"/>
      <c r="C34" s="1"/>
      <c r="D34" s="1"/>
      <c r="E34" s="1"/>
      <c r="F34" s="21"/>
      <c r="G34" s="22" t="str">
        <f aca="false">IF(F34="","",IF(B34="Despesa",-F34,F34))</f>
        <v/>
      </c>
      <c r="H34" s="1"/>
      <c r="I34" s="35" t="str">
        <f aca="false">IF(A34="","",TEXT(A34,"yyyy-mm"))</f>
        <v/>
      </c>
    </row>
    <row r="35" customFormat="false" ht="15" hidden="false" customHeight="false" outlineLevel="0" collapsed="false">
      <c r="A35" s="25"/>
      <c r="B35" s="1"/>
      <c r="C35" s="1"/>
      <c r="D35" s="1"/>
      <c r="E35" s="1"/>
      <c r="F35" s="21"/>
      <c r="G35" s="22" t="str">
        <f aca="false">IF(F35="","",IF(B35="Despesa",-F35,F35))</f>
        <v/>
      </c>
      <c r="H35" s="1"/>
      <c r="I35" s="35" t="str">
        <f aca="false">IF(A35="","",TEXT(A35,"yyyy-mm"))</f>
        <v/>
      </c>
    </row>
    <row r="36" customFormat="false" ht="15" hidden="false" customHeight="false" outlineLevel="0" collapsed="false">
      <c r="A36" s="25"/>
      <c r="B36" s="1"/>
      <c r="C36" s="1"/>
      <c r="D36" s="1"/>
      <c r="E36" s="1"/>
      <c r="F36" s="21"/>
      <c r="G36" s="22" t="str">
        <f aca="false">IF(F36="","",IF(B36="Despesa",-F36,F36))</f>
        <v/>
      </c>
      <c r="H36" s="1"/>
      <c r="I36" s="35" t="str">
        <f aca="false">IF(A36="","",TEXT(A36,"yyyy-mm"))</f>
        <v/>
      </c>
    </row>
    <row r="37" customFormat="false" ht="15" hidden="false" customHeight="false" outlineLevel="0" collapsed="false">
      <c r="A37" s="25"/>
      <c r="B37" s="1"/>
      <c r="C37" s="1"/>
      <c r="D37" s="1"/>
      <c r="E37" s="1"/>
      <c r="F37" s="21"/>
      <c r="G37" s="22" t="str">
        <f aca="false">IF(F37="","",IF(B37="Despesa",-F37,F37))</f>
        <v/>
      </c>
      <c r="H37" s="1"/>
      <c r="I37" s="35" t="str">
        <f aca="false">IF(A37="","",TEXT(A37,"yyyy-mm"))</f>
        <v/>
      </c>
    </row>
    <row r="38" customFormat="false" ht="15" hidden="false" customHeight="false" outlineLevel="0" collapsed="false">
      <c r="A38" s="25"/>
      <c r="B38" s="1"/>
      <c r="C38" s="1"/>
      <c r="D38" s="1"/>
      <c r="E38" s="1"/>
      <c r="F38" s="21"/>
      <c r="G38" s="22" t="str">
        <f aca="false">IF(F38="","",IF(B38="Despesa",-F38,F38))</f>
        <v/>
      </c>
      <c r="H38" s="1"/>
      <c r="I38" s="35" t="str">
        <f aca="false">IF(A38="","",TEXT(A38,"yyyy-mm"))</f>
        <v/>
      </c>
    </row>
    <row r="39" customFormat="false" ht="15" hidden="false" customHeight="false" outlineLevel="0" collapsed="false">
      <c r="A39" s="25"/>
      <c r="B39" s="1"/>
      <c r="C39" s="1"/>
      <c r="D39" s="1"/>
      <c r="E39" s="1"/>
      <c r="F39" s="21"/>
      <c r="G39" s="22" t="str">
        <f aca="false">IF(F39="","",IF(B39="Despesa",-F39,F39))</f>
        <v/>
      </c>
      <c r="H39" s="1"/>
      <c r="I39" s="35" t="str">
        <f aca="false">IF(A39="","",TEXT(A39,"yyyy-mm"))</f>
        <v/>
      </c>
    </row>
    <row r="40" customFormat="false" ht="15" hidden="false" customHeight="false" outlineLevel="0" collapsed="false">
      <c r="A40" s="25"/>
      <c r="B40" s="1"/>
      <c r="C40" s="1"/>
      <c r="D40" s="1"/>
      <c r="E40" s="1"/>
      <c r="F40" s="21"/>
      <c r="G40" s="22" t="str">
        <f aca="false">IF(F40="","",IF(B40="Despesa",-F40,F40))</f>
        <v/>
      </c>
      <c r="H40" s="1"/>
      <c r="I40" s="35" t="str">
        <f aca="false">IF(A40="","",TEXT(A40,"yyyy-mm"))</f>
        <v/>
      </c>
    </row>
    <row r="41" customFormat="false" ht="15" hidden="false" customHeight="false" outlineLevel="0" collapsed="false">
      <c r="A41" s="25"/>
      <c r="B41" s="1"/>
      <c r="C41" s="1"/>
      <c r="D41" s="1"/>
      <c r="E41" s="1"/>
      <c r="F41" s="21"/>
      <c r="G41" s="22" t="str">
        <f aca="false">IF(F41="","",IF(B41="Despesa",-F41,F41))</f>
        <v/>
      </c>
      <c r="H41" s="1"/>
      <c r="I41" s="35" t="str">
        <f aca="false">IF(A41="","",TEXT(A41,"yyyy-mm"))</f>
        <v/>
      </c>
    </row>
    <row r="42" customFormat="false" ht="15" hidden="false" customHeight="false" outlineLevel="0" collapsed="false">
      <c r="A42" s="25"/>
      <c r="B42" s="1"/>
      <c r="C42" s="1"/>
      <c r="D42" s="1"/>
      <c r="E42" s="1"/>
      <c r="F42" s="21"/>
      <c r="G42" s="22" t="str">
        <f aca="false">IF(F42="","",IF(B42="Despesa",-F42,F42))</f>
        <v/>
      </c>
      <c r="H42" s="1"/>
      <c r="I42" s="35" t="str">
        <f aca="false">IF(A42="","",TEXT(A42,"yyyy-mm"))</f>
        <v/>
      </c>
    </row>
    <row r="43" customFormat="false" ht="15" hidden="false" customHeight="false" outlineLevel="0" collapsed="false">
      <c r="A43" s="25"/>
      <c r="B43" s="1"/>
      <c r="C43" s="1"/>
      <c r="D43" s="1"/>
      <c r="E43" s="1"/>
      <c r="F43" s="21"/>
      <c r="G43" s="22" t="str">
        <f aca="false">IF(F43="","",IF(B43="Despesa",-F43,F43))</f>
        <v/>
      </c>
      <c r="H43" s="1"/>
      <c r="I43" s="35" t="str">
        <f aca="false">IF(A43="","",TEXT(A43,"yyyy-mm"))</f>
        <v/>
      </c>
    </row>
    <row r="44" customFormat="false" ht="15" hidden="false" customHeight="false" outlineLevel="0" collapsed="false">
      <c r="A44" s="25"/>
      <c r="B44" s="1"/>
      <c r="C44" s="1"/>
      <c r="D44" s="1"/>
      <c r="E44" s="1"/>
      <c r="F44" s="21"/>
      <c r="G44" s="22" t="str">
        <f aca="false">IF(F44="","",IF(B44="Despesa",-F44,F44))</f>
        <v/>
      </c>
      <c r="H44" s="1"/>
      <c r="I44" s="35" t="str">
        <f aca="false">IF(A44="","",TEXT(A44,"yyyy-mm"))</f>
        <v/>
      </c>
    </row>
    <row r="45" customFormat="false" ht="15" hidden="false" customHeight="false" outlineLevel="0" collapsed="false">
      <c r="A45" s="25"/>
      <c r="B45" s="1"/>
      <c r="C45" s="1"/>
      <c r="D45" s="1"/>
      <c r="E45" s="1"/>
      <c r="F45" s="21"/>
      <c r="G45" s="22" t="str">
        <f aca="false">IF(F45="","",IF(B45="Despesa",-F45,F45))</f>
        <v/>
      </c>
      <c r="H45" s="1"/>
      <c r="I45" s="35" t="str">
        <f aca="false">IF(A45="","",TEXT(A45,"yyyy-mm"))</f>
        <v/>
      </c>
    </row>
    <row r="46" customFormat="false" ht="15" hidden="false" customHeight="false" outlineLevel="0" collapsed="false">
      <c r="A46" s="25"/>
      <c r="B46" s="1"/>
      <c r="C46" s="1"/>
      <c r="D46" s="1"/>
      <c r="E46" s="1"/>
      <c r="F46" s="21"/>
      <c r="G46" s="22" t="str">
        <f aca="false">IF(F46="","",IF(B46="Despesa",-F46,F46))</f>
        <v/>
      </c>
      <c r="H46" s="1"/>
      <c r="I46" s="35" t="str">
        <f aca="false">IF(A46="","",TEXT(A46,"yyyy-mm"))</f>
        <v/>
      </c>
    </row>
    <row r="47" customFormat="false" ht="15" hidden="false" customHeight="false" outlineLevel="0" collapsed="false">
      <c r="A47" s="25"/>
      <c r="B47" s="1"/>
      <c r="C47" s="1"/>
      <c r="D47" s="1"/>
      <c r="E47" s="1"/>
      <c r="F47" s="21"/>
      <c r="G47" s="22" t="str">
        <f aca="false">IF(F47="","",IF(B47="Despesa",-F47,F47))</f>
        <v/>
      </c>
      <c r="H47" s="1"/>
      <c r="I47" s="35" t="str">
        <f aca="false">IF(A47="","",TEXT(A47,"yyyy-mm"))</f>
        <v/>
      </c>
    </row>
    <row r="48" customFormat="false" ht="15" hidden="false" customHeight="false" outlineLevel="0" collapsed="false">
      <c r="A48" s="25"/>
      <c r="B48" s="1"/>
      <c r="C48" s="1"/>
      <c r="D48" s="1"/>
      <c r="E48" s="1"/>
      <c r="F48" s="21"/>
      <c r="G48" s="22" t="str">
        <f aca="false">IF(F48="","",IF(B48="Despesa",-F48,F48))</f>
        <v/>
      </c>
      <c r="H48" s="1"/>
      <c r="I48" s="35" t="str">
        <f aca="false">IF(A48="","",TEXT(A48,"yyyy-mm"))</f>
        <v/>
      </c>
    </row>
    <row r="49" customFormat="false" ht="15" hidden="false" customHeight="false" outlineLevel="0" collapsed="false">
      <c r="A49" s="25"/>
      <c r="B49" s="1"/>
      <c r="C49" s="1"/>
      <c r="D49" s="1"/>
      <c r="E49" s="1"/>
      <c r="F49" s="21"/>
      <c r="G49" s="22" t="str">
        <f aca="false">IF(F49="","",IF(B49="Despesa",-F49,F49))</f>
        <v/>
      </c>
      <c r="H49" s="1"/>
      <c r="I49" s="35" t="str">
        <f aca="false">IF(A49="","",TEXT(A49,"yyyy-mm"))</f>
        <v/>
      </c>
    </row>
    <row r="50" customFormat="false" ht="15" hidden="false" customHeight="false" outlineLevel="0" collapsed="false">
      <c r="A50" s="25"/>
      <c r="B50" s="1"/>
      <c r="C50" s="1"/>
      <c r="D50" s="1"/>
      <c r="E50" s="1"/>
      <c r="F50" s="21"/>
      <c r="G50" s="22" t="str">
        <f aca="false">IF(F50="","",IF(B50="Despesa",-F50,F50))</f>
        <v/>
      </c>
      <c r="H50" s="1"/>
      <c r="I50" s="35" t="str">
        <f aca="false">IF(A50="","",TEXT(A50,"yyyy-mm"))</f>
        <v/>
      </c>
    </row>
    <row r="51" customFormat="false" ht="15" hidden="false" customHeight="false" outlineLevel="0" collapsed="false">
      <c r="A51" s="25"/>
      <c r="B51" s="1"/>
      <c r="C51" s="1"/>
      <c r="D51" s="1"/>
      <c r="E51" s="1"/>
      <c r="F51" s="21"/>
      <c r="G51" s="22" t="str">
        <f aca="false">IF(F51="","",IF(B51="Despesa",-F51,F51))</f>
        <v/>
      </c>
      <c r="H51" s="1"/>
      <c r="I51" s="35" t="str">
        <f aca="false">IF(A51="","",TEXT(A51,"yyyy-mm"))</f>
        <v/>
      </c>
    </row>
    <row r="52" customFormat="false" ht="15" hidden="false" customHeight="false" outlineLevel="0" collapsed="false">
      <c r="A52" s="25"/>
      <c r="B52" s="1"/>
      <c r="C52" s="1"/>
      <c r="D52" s="1"/>
      <c r="E52" s="1"/>
      <c r="F52" s="21"/>
      <c r="G52" s="22" t="str">
        <f aca="false">IF(F52="","",IF(B52="Despesa",-F52,F52))</f>
        <v/>
      </c>
      <c r="H52" s="1"/>
      <c r="I52" s="35" t="str">
        <f aca="false">IF(A52="","",TEXT(A52,"yyyy-mm"))</f>
        <v/>
      </c>
    </row>
    <row r="53" customFormat="false" ht="15" hidden="false" customHeight="false" outlineLevel="0" collapsed="false">
      <c r="A53" s="25"/>
      <c r="B53" s="1"/>
      <c r="C53" s="1"/>
      <c r="D53" s="1"/>
      <c r="E53" s="1"/>
      <c r="F53" s="21"/>
      <c r="G53" s="22" t="str">
        <f aca="false">IF(F53="","",IF(B53="Despesa",-F53,F53))</f>
        <v/>
      </c>
      <c r="H53" s="1"/>
      <c r="I53" s="35" t="str">
        <f aca="false">IF(A53="","",TEXT(A53,"yyyy-mm"))</f>
        <v/>
      </c>
    </row>
    <row r="54" customFormat="false" ht="15" hidden="false" customHeight="false" outlineLevel="0" collapsed="false">
      <c r="A54" s="25"/>
      <c r="B54" s="1"/>
      <c r="C54" s="1"/>
      <c r="D54" s="1"/>
      <c r="E54" s="1"/>
      <c r="F54" s="21"/>
      <c r="G54" s="22" t="str">
        <f aca="false">IF(F54="","",IF(B54="Despesa",-F54,F54))</f>
        <v/>
      </c>
      <c r="H54" s="1"/>
      <c r="I54" s="35" t="str">
        <f aca="false">IF(A54="","",TEXT(A54,"yyyy-mm"))</f>
        <v/>
      </c>
    </row>
    <row r="55" customFormat="false" ht="15" hidden="false" customHeight="false" outlineLevel="0" collapsed="false">
      <c r="A55" s="25"/>
      <c r="B55" s="1"/>
      <c r="C55" s="1"/>
      <c r="D55" s="1"/>
      <c r="E55" s="1"/>
      <c r="F55" s="21"/>
      <c r="G55" s="22" t="str">
        <f aca="false">IF(F55="","",IF(B55="Despesa",-F55,F55))</f>
        <v/>
      </c>
      <c r="H55" s="1"/>
      <c r="I55" s="35" t="str">
        <f aca="false">IF(A55="","",TEXT(A55,"yyyy-mm"))</f>
        <v/>
      </c>
    </row>
    <row r="56" customFormat="false" ht="15" hidden="false" customHeight="false" outlineLevel="0" collapsed="false">
      <c r="A56" s="25"/>
      <c r="B56" s="1"/>
      <c r="C56" s="1"/>
      <c r="D56" s="1"/>
      <c r="E56" s="1"/>
      <c r="F56" s="21"/>
      <c r="G56" s="22" t="str">
        <f aca="false">IF(F56="","",IF(B56="Despesa",-F56,F56))</f>
        <v/>
      </c>
      <c r="H56" s="1"/>
      <c r="I56" s="35" t="str">
        <f aca="false">IF(A56="","",TEXT(A56,"yyyy-mm"))</f>
        <v/>
      </c>
    </row>
    <row r="57" customFormat="false" ht="15" hidden="false" customHeight="false" outlineLevel="0" collapsed="false">
      <c r="A57" s="25"/>
      <c r="B57" s="1"/>
      <c r="C57" s="1"/>
      <c r="D57" s="1"/>
      <c r="E57" s="1"/>
      <c r="F57" s="21"/>
      <c r="G57" s="22" t="str">
        <f aca="false">IF(F57="","",IF(B57="Despesa",-F57,F57))</f>
        <v/>
      </c>
      <c r="H57" s="1"/>
      <c r="I57" s="35" t="str">
        <f aca="false">IF(A57="","",TEXT(A57,"yyyy-mm"))</f>
        <v/>
      </c>
    </row>
    <row r="58" customFormat="false" ht="15" hidden="false" customHeight="false" outlineLevel="0" collapsed="false">
      <c r="A58" s="25"/>
      <c r="B58" s="1"/>
      <c r="C58" s="1"/>
      <c r="D58" s="1"/>
      <c r="E58" s="1"/>
      <c r="F58" s="21"/>
      <c r="G58" s="22" t="str">
        <f aca="false">IF(F58="","",IF(B58="Despesa",-F58,F58))</f>
        <v/>
      </c>
      <c r="H58" s="1"/>
      <c r="I58" s="35" t="str">
        <f aca="false">IF(A58="","",TEXT(A58,"yyyy-mm"))</f>
        <v/>
      </c>
    </row>
    <row r="59" customFormat="false" ht="15" hidden="false" customHeight="false" outlineLevel="0" collapsed="false">
      <c r="A59" s="25"/>
      <c r="B59" s="1"/>
      <c r="C59" s="1"/>
      <c r="D59" s="1"/>
      <c r="E59" s="1"/>
      <c r="F59" s="21"/>
      <c r="G59" s="22" t="str">
        <f aca="false">IF(F59="","",IF(B59="Despesa",-F59,F59))</f>
        <v/>
      </c>
      <c r="H59" s="1"/>
      <c r="I59" s="35" t="str">
        <f aca="false">IF(A59="","",TEXT(A59,"yyyy-mm"))</f>
        <v/>
      </c>
    </row>
    <row r="60" customFormat="false" ht="15" hidden="false" customHeight="false" outlineLevel="0" collapsed="false">
      <c r="A60" s="25"/>
      <c r="B60" s="1"/>
      <c r="C60" s="1"/>
      <c r="D60" s="1"/>
      <c r="E60" s="1"/>
      <c r="F60" s="21"/>
      <c r="G60" s="22" t="str">
        <f aca="false">IF(F60="","",IF(B60="Despesa",-F60,F60))</f>
        <v/>
      </c>
      <c r="H60" s="1"/>
      <c r="I60" s="35" t="str">
        <f aca="false">IF(A60="","",TEXT(A60,"yyyy-mm"))</f>
        <v/>
      </c>
    </row>
    <row r="61" customFormat="false" ht="15" hidden="false" customHeight="false" outlineLevel="0" collapsed="false">
      <c r="A61" s="25"/>
      <c r="B61" s="1"/>
      <c r="C61" s="1"/>
      <c r="D61" s="1"/>
      <c r="E61" s="1"/>
      <c r="F61" s="21"/>
      <c r="G61" s="22" t="str">
        <f aca="false">IF(F61="","",IF(B61="Despesa",-F61,F61))</f>
        <v/>
      </c>
      <c r="H61" s="1"/>
      <c r="I61" s="35" t="str">
        <f aca="false">IF(A61="","",TEXT(A61,"yyyy-mm"))</f>
        <v/>
      </c>
    </row>
    <row r="62" customFormat="false" ht="15" hidden="false" customHeight="false" outlineLevel="0" collapsed="false">
      <c r="A62" s="25"/>
      <c r="B62" s="1"/>
      <c r="C62" s="1"/>
      <c r="D62" s="1"/>
      <c r="E62" s="1"/>
      <c r="F62" s="21"/>
      <c r="G62" s="22" t="str">
        <f aca="false">IF(F62="","",IF(B62="Despesa",-F62,F62))</f>
        <v/>
      </c>
      <c r="H62" s="1"/>
      <c r="I62" s="35" t="str">
        <f aca="false">IF(A62="","",TEXT(A62,"yyyy-mm"))</f>
        <v/>
      </c>
    </row>
    <row r="63" customFormat="false" ht="15" hidden="false" customHeight="false" outlineLevel="0" collapsed="false">
      <c r="A63" s="25"/>
      <c r="B63" s="1"/>
      <c r="C63" s="1"/>
      <c r="D63" s="1"/>
      <c r="E63" s="1"/>
      <c r="F63" s="21"/>
      <c r="G63" s="22" t="str">
        <f aca="false">IF(F63="","",IF(B63="Despesa",-F63,F63))</f>
        <v/>
      </c>
      <c r="H63" s="1"/>
      <c r="I63" s="35" t="str">
        <f aca="false">IF(A63="","",TEXT(A63,"yyyy-mm"))</f>
        <v/>
      </c>
    </row>
    <row r="64" customFormat="false" ht="15" hidden="false" customHeight="false" outlineLevel="0" collapsed="false">
      <c r="A64" s="25"/>
      <c r="B64" s="1"/>
      <c r="C64" s="1"/>
      <c r="D64" s="1"/>
      <c r="E64" s="1"/>
      <c r="F64" s="21"/>
      <c r="G64" s="22" t="str">
        <f aca="false">IF(F64="","",IF(B64="Despesa",-F64,F64))</f>
        <v/>
      </c>
      <c r="H64" s="1"/>
      <c r="I64" s="35" t="str">
        <f aca="false">IF(A64="","",TEXT(A64,"yyyy-mm"))</f>
        <v/>
      </c>
    </row>
    <row r="65" customFormat="false" ht="15" hidden="false" customHeight="false" outlineLevel="0" collapsed="false">
      <c r="A65" s="25"/>
      <c r="B65" s="1"/>
      <c r="C65" s="1"/>
      <c r="D65" s="1"/>
      <c r="E65" s="1"/>
      <c r="F65" s="21"/>
      <c r="G65" s="22" t="str">
        <f aca="false">IF(F65="","",IF(B65="Despesa",-F65,F65))</f>
        <v/>
      </c>
      <c r="H65" s="1"/>
      <c r="I65" s="35" t="str">
        <f aca="false">IF(A65="","",TEXT(A65,"yyyy-mm"))</f>
        <v/>
      </c>
    </row>
    <row r="66" customFormat="false" ht="15" hidden="false" customHeight="false" outlineLevel="0" collapsed="false">
      <c r="A66" s="25"/>
      <c r="B66" s="1"/>
      <c r="C66" s="1"/>
      <c r="D66" s="1"/>
      <c r="E66" s="1"/>
      <c r="F66" s="21"/>
      <c r="G66" s="22" t="str">
        <f aca="false">IF(F66="","",IF(B66="Despesa",-F66,F66))</f>
        <v/>
      </c>
      <c r="H66" s="1"/>
      <c r="I66" s="35" t="str">
        <f aca="false">IF(A66="","",TEXT(A66,"yyyy-mm"))</f>
        <v/>
      </c>
    </row>
    <row r="67" customFormat="false" ht="15" hidden="false" customHeight="false" outlineLevel="0" collapsed="false">
      <c r="A67" s="25"/>
      <c r="B67" s="1"/>
      <c r="C67" s="1"/>
      <c r="D67" s="1"/>
      <c r="E67" s="1"/>
      <c r="F67" s="21"/>
      <c r="G67" s="22" t="str">
        <f aca="false">IF(F67="","",IF(B67="Despesa",-F67,F67))</f>
        <v/>
      </c>
      <c r="H67" s="1"/>
      <c r="I67" s="35" t="str">
        <f aca="false">IF(A67="","",TEXT(A67,"yyyy-mm"))</f>
        <v/>
      </c>
    </row>
    <row r="68" customFormat="false" ht="15" hidden="false" customHeight="false" outlineLevel="0" collapsed="false">
      <c r="A68" s="25"/>
      <c r="B68" s="1"/>
      <c r="C68" s="1"/>
      <c r="D68" s="1"/>
      <c r="E68" s="1"/>
      <c r="F68" s="21"/>
      <c r="G68" s="22" t="str">
        <f aca="false">IF(F68="","",IF(B68="Despesa",-F68,F68))</f>
        <v/>
      </c>
      <c r="H68" s="1"/>
      <c r="I68" s="35" t="str">
        <f aca="false">IF(A68="","",TEXT(A68,"yyyy-mm"))</f>
        <v/>
      </c>
    </row>
    <row r="69" customFormat="false" ht="15" hidden="false" customHeight="false" outlineLevel="0" collapsed="false">
      <c r="A69" s="25"/>
      <c r="B69" s="1"/>
      <c r="C69" s="1"/>
      <c r="D69" s="1"/>
      <c r="E69" s="1"/>
      <c r="F69" s="21"/>
      <c r="G69" s="22" t="str">
        <f aca="false">IF(F69="","",IF(B69="Despesa",-F69,F69))</f>
        <v/>
      </c>
      <c r="H69" s="1"/>
      <c r="I69" s="35" t="str">
        <f aca="false">IF(A69="","",TEXT(A69,"yyyy-mm"))</f>
        <v/>
      </c>
    </row>
    <row r="70" customFormat="false" ht="15" hidden="false" customHeight="false" outlineLevel="0" collapsed="false">
      <c r="A70" s="25"/>
      <c r="B70" s="1"/>
      <c r="C70" s="1"/>
      <c r="D70" s="1"/>
      <c r="E70" s="1"/>
      <c r="F70" s="21"/>
      <c r="G70" s="22" t="str">
        <f aca="false">IF(F70="","",IF(B70="Despesa",-F70,F70))</f>
        <v/>
      </c>
      <c r="H70" s="1"/>
      <c r="I70" s="35" t="str">
        <f aca="false">IF(A70="","",TEXT(A70,"yyyy-mm"))</f>
        <v/>
      </c>
    </row>
    <row r="71" customFormat="false" ht="15" hidden="false" customHeight="false" outlineLevel="0" collapsed="false">
      <c r="A71" s="25"/>
      <c r="B71" s="1"/>
      <c r="C71" s="1"/>
      <c r="D71" s="1"/>
      <c r="E71" s="1"/>
      <c r="F71" s="21"/>
      <c r="G71" s="22" t="str">
        <f aca="false">IF(F71="","",IF(B71="Despesa",-F71,F71))</f>
        <v/>
      </c>
      <c r="H71" s="1"/>
      <c r="I71" s="35" t="str">
        <f aca="false">IF(A71="","",TEXT(A71,"yyyy-mm"))</f>
        <v/>
      </c>
    </row>
    <row r="72" customFormat="false" ht="15" hidden="false" customHeight="false" outlineLevel="0" collapsed="false">
      <c r="A72" s="25"/>
      <c r="B72" s="1"/>
      <c r="C72" s="1"/>
      <c r="D72" s="1"/>
      <c r="E72" s="1"/>
      <c r="F72" s="21"/>
      <c r="G72" s="22" t="str">
        <f aca="false">IF(F72="","",IF(B72="Despesa",-F72,F72))</f>
        <v/>
      </c>
      <c r="H72" s="1"/>
      <c r="I72" s="35" t="str">
        <f aca="false">IF(A72="","",TEXT(A72,"yyyy-mm"))</f>
        <v/>
      </c>
    </row>
    <row r="73" customFormat="false" ht="15" hidden="false" customHeight="false" outlineLevel="0" collapsed="false">
      <c r="A73" s="25"/>
      <c r="B73" s="1"/>
      <c r="C73" s="1"/>
      <c r="D73" s="1"/>
      <c r="E73" s="1"/>
      <c r="F73" s="21"/>
      <c r="G73" s="22" t="str">
        <f aca="false">IF(F73="","",IF(B73="Despesa",-F73,F73))</f>
        <v/>
      </c>
      <c r="H73" s="1"/>
      <c r="I73" s="35" t="str">
        <f aca="false">IF(A73="","",TEXT(A73,"yyyy-mm"))</f>
        <v/>
      </c>
    </row>
    <row r="74" customFormat="false" ht="15" hidden="false" customHeight="false" outlineLevel="0" collapsed="false">
      <c r="A74" s="25"/>
      <c r="B74" s="1"/>
      <c r="C74" s="1"/>
      <c r="D74" s="1"/>
      <c r="E74" s="1"/>
      <c r="F74" s="21"/>
      <c r="G74" s="22" t="str">
        <f aca="false">IF(F74="","",IF(B74="Despesa",-F74,F74))</f>
        <v/>
      </c>
      <c r="H74" s="1"/>
      <c r="I74" s="35" t="str">
        <f aca="false">IF(A74="","",TEXT(A74,"yyyy-mm"))</f>
        <v/>
      </c>
    </row>
    <row r="75" customFormat="false" ht="15" hidden="false" customHeight="false" outlineLevel="0" collapsed="false">
      <c r="A75" s="25"/>
      <c r="B75" s="1"/>
      <c r="C75" s="1"/>
      <c r="D75" s="1"/>
      <c r="E75" s="1"/>
      <c r="F75" s="21"/>
      <c r="G75" s="22" t="str">
        <f aca="false">IF(F75="","",IF(B75="Despesa",-F75,F75))</f>
        <v/>
      </c>
      <c r="H75" s="1"/>
      <c r="I75" s="35" t="str">
        <f aca="false">IF(A75="","",TEXT(A75,"yyyy-mm"))</f>
        <v/>
      </c>
    </row>
    <row r="76" customFormat="false" ht="15" hidden="false" customHeight="false" outlineLevel="0" collapsed="false">
      <c r="A76" s="25"/>
      <c r="B76" s="1"/>
      <c r="C76" s="1"/>
      <c r="D76" s="1"/>
      <c r="E76" s="1"/>
      <c r="F76" s="21"/>
      <c r="G76" s="22" t="str">
        <f aca="false">IF(F76="","",IF(B76="Despesa",-F76,F76))</f>
        <v/>
      </c>
      <c r="H76" s="1"/>
      <c r="I76" s="35" t="str">
        <f aca="false">IF(A76="","",TEXT(A76,"yyyy-mm"))</f>
        <v/>
      </c>
    </row>
    <row r="77" customFormat="false" ht="15" hidden="false" customHeight="false" outlineLevel="0" collapsed="false">
      <c r="A77" s="25"/>
      <c r="B77" s="1"/>
      <c r="C77" s="1"/>
      <c r="D77" s="1"/>
      <c r="E77" s="1"/>
      <c r="F77" s="21"/>
      <c r="G77" s="22" t="str">
        <f aca="false">IF(F77="","",IF(B77="Despesa",-F77,F77))</f>
        <v/>
      </c>
      <c r="H77" s="1"/>
      <c r="I77" s="35" t="str">
        <f aca="false">IF(A77="","",TEXT(A77,"yyyy-mm"))</f>
        <v/>
      </c>
    </row>
    <row r="78" customFormat="false" ht="15" hidden="false" customHeight="false" outlineLevel="0" collapsed="false">
      <c r="A78" s="25"/>
      <c r="B78" s="1"/>
      <c r="C78" s="1"/>
      <c r="D78" s="1"/>
      <c r="E78" s="1"/>
      <c r="F78" s="21"/>
      <c r="G78" s="22" t="str">
        <f aca="false">IF(F78="","",IF(B78="Despesa",-F78,F78))</f>
        <v/>
      </c>
      <c r="H78" s="1"/>
      <c r="I78" s="35" t="str">
        <f aca="false">IF(A78="","",TEXT(A78,"yyyy-mm"))</f>
        <v/>
      </c>
    </row>
    <row r="79" customFormat="false" ht="15" hidden="false" customHeight="false" outlineLevel="0" collapsed="false">
      <c r="A79" s="25"/>
      <c r="B79" s="1"/>
      <c r="C79" s="1"/>
      <c r="D79" s="1"/>
      <c r="E79" s="1"/>
      <c r="F79" s="21"/>
      <c r="G79" s="22" t="str">
        <f aca="false">IF(F79="","",IF(B79="Despesa",-F79,F79))</f>
        <v/>
      </c>
      <c r="H79" s="1"/>
      <c r="I79" s="35" t="str">
        <f aca="false">IF(A79="","",TEXT(A79,"yyyy-mm"))</f>
        <v/>
      </c>
    </row>
    <row r="80" customFormat="false" ht="15" hidden="false" customHeight="false" outlineLevel="0" collapsed="false">
      <c r="A80" s="25"/>
      <c r="B80" s="1"/>
      <c r="C80" s="1"/>
      <c r="D80" s="1"/>
      <c r="E80" s="1"/>
      <c r="F80" s="21"/>
      <c r="G80" s="22" t="str">
        <f aca="false">IF(F80="","",IF(B80="Despesa",-F80,F80))</f>
        <v/>
      </c>
      <c r="H80" s="1"/>
      <c r="I80" s="35" t="str">
        <f aca="false">IF(A80="","",TEXT(A80,"yyyy-mm"))</f>
        <v/>
      </c>
    </row>
    <row r="81" customFormat="false" ht="15" hidden="false" customHeight="false" outlineLevel="0" collapsed="false">
      <c r="A81" s="25"/>
      <c r="B81" s="1"/>
      <c r="C81" s="1"/>
      <c r="D81" s="1"/>
      <c r="E81" s="1"/>
      <c r="F81" s="21"/>
      <c r="G81" s="22" t="str">
        <f aca="false">IF(F81="","",IF(B81="Despesa",-F81,F81))</f>
        <v/>
      </c>
      <c r="H81" s="1"/>
      <c r="I81" s="35" t="str">
        <f aca="false">IF(A81="","",TEXT(A81,"yyyy-mm"))</f>
        <v/>
      </c>
    </row>
    <row r="82" customFormat="false" ht="15" hidden="false" customHeight="false" outlineLevel="0" collapsed="false">
      <c r="A82" s="25"/>
      <c r="B82" s="1"/>
      <c r="C82" s="1"/>
      <c r="D82" s="1"/>
      <c r="E82" s="1"/>
      <c r="F82" s="21"/>
      <c r="G82" s="22" t="str">
        <f aca="false">IF(F82="","",IF(B82="Despesa",-F82,F82))</f>
        <v/>
      </c>
      <c r="H82" s="1"/>
      <c r="I82" s="35" t="str">
        <f aca="false">IF(A82="","",TEXT(A82,"yyyy-mm"))</f>
        <v/>
      </c>
    </row>
    <row r="83" customFormat="false" ht="15" hidden="false" customHeight="false" outlineLevel="0" collapsed="false">
      <c r="A83" s="25"/>
      <c r="B83" s="1"/>
      <c r="C83" s="1"/>
      <c r="D83" s="1"/>
      <c r="E83" s="1"/>
      <c r="F83" s="21"/>
      <c r="G83" s="22" t="str">
        <f aca="false">IF(F83="","",IF(B83="Despesa",-F83,F83))</f>
        <v/>
      </c>
      <c r="H83" s="1"/>
      <c r="I83" s="35" t="str">
        <f aca="false">IF(A83="","",TEXT(A83,"yyyy-mm"))</f>
        <v/>
      </c>
    </row>
    <row r="84" customFormat="false" ht="15" hidden="false" customHeight="false" outlineLevel="0" collapsed="false">
      <c r="A84" s="25"/>
      <c r="B84" s="1"/>
      <c r="C84" s="1"/>
      <c r="D84" s="1"/>
      <c r="E84" s="1"/>
      <c r="F84" s="21"/>
      <c r="G84" s="22" t="str">
        <f aca="false">IF(F84="","",IF(B84="Despesa",-F84,F84))</f>
        <v/>
      </c>
      <c r="H84" s="1"/>
      <c r="I84" s="35" t="str">
        <f aca="false">IF(A84="","",TEXT(A84,"yyyy-mm"))</f>
        <v/>
      </c>
    </row>
    <row r="85" customFormat="false" ht="15" hidden="false" customHeight="false" outlineLevel="0" collapsed="false">
      <c r="A85" s="25"/>
      <c r="B85" s="1"/>
      <c r="C85" s="1"/>
      <c r="D85" s="1"/>
      <c r="E85" s="1"/>
      <c r="F85" s="21"/>
      <c r="G85" s="22" t="str">
        <f aca="false">IF(F85="","",IF(B85="Despesa",-F85,F85))</f>
        <v/>
      </c>
      <c r="H85" s="1"/>
      <c r="I85" s="35" t="str">
        <f aca="false">IF(A85="","",TEXT(A85,"yyyy-mm"))</f>
        <v/>
      </c>
    </row>
    <row r="86" customFormat="false" ht="15" hidden="false" customHeight="false" outlineLevel="0" collapsed="false">
      <c r="A86" s="25"/>
      <c r="B86" s="1"/>
      <c r="C86" s="1"/>
      <c r="D86" s="1"/>
      <c r="E86" s="1"/>
      <c r="F86" s="21"/>
      <c r="G86" s="22" t="str">
        <f aca="false">IF(F86="","",IF(B86="Despesa",-F86,F86))</f>
        <v/>
      </c>
      <c r="H86" s="1"/>
      <c r="I86" s="35" t="str">
        <f aca="false">IF(A86="","",TEXT(A86,"yyyy-mm"))</f>
        <v/>
      </c>
    </row>
    <row r="87" customFormat="false" ht="15" hidden="false" customHeight="false" outlineLevel="0" collapsed="false">
      <c r="A87" s="25"/>
      <c r="B87" s="1"/>
      <c r="C87" s="1"/>
      <c r="D87" s="1"/>
      <c r="E87" s="1"/>
      <c r="F87" s="21"/>
      <c r="G87" s="22" t="str">
        <f aca="false">IF(F87="","",IF(B87="Despesa",-F87,F87))</f>
        <v/>
      </c>
      <c r="H87" s="1"/>
      <c r="I87" s="35" t="str">
        <f aca="false">IF(A87="","",TEXT(A87,"yyyy-mm"))</f>
        <v/>
      </c>
    </row>
    <row r="88" customFormat="false" ht="15" hidden="false" customHeight="false" outlineLevel="0" collapsed="false">
      <c r="A88" s="25"/>
      <c r="B88" s="1"/>
      <c r="C88" s="1"/>
      <c r="D88" s="1"/>
      <c r="E88" s="1"/>
      <c r="F88" s="21"/>
      <c r="G88" s="22" t="str">
        <f aca="false">IF(F88="","",IF(B88="Despesa",-F88,F88))</f>
        <v/>
      </c>
      <c r="H88" s="1"/>
      <c r="I88" s="35" t="str">
        <f aca="false">IF(A88="","",TEXT(A88,"yyyy-mm"))</f>
        <v/>
      </c>
    </row>
    <row r="89" customFormat="false" ht="15" hidden="false" customHeight="false" outlineLevel="0" collapsed="false">
      <c r="A89" s="25"/>
      <c r="B89" s="1"/>
      <c r="C89" s="1"/>
      <c r="D89" s="1"/>
      <c r="E89" s="1"/>
      <c r="F89" s="21"/>
      <c r="G89" s="22" t="str">
        <f aca="false">IF(F89="","",IF(B89="Despesa",-F89,F89))</f>
        <v/>
      </c>
      <c r="H89" s="1"/>
      <c r="I89" s="35" t="str">
        <f aca="false">IF(A89="","",TEXT(A89,"yyyy-mm"))</f>
        <v/>
      </c>
    </row>
    <row r="90" customFormat="false" ht="15" hidden="false" customHeight="false" outlineLevel="0" collapsed="false">
      <c r="A90" s="25"/>
      <c r="B90" s="1"/>
      <c r="C90" s="1"/>
      <c r="D90" s="1"/>
      <c r="E90" s="1"/>
      <c r="F90" s="21"/>
      <c r="G90" s="22" t="str">
        <f aca="false">IF(F90="","",IF(B90="Despesa",-F90,F90))</f>
        <v/>
      </c>
      <c r="H90" s="1"/>
      <c r="I90" s="35" t="str">
        <f aca="false">IF(A90="","",TEXT(A90,"yyyy-mm"))</f>
        <v/>
      </c>
    </row>
    <row r="91" customFormat="false" ht="15" hidden="false" customHeight="false" outlineLevel="0" collapsed="false">
      <c r="A91" s="25"/>
      <c r="B91" s="1"/>
      <c r="C91" s="1"/>
      <c r="D91" s="1"/>
      <c r="E91" s="1"/>
      <c r="F91" s="21"/>
      <c r="G91" s="22" t="str">
        <f aca="false">IF(F91="","",IF(B91="Despesa",-F91,F91))</f>
        <v/>
      </c>
      <c r="H91" s="1"/>
      <c r="I91" s="35" t="str">
        <f aca="false">IF(A91="","",TEXT(A91,"yyyy-mm"))</f>
        <v/>
      </c>
    </row>
    <row r="92" customFormat="false" ht="15" hidden="false" customHeight="false" outlineLevel="0" collapsed="false">
      <c r="A92" s="25"/>
      <c r="B92" s="1"/>
      <c r="C92" s="1"/>
      <c r="D92" s="1"/>
      <c r="E92" s="1"/>
      <c r="F92" s="21"/>
      <c r="G92" s="22" t="str">
        <f aca="false">IF(F92="","",IF(B92="Despesa",-F92,F92))</f>
        <v/>
      </c>
      <c r="H92" s="1"/>
      <c r="I92" s="35" t="str">
        <f aca="false">IF(A92="","",TEXT(A92,"yyyy-mm"))</f>
        <v/>
      </c>
    </row>
    <row r="93" customFormat="false" ht="15" hidden="false" customHeight="false" outlineLevel="0" collapsed="false">
      <c r="A93" s="25"/>
      <c r="B93" s="1"/>
      <c r="C93" s="1"/>
      <c r="D93" s="1"/>
      <c r="E93" s="1"/>
      <c r="F93" s="21"/>
      <c r="G93" s="22" t="str">
        <f aca="false">IF(F93="","",IF(B93="Despesa",-F93,F93))</f>
        <v/>
      </c>
      <c r="H93" s="1"/>
      <c r="I93" s="35" t="str">
        <f aca="false">IF(A93="","",TEXT(A93,"yyyy-mm"))</f>
        <v/>
      </c>
    </row>
    <row r="94" customFormat="false" ht="15" hidden="false" customHeight="false" outlineLevel="0" collapsed="false">
      <c r="A94" s="25"/>
      <c r="B94" s="1"/>
      <c r="C94" s="1"/>
      <c r="D94" s="1"/>
      <c r="E94" s="1"/>
      <c r="F94" s="21"/>
      <c r="G94" s="22" t="str">
        <f aca="false">IF(F94="","",IF(B94="Despesa",-F94,F94))</f>
        <v/>
      </c>
      <c r="H94" s="1"/>
      <c r="I94" s="35" t="str">
        <f aca="false">IF(A94="","",TEXT(A94,"yyyy-mm"))</f>
        <v/>
      </c>
    </row>
    <row r="95" customFormat="false" ht="15" hidden="false" customHeight="false" outlineLevel="0" collapsed="false">
      <c r="A95" s="25"/>
      <c r="B95" s="1"/>
      <c r="C95" s="1"/>
      <c r="D95" s="1"/>
      <c r="E95" s="1"/>
      <c r="F95" s="21"/>
      <c r="G95" s="22" t="str">
        <f aca="false">IF(F95="","",IF(B95="Despesa",-F95,F95))</f>
        <v/>
      </c>
      <c r="H95" s="1"/>
      <c r="I95" s="35" t="str">
        <f aca="false">IF(A95="","",TEXT(A95,"yyyy-mm"))</f>
        <v/>
      </c>
    </row>
    <row r="96" customFormat="false" ht="15" hidden="false" customHeight="false" outlineLevel="0" collapsed="false">
      <c r="A96" s="25"/>
      <c r="B96" s="1"/>
      <c r="C96" s="1"/>
      <c r="D96" s="1"/>
      <c r="E96" s="1"/>
      <c r="F96" s="21"/>
      <c r="G96" s="22" t="str">
        <f aca="false">IF(F96="","",IF(B96="Despesa",-F96,F96))</f>
        <v/>
      </c>
      <c r="H96" s="1"/>
      <c r="I96" s="35" t="str">
        <f aca="false">IF(A96="","",TEXT(A96,"yyyy-mm"))</f>
        <v/>
      </c>
    </row>
    <row r="97" customFormat="false" ht="15" hidden="false" customHeight="false" outlineLevel="0" collapsed="false">
      <c r="A97" s="25"/>
      <c r="B97" s="1"/>
      <c r="C97" s="1"/>
      <c r="D97" s="1"/>
      <c r="E97" s="1"/>
      <c r="F97" s="21"/>
      <c r="G97" s="22" t="str">
        <f aca="false">IF(F97="","",IF(B97="Despesa",-F97,F97))</f>
        <v/>
      </c>
      <c r="H97" s="1"/>
      <c r="I97" s="35" t="str">
        <f aca="false">IF(A97="","",TEXT(A97,"yyyy-mm"))</f>
        <v/>
      </c>
    </row>
    <row r="98" customFormat="false" ht="15" hidden="false" customHeight="false" outlineLevel="0" collapsed="false">
      <c r="A98" s="25"/>
      <c r="B98" s="1"/>
      <c r="C98" s="1"/>
      <c r="D98" s="1"/>
      <c r="E98" s="1"/>
      <c r="F98" s="21"/>
      <c r="G98" s="22" t="str">
        <f aca="false">IF(F98="","",IF(B98="Despesa",-F98,F98))</f>
        <v/>
      </c>
      <c r="H98" s="1"/>
      <c r="I98" s="35" t="str">
        <f aca="false">IF(A98="","",TEXT(A98,"yyyy-mm"))</f>
        <v/>
      </c>
    </row>
    <row r="99" customFormat="false" ht="15" hidden="false" customHeight="false" outlineLevel="0" collapsed="false">
      <c r="A99" s="25"/>
      <c r="B99" s="1"/>
      <c r="C99" s="1"/>
      <c r="D99" s="1"/>
      <c r="E99" s="1"/>
      <c r="F99" s="21"/>
      <c r="G99" s="22" t="str">
        <f aca="false">IF(F99="","",IF(B99="Despesa",-F99,F99))</f>
        <v/>
      </c>
      <c r="H99" s="1"/>
      <c r="I99" s="35" t="str">
        <f aca="false">IF(A99="","",TEXT(A99,"yyyy-mm"))</f>
        <v/>
      </c>
    </row>
    <row r="100" customFormat="false" ht="15" hidden="false" customHeight="false" outlineLevel="0" collapsed="false">
      <c r="A100" s="25"/>
      <c r="B100" s="1"/>
      <c r="C100" s="1"/>
      <c r="D100" s="1"/>
      <c r="E100" s="1"/>
      <c r="F100" s="21"/>
      <c r="G100" s="22" t="str">
        <f aca="false">IF(F100="","",IF(B100="Despesa",-F100,F100))</f>
        <v/>
      </c>
      <c r="H100" s="1"/>
      <c r="I100" s="35" t="str">
        <f aca="false">IF(A100="","",TEXT(A100,"yyyy-mm"))</f>
        <v/>
      </c>
    </row>
    <row r="101" customFormat="false" ht="15" hidden="false" customHeight="false" outlineLevel="0" collapsed="false">
      <c r="A101" s="25"/>
      <c r="B101" s="1"/>
      <c r="C101" s="1"/>
      <c r="D101" s="1"/>
      <c r="E101" s="1"/>
      <c r="F101" s="21"/>
      <c r="G101" s="22" t="str">
        <f aca="false">IF(F101="","",IF(B101="Despesa",-F101,F101))</f>
        <v/>
      </c>
      <c r="H101" s="1"/>
      <c r="I101" s="35" t="str">
        <f aca="false">IF(A101="","",TEXT(A101,"yyyy-mm"))</f>
        <v/>
      </c>
    </row>
    <row r="102" customFormat="false" ht="15" hidden="false" customHeight="false" outlineLevel="0" collapsed="false">
      <c r="A102" s="25"/>
      <c r="B102" s="1"/>
      <c r="C102" s="1"/>
      <c r="D102" s="1"/>
      <c r="E102" s="1"/>
      <c r="F102" s="21"/>
      <c r="G102" s="22" t="str">
        <f aca="false">IF(F102="","",IF(B102="Despesa",-F102,F102))</f>
        <v/>
      </c>
      <c r="H102" s="1"/>
      <c r="I102" s="35" t="str">
        <f aca="false">IF(A102="","",TEXT(A102,"yyyy-mm"))</f>
        <v/>
      </c>
    </row>
    <row r="103" customFormat="false" ht="15" hidden="false" customHeight="false" outlineLevel="0" collapsed="false">
      <c r="A103" s="25"/>
      <c r="B103" s="1"/>
      <c r="C103" s="1"/>
      <c r="D103" s="1"/>
      <c r="E103" s="1"/>
      <c r="F103" s="21"/>
      <c r="G103" s="22" t="str">
        <f aca="false">IF(F103="","",IF(B103="Despesa",-F103,F103))</f>
        <v/>
      </c>
      <c r="H103" s="1"/>
      <c r="I103" s="35" t="str">
        <f aca="false">IF(A103="","",TEXT(A103,"yyyy-mm"))</f>
        <v/>
      </c>
    </row>
    <row r="104" customFormat="false" ht="15" hidden="false" customHeight="false" outlineLevel="0" collapsed="false">
      <c r="A104" s="25"/>
      <c r="B104" s="1"/>
      <c r="C104" s="1"/>
      <c r="D104" s="1"/>
      <c r="E104" s="1"/>
      <c r="F104" s="21"/>
      <c r="G104" s="22" t="str">
        <f aca="false">IF(F104="","",IF(B104="Despesa",-F104,F104))</f>
        <v/>
      </c>
      <c r="H104" s="1"/>
      <c r="I104" s="35" t="str">
        <f aca="false">IF(A104="","",TEXT(A104,"yyyy-mm"))</f>
        <v/>
      </c>
    </row>
    <row r="105" customFormat="false" ht="15" hidden="false" customHeight="false" outlineLevel="0" collapsed="false">
      <c r="A105" s="25"/>
      <c r="B105" s="1"/>
      <c r="C105" s="1"/>
      <c r="D105" s="1"/>
      <c r="E105" s="1"/>
      <c r="F105" s="21"/>
      <c r="G105" s="22" t="str">
        <f aca="false">IF(F105="","",IF(B105="Despesa",-F105,F105))</f>
        <v/>
      </c>
      <c r="H105" s="1"/>
      <c r="I105" s="35" t="str">
        <f aca="false">IF(A105="","",TEXT(A105,"yyyy-mm"))</f>
        <v/>
      </c>
    </row>
    <row r="106" customFormat="false" ht="15" hidden="false" customHeight="false" outlineLevel="0" collapsed="false">
      <c r="A106" s="25"/>
      <c r="B106" s="1"/>
      <c r="C106" s="1"/>
      <c r="D106" s="1"/>
      <c r="E106" s="1"/>
      <c r="F106" s="21"/>
      <c r="G106" s="22" t="str">
        <f aca="false">IF(F106="","",IF(B106="Despesa",-F106,F106))</f>
        <v/>
      </c>
      <c r="H106" s="1"/>
      <c r="I106" s="35" t="str">
        <f aca="false">IF(A106="","",TEXT(A106,"yyyy-mm"))</f>
        <v/>
      </c>
    </row>
    <row r="107" customFormat="false" ht="15" hidden="false" customHeight="false" outlineLevel="0" collapsed="false">
      <c r="A107" s="25"/>
      <c r="B107" s="1"/>
      <c r="C107" s="1"/>
      <c r="D107" s="1"/>
      <c r="E107" s="1"/>
      <c r="F107" s="21"/>
      <c r="G107" s="22" t="str">
        <f aca="false">IF(F107="","",IF(B107="Despesa",-F107,F107))</f>
        <v/>
      </c>
      <c r="H107" s="1"/>
      <c r="I107" s="35" t="str">
        <f aca="false">IF(A107="","",TEXT(A107,"yyyy-mm"))</f>
        <v/>
      </c>
    </row>
    <row r="108" customFormat="false" ht="15" hidden="false" customHeight="false" outlineLevel="0" collapsed="false">
      <c r="A108" s="25"/>
      <c r="B108" s="1"/>
      <c r="C108" s="1"/>
      <c r="D108" s="1"/>
      <c r="E108" s="1"/>
      <c r="F108" s="21"/>
      <c r="G108" s="22" t="str">
        <f aca="false">IF(F108="","",IF(B108="Despesa",-F108,F108))</f>
        <v/>
      </c>
      <c r="H108" s="1"/>
      <c r="I108" s="35" t="str">
        <f aca="false">IF(A108="","",TEXT(A108,"yyyy-mm"))</f>
        <v/>
      </c>
    </row>
    <row r="109" customFormat="false" ht="15" hidden="false" customHeight="false" outlineLevel="0" collapsed="false">
      <c r="A109" s="25"/>
      <c r="B109" s="1"/>
      <c r="C109" s="1"/>
      <c r="D109" s="1"/>
      <c r="E109" s="1"/>
      <c r="F109" s="21"/>
      <c r="G109" s="22" t="str">
        <f aca="false">IF(F109="","",IF(B109="Despesa",-F109,F109))</f>
        <v/>
      </c>
      <c r="H109" s="1"/>
      <c r="I109" s="35" t="str">
        <f aca="false">IF(A109="","",TEXT(A109,"yyyy-mm"))</f>
        <v/>
      </c>
    </row>
    <row r="110" customFormat="false" ht="15" hidden="false" customHeight="false" outlineLevel="0" collapsed="false">
      <c r="A110" s="25"/>
      <c r="B110" s="1"/>
      <c r="C110" s="1"/>
      <c r="D110" s="1"/>
      <c r="E110" s="1"/>
      <c r="F110" s="21"/>
      <c r="G110" s="22" t="str">
        <f aca="false">IF(F110="","",IF(B110="Despesa",-F110,F110))</f>
        <v/>
      </c>
      <c r="H110" s="1"/>
      <c r="I110" s="35" t="str">
        <f aca="false">IF(A110="","",TEXT(A110,"yyyy-mm"))</f>
        <v/>
      </c>
    </row>
    <row r="111" customFormat="false" ht="15" hidden="false" customHeight="false" outlineLevel="0" collapsed="false">
      <c r="A111" s="25"/>
      <c r="B111" s="1"/>
      <c r="C111" s="1"/>
      <c r="D111" s="1"/>
      <c r="E111" s="1"/>
      <c r="F111" s="21"/>
      <c r="G111" s="22" t="str">
        <f aca="false">IF(F111="","",IF(B111="Despesa",-F111,F111))</f>
        <v/>
      </c>
      <c r="H111" s="1"/>
      <c r="I111" s="35" t="str">
        <f aca="false">IF(A111="","",TEXT(A111,"yyyy-mm"))</f>
        <v/>
      </c>
    </row>
    <row r="112" customFormat="false" ht="15" hidden="false" customHeight="false" outlineLevel="0" collapsed="false">
      <c r="A112" s="25"/>
      <c r="B112" s="1"/>
      <c r="C112" s="1"/>
      <c r="D112" s="1"/>
      <c r="E112" s="1"/>
      <c r="F112" s="21"/>
      <c r="G112" s="22" t="str">
        <f aca="false">IF(F112="","",IF(B112="Despesa",-F112,F112))</f>
        <v/>
      </c>
      <c r="H112" s="1"/>
      <c r="I112" s="35" t="str">
        <f aca="false">IF(A112="","",TEXT(A112,"yyyy-mm"))</f>
        <v/>
      </c>
    </row>
    <row r="113" customFormat="false" ht="15" hidden="false" customHeight="false" outlineLevel="0" collapsed="false">
      <c r="A113" s="25"/>
      <c r="B113" s="1"/>
      <c r="C113" s="1"/>
      <c r="D113" s="1"/>
      <c r="E113" s="1"/>
      <c r="F113" s="21"/>
      <c r="G113" s="22" t="str">
        <f aca="false">IF(F113="","",IF(B113="Despesa",-F113,F113))</f>
        <v/>
      </c>
      <c r="H113" s="1"/>
      <c r="I113" s="35" t="str">
        <f aca="false">IF(A113="","",TEXT(A113,"yyyy-mm"))</f>
        <v/>
      </c>
    </row>
    <row r="114" customFormat="false" ht="15" hidden="false" customHeight="false" outlineLevel="0" collapsed="false">
      <c r="A114" s="25"/>
      <c r="B114" s="1"/>
      <c r="C114" s="1"/>
      <c r="D114" s="1"/>
      <c r="E114" s="1"/>
      <c r="F114" s="21"/>
      <c r="G114" s="22" t="str">
        <f aca="false">IF(F114="","",IF(B114="Despesa",-F114,F114))</f>
        <v/>
      </c>
      <c r="H114" s="1"/>
      <c r="I114" s="35" t="str">
        <f aca="false">IF(A114="","",TEXT(A114,"yyyy-mm"))</f>
        <v/>
      </c>
    </row>
    <row r="115" customFormat="false" ht="15" hidden="false" customHeight="false" outlineLevel="0" collapsed="false">
      <c r="A115" s="25"/>
      <c r="B115" s="1"/>
      <c r="C115" s="1"/>
      <c r="D115" s="1"/>
      <c r="E115" s="1"/>
      <c r="F115" s="21"/>
      <c r="G115" s="22" t="str">
        <f aca="false">IF(F115="","",IF(B115="Despesa",-F115,F115))</f>
        <v/>
      </c>
      <c r="H115" s="1"/>
      <c r="I115" s="35" t="str">
        <f aca="false">IF(A115="","",TEXT(A115,"yyyy-mm"))</f>
        <v/>
      </c>
    </row>
    <row r="116" customFormat="false" ht="15" hidden="false" customHeight="false" outlineLevel="0" collapsed="false">
      <c r="A116" s="25"/>
      <c r="B116" s="1"/>
      <c r="C116" s="1"/>
      <c r="D116" s="1"/>
      <c r="E116" s="1"/>
      <c r="F116" s="21"/>
      <c r="G116" s="22" t="str">
        <f aca="false">IF(F116="","",IF(B116="Despesa",-F116,F116))</f>
        <v/>
      </c>
      <c r="H116" s="1"/>
      <c r="I116" s="35" t="str">
        <f aca="false">IF(A116="","",TEXT(A116,"yyyy-mm"))</f>
        <v/>
      </c>
    </row>
    <row r="117" customFormat="false" ht="15" hidden="false" customHeight="false" outlineLevel="0" collapsed="false">
      <c r="A117" s="25"/>
      <c r="B117" s="1"/>
      <c r="C117" s="1"/>
      <c r="D117" s="1"/>
      <c r="E117" s="1"/>
      <c r="F117" s="21"/>
      <c r="G117" s="22" t="str">
        <f aca="false">IF(F117="","",IF(B117="Despesa",-F117,F117))</f>
        <v/>
      </c>
      <c r="H117" s="1"/>
      <c r="I117" s="35" t="str">
        <f aca="false">IF(A117="","",TEXT(A117,"yyyy-mm"))</f>
        <v/>
      </c>
    </row>
    <row r="118" customFormat="false" ht="15" hidden="false" customHeight="false" outlineLevel="0" collapsed="false">
      <c r="A118" s="25"/>
      <c r="B118" s="1"/>
      <c r="C118" s="1"/>
      <c r="D118" s="1"/>
      <c r="E118" s="1"/>
      <c r="F118" s="21"/>
      <c r="G118" s="22" t="str">
        <f aca="false">IF(F118="","",IF(B118="Despesa",-F118,F118))</f>
        <v/>
      </c>
      <c r="H118" s="1"/>
      <c r="I118" s="35" t="str">
        <f aca="false">IF(A118="","",TEXT(A118,"yyyy-mm"))</f>
        <v/>
      </c>
    </row>
    <row r="119" customFormat="false" ht="15" hidden="false" customHeight="false" outlineLevel="0" collapsed="false">
      <c r="A119" s="25"/>
      <c r="B119" s="1"/>
      <c r="C119" s="1"/>
      <c r="D119" s="1"/>
      <c r="E119" s="1"/>
      <c r="F119" s="21"/>
      <c r="G119" s="22" t="str">
        <f aca="false">IF(F119="","",IF(B119="Despesa",-F119,F119))</f>
        <v/>
      </c>
      <c r="H119" s="1"/>
      <c r="I119" s="35" t="str">
        <f aca="false">IF(A119="","",TEXT(A119,"yyyy-mm"))</f>
        <v/>
      </c>
    </row>
    <row r="120" customFormat="false" ht="15" hidden="false" customHeight="false" outlineLevel="0" collapsed="false">
      <c r="A120" s="25"/>
      <c r="B120" s="1"/>
      <c r="C120" s="1"/>
      <c r="D120" s="1"/>
      <c r="E120" s="1"/>
      <c r="F120" s="21"/>
      <c r="G120" s="22" t="str">
        <f aca="false">IF(F120="","",IF(B120="Despesa",-F120,F120))</f>
        <v/>
      </c>
      <c r="H120" s="1"/>
      <c r="I120" s="35" t="str">
        <f aca="false">IF(A120="","",TEXT(A120,"yyyy-mm"))</f>
        <v/>
      </c>
    </row>
    <row r="121" customFormat="false" ht="15" hidden="false" customHeight="false" outlineLevel="0" collapsed="false">
      <c r="A121" s="25"/>
      <c r="B121" s="1"/>
      <c r="C121" s="1"/>
      <c r="D121" s="1"/>
      <c r="E121" s="1"/>
      <c r="F121" s="21"/>
      <c r="G121" s="22" t="str">
        <f aca="false">IF(F121="","",IF(B121="Despesa",-F121,F121))</f>
        <v/>
      </c>
      <c r="H121" s="1"/>
      <c r="I121" s="35" t="str">
        <f aca="false">IF(A121="","",TEXT(A121,"yyyy-mm"))</f>
        <v/>
      </c>
    </row>
    <row r="122" customFormat="false" ht="15" hidden="false" customHeight="false" outlineLevel="0" collapsed="false">
      <c r="A122" s="25"/>
      <c r="B122" s="1"/>
      <c r="C122" s="1"/>
      <c r="D122" s="1"/>
      <c r="E122" s="1"/>
      <c r="F122" s="21"/>
      <c r="G122" s="22" t="str">
        <f aca="false">IF(F122="","",IF(B122="Despesa",-F122,F122))</f>
        <v/>
      </c>
      <c r="H122" s="1"/>
      <c r="I122" s="35" t="str">
        <f aca="false">IF(A122="","",TEXT(A122,"yyyy-mm"))</f>
        <v/>
      </c>
    </row>
    <row r="123" customFormat="false" ht="15" hidden="false" customHeight="false" outlineLevel="0" collapsed="false">
      <c r="A123" s="25"/>
      <c r="B123" s="1"/>
      <c r="C123" s="1"/>
      <c r="D123" s="1"/>
      <c r="E123" s="1"/>
      <c r="F123" s="21"/>
      <c r="G123" s="22" t="str">
        <f aca="false">IF(F123="","",IF(B123="Despesa",-F123,F123))</f>
        <v/>
      </c>
      <c r="H123" s="1"/>
      <c r="I123" s="35" t="str">
        <f aca="false">IF(A123="","",TEXT(A123,"yyyy-mm"))</f>
        <v/>
      </c>
    </row>
    <row r="124" customFormat="false" ht="15" hidden="false" customHeight="false" outlineLevel="0" collapsed="false">
      <c r="A124" s="25"/>
      <c r="B124" s="1"/>
      <c r="C124" s="1"/>
      <c r="D124" s="1"/>
      <c r="E124" s="1"/>
      <c r="F124" s="21"/>
      <c r="G124" s="22" t="str">
        <f aca="false">IF(F124="","",IF(B124="Despesa",-F124,F124))</f>
        <v/>
      </c>
      <c r="H124" s="1"/>
      <c r="I124" s="35" t="str">
        <f aca="false">IF(A124="","",TEXT(A124,"yyyy-mm"))</f>
        <v/>
      </c>
    </row>
    <row r="125" customFormat="false" ht="15" hidden="false" customHeight="false" outlineLevel="0" collapsed="false">
      <c r="A125" s="25"/>
      <c r="B125" s="1"/>
      <c r="C125" s="1"/>
      <c r="D125" s="1"/>
      <c r="E125" s="1"/>
      <c r="F125" s="21"/>
      <c r="G125" s="22" t="str">
        <f aca="false">IF(F125="","",IF(B125="Despesa",-F125,F125))</f>
        <v/>
      </c>
      <c r="H125" s="1"/>
      <c r="I125" s="35" t="str">
        <f aca="false">IF(A125="","",TEXT(A125,"yyyy-mm"))</f>
        <v/>
      </c>
    </row>
    <row r="126" customFormat="false" ht="15" hidden="false" customHeight="false" outlineLevel="0" collapsed="false">
      <c r="A126" s="25"/>
      <c r="B126" s="1"/>
      <c r="C126" s="1"/>
      <c r="D126" s="1"/>
      <c r="E126" s="1"/>
      <c r="F126" s="21"/>
      <c r="G126" s="22" t="str">
        <f aca="false">IF(F126="","",IF(B126="Despesa",-F126,F126))</f>
        <v/>
      </c>
      <c r="H126" s="1"/>
      <c r="I126" s="35" t="str">
        <f aca="false">IF(A126="","",TEXT(A126,"yyyy-mm"))</f>
        <v/>
      </c>
    </row>
    <row r="127" customFormat="false" ht="15" hidden="false" customHeight="false" outlineLevel="0" collapsed="false">
      <c r="A127" s="25"/>
      <c r="B127" s="1"/>
      <c r="C127" s="1"/>
      <c r="D127" s="1"/>
      <c r="E127" s="1"/>
      <c r="F127" s="21"/>
      <c r="G127" s="22" t="str">
        <f aca="false">IF(F127="","",IF(B127="Despesa",-F127,F127))</f>
        <v/>
      </c>
      <c r="H127" s="1"/>
      <c r="I127" s="35" t="str">
        <f aca="false">IF(A127="","",TEXT(A127,"yyyy-mm"))</f>
        <v/>
      </c>
    </row>
    <row r="128" customFormat="false" ht="15" hidden="false" customHeight="false" outlineLevel="0" collapsed="false">
      <c r="A128" s="25"/>
      <c r="B128" s="1"/>
      <c r="C128" s="1"/>
      <c r="D128" s="1"/>
      <c r="E128" s="1"/>
      <c r="F128" s="21"/>
      <c r="G128" s="22" t="str">
        <f aca="false">IF(F128="","",IF(B128="Despesa",-F128,F128))</f>
        <v/>
      </c>
      <c r="H128" s="1"/>
      <c r="I128" s="35" t="str">
        <f aca="false">IF(A128="","",TEXT(A128,"yyyy-mm"))</f>
        <v/>
      </c>
    </row>
    <row r="129" customFormat="false" ht="15" hidden="false" customHeight="false" outlineLevel="0" collapsed="false">
      <c r="A129" s="25"/>
      <c r="B129" s="1"/>
      <c r="C129" s="1"/>
      <c r="D129" s="1"/>
      <c r="E129" s="1"/>
      <c r="F129" s="21"/>
      <c r="G129" s="22" t="str">
        <f aca="false">IF(F129="","",IF(B129="Despesa",-F129,F129))</f>
        <v/>
      </c>
      <c r="H129" s="1"/>
      <c r="I129" s="35" t="str">
        <f aca="false">IF(A129="","",TEXT(A129,"yyyy-mm"))</f>
        <v/>
      </c>
    </row>
    <row r="130" customFormat="false" ht="15" hidden="false" customHeight="false" outlineLevel="0" collapsed="false">
      <c r="A130" s="25"/>
      <c r="B130" s="1"/>
      <c r="C130" s="1"/>
      <c r="D130" s="1"/>
      <c r="E130" s="1"/>
      <c r="F130" s="21"/>
      <c r="G130" s="22" t="str">
        <f aca="false">IF(F130="","",IF(B130="Despesa",-F130,F130))</f>
        <v/>
      </c>
      <c r="H130" s="1"/>
      <c r="I130" s="35" t="str">
        <f aca="false">IF(A130="","",TEXT(A130,"yyyy-mm"))</f>
        <v/>
      </c>
    </row>
    <row r="131" customFormat="false" ht="15" hidden="false" customHeight="false" outlineLevel="0" collapsed="false">
      <c r="A131" s="25"/>
      <c r="B131" s="1"/>
      <c r="C131" s="1"/>
      <c r="D131" s="1"/>
      <c r="E131" s="1"/>
      <c r="F131" s="21"/>
      <c r="G131" s="22" t="str">
        <f aca="false">IF(F131="","",IF(B131="Despesa",-F131,F131))</f>
        <v/>
      </c>
      <c r="H131" s="1"/>
      <c r="I131" s="35" t="str">
        <f aca="false">IF(A131="","",TEXT(A131,"yyyy-mm"))</f>
        <v/>
      </c>
    </row>
    <row r="132" customFormat="false" ht="15" hidden="false" customHeight="false" outlineLevel="0" collapsed="false">
      <c r="A132" s="25"/>
      <c r="B132" s="1"/>
      <c r="C132" s="1"/>
      <c r="D132" s="1"/>
      <c r="E132" s="1"/>
      <c r="F132" s="21"/>
      <c r="G132" s="22" t="str">
        <f aca="false">IF(F132="","",IF(B132="Despesa",-F132,F132))</f>
        <v/>
      </c>
      <c r="H132" s="1"/>
      <c r="I132" s="35" t="str">
        <f aca="false">IF(A132="","",TEXT(A132,"yyyy-mm"))</f>
        <v/>
      </c>
    </row>
    <row r="133" customFormat="false" ht="15" hidden="false" customHeight="false" outlineLevel="0" collapsed="false">
      <c r="A133" s="25"/>
      <c r="B133" s="1"/>
      <c r="C133" s="1"/>
      <c r="D133" s="1"/>
      <c r="E133" s="1"/>
      <c r="F133" s="21"/>
      <c r="G133" s="22" t="str">
        <f aca="false">IF(F133="","",IF(B133="Despesa",-F133,F133))</f>
        <v/>
      </c>
      <c r="H133" s="1"/>
      <c r="I133" s="35" t="str">
        <f aca="false">IF(A133="","",TEXT(A133,"yyyy-mm"))</f>
        <v/>
      </c>
    </row>
    <row r="134" customFormat="false" ht="15" hidden="false" customHeight="false" outlineLevel="0" collapsed="false">
      <c r="A134" s="25"/>
      <c r="B134" s="1"/>
      <c r="C134" s="1"/>
      <c r="D134" s="1"/>
      <c r="E134" s="1"/>
      <c r="F134" s="21"/>
      <c r="G134" s="22" t="str">
        <f aca="false">IF(F134="","",IF(B134="Despesa",-F134,F134))</f>
        <v/>
      </c>
      <c r="H134" s="1"/>
      <c r="I134" s="35" t="str">
        <f aca="false">IF(A134="","",TEXT(A134,"yyyy-mm"))</f>
        <v/>
      </c>
    </row>
    <row r="135" customFormat="false" ht="15" hidden="false" customHeight="false" outlineLevel="0" collapsed="false">
      <c r="A135" s="25"/>
      <c r="B135" s="1"/>
      <c r="C135" s="1"/>
      <c r="D135" s="1"/>
      <c r="E135" s="1"/>
      <c r="F135" s="21"/>
      <c r="G135" s="22" t="str">
        <f aca="false">IF(F135="","",IF(B135="Despesa",-F135,F135))</f>
        <v/>
      </c>
      <c r="H135" s="1"/>
      <c r="I135" s="35" t="str">
        <f aca="false">IF(A135="","",TEXT(A135,"yyyy-mm"))</f>
        <v/>
      </c>
    </row>
    <row r="136" customFormat="false" ht="15" hidden="false" customHeight="false" outlineLevel="0" collapsed="false">
      <c r="A136" s="25"/>
      <c r="B136" s="1"/>
      <c r="C136" s="1"/>
      <c r="D136" s="1"/>
      <c r="E136" s="1"/>
      <c r="F136" s="21"/>
      <c r="G136" s="22" t="str">
        <f aca="false">IF(F136="","",IF(B136="Despesa",-F136,F136))</f>
        <v/>
      </c>
      <c r="H136" s="1"/>
      <c r="I136" s="35" t="str">
        <f aca="false">IF(A136="","",TEXT(A136,"yyyy-mm"))</f>
        <v/>
      </c>
    </row>
    <row r="137" customFormat="false" ht="15" hidden="false" customHeight="false" outlineLevel="0" collapsed="false">
      <c r="A137" s="25"/>
      <c r="B137" s="1"/>
      <c r="C137" s="1"/>
      <c r="D137" s="1"/>
      <c r="E137" s="1"/>
      <c r="F137" s="21"/>
      <c r="G137" s="22" t="str">
        <f aca="false">IF(F137="","",IF(B137="Despesa",-F137,F137))</f>
        <v/>
      </c>
      <c r="H137" s="1"/>
      <c r="I137" s="35" t="str">
        <f aca="false">IF(A137="","",TEXT(A137,"yyyy-mm"))</f>
        <v/>
      </c>
    </row>
    <row r="138" customFormat="false" ht="15" hidden="false" customHeight="false" outlineLevel="0" collapsed="false">
      <c r="A138" s="25"/>
      <c r="B138" s="1"/>
      <c r="C138" s="1"/>
      <c r="D138" s="1"/>
      <c r="E138" s="1"/>
      <c r="F138" s="21"/>
      <c r="G138" s="22" t="str">
        <f aca="false">IF(F138="","",IF(B138="Despesa",-F138,F138))</f>
        <v/>
      </c>
      <c r="H138" s="1"/>
      <c r="I138" s="35" t="str">
        <f aca="false">IF(A138="","",TEXT(A138,"yyyy-mm"))</f>
        <v/>
      </c>
    </row>
    <row r="139" customFormat="false" ht="15" hidden="false" customHeight="false" outlineLevel="0" collapsed="false">
      <c r="A139" s="25"/>
      <c r="B139" s="1"/>
      <c r="C139" s="1"/>
      <c r="D139" s="1"/>
      <c r="E139" s="1"/>
      <c r="F139" s="21"/>
      <c r="G139" s="22" t="str">
        <f aca="false">IF(F139="","",IF(B139="Despesa",-F139,F139))</f>
        <v/>
      </c>
      <c r="H139" s="1"/>
      <c r="I139" s="35" t="str">
        <f aca="false">IF(A139="","",TEXT(A139,"yyyy-mm"))</f>
        <v/>
      </c>
    </row>
    <row r="140" customFormat="false" ht="15" hidden="false" customHeight="false" outlineLevel="0" collapsed="false">
      <c r="A140" s="25"/>
      <c r="B140" s="1"/>
      <c r="C140" s="1"/>
      <c r="D140" s="1"/>
      <c r="E140" s="1"/>
      <c r="F140" s="21"/>
      <c r="G140" s="22" t="str">
        <f aca="false">IF(F140="","",IF(B140="Despesa",-F140,F140))</f>
        <v/>
      </c>
      <c r="H140" s="1"/>
      <c r="I140" s="35" t="str">
        <f aca="false">IF(A140="","",TEXT(A140,"yyyy-mm"))</f>
        <v/>
      </c>
    </row>
    <row r="141" customFormat="false" ht="15" hidden="false" customHeight="false" outlineLevel="0" collapsed="false">
      <c r="A141" s="25"/>
      <c r="B141" s="1"/>
      <c r="C141" s="1"/>
      <c r="D141" s="1"/>
      <c r="E141" s="1"/>
      <c r="F141" s="21"/>
      <c r="G141" s="22" t="str">
        <f aca="false">IF(F141="","",IF(B141="Despesa",-F141,F141))</f>
        <v/>
      </c>
      <c r="H141" s="1"/>
      <c r="I141" s="35" t="str">
        <f aca="false">IF(A141="","",TEXT(A141,"yyyy-mm"))</f>
        <v/>
      </c>
    </row>
    <row r="142" customFormat="false" ht="15" hidden="false" customHeight="false" outlineLevel="0" collapsed="false">
      <c r="A142" s="25"/>
      <c r="B142" s="1"/>
      <c r="C142" s="1"/>
      <c r="D142" s="1"/>
      <c r="E142" s="1"/>
      <c r="F142" s="21"/>
      <c r="G142" s="22" t="str">
        <f aca="false">IF(F142="","",IF(B142="Despesa",-F142,F142))</f>
        <v/>
      </c>
      <c r="H142" s="1"/>
      <c r="I142" s="35" t="str">
        <f aca="false">IF(A142="","",TEXT(A142,"yyyy-mm"))</f>
        <v/>
      </c>
    </row>
    <row r="143" customFormat="false" ht="15" hidden="false" customHeight="false" outlineLevel="0" collapsed="false">
      <c r="A143" s="25"/>
      <c r="B143" s="1"/>
      <c r="C143" s="1"/>
      <c r="D143" s="1"/>
      <c r="E143" s="1"/>
      <c r="F143" s="21"/>
      <c r="G143" s="22" t="str">
        <f aca="false">IF(F143="","",IF(B143="Despesa",-F143,F143))</f>
        <v/>
      </c>
      <c r="H143" s="1"/>
      <c r="I143" s="35" t="str">
        <f aca="false">IF(A143="","",TEXT(A143,"yyyy-mm"))</f>
        <v/>
      </c>
    </row>
    <row r="144" customFormat="false" ht="15" hidden="false" customHeight="false" outlineLevel="0" collapsed="false">
      <c r="A144" s="25"/>
      <c r="B144" s="1"/>
      <c r="C144" s="1"/>
      <c r="D144" s="1"/>
      <c r="E144" s="1"/>
      <c r="F144" s="21"/>
      <c r="G144" s="22" t="str">
        <f aca="false">IF(F144="","",IF(B144="Despesa",-F144,F144))</f>
        <v/>
      </c>
      <c r="H144" s="1"/>
      <c r="I144" s="35" t="str">
        <f aca="false">IF(A144="","",TEXT(A144,"yyyy-mm"))</f>
        <v/>
      </c>
    </row>
    <row r="145" customFormat="false" ht="15" hidden="false" customHeight="false" outlineLevel="0" collapsed="false">
      <c r="A145" s="25"/>
      <c r="B145" s="1"/>
      <c r="C145" s="1"/>
      <c r="D145" s="1"/>
      <c r="E145" s="1"/>
      <c r="F145" s="21"/>
      <c r="G145" s="22" t="str">
        <f aca="false">IF(F145="","",IF(B145="Despesa",-F145,F145))</f>
        <v/>
      </c>
      <c r="H145" s="1"/>
      <c r="I145" s="35" t="str">
        <f aca="false">IF(A145="","",TEXT(A145,"yyyy-mm"))</f>
        <v/>
      </c>
    </row>
    <row r="146" customFormat="false" ht="15" hidden="false" customHeight="false" outlineLevel="0" collapsed="false">
      <c r="A146" s="25"/>
      <c r="B146" s="1"/>
      <c r="C146" s="1"/>
      <c r="D146" s="1"/>
      <c r="E146" s="1"/>
      <c r="F146" s="21"/>
      <c r="G146" s="22" t="str">
        <f aca="false">IF(F146="","",IF(B146="Despesa",-F146,F146))</f>
        <v/>
      </c>
      <c r="H146" s="1"/>
      <c r="I146" s="35" t="str">
        <f aca="false">IF(A146="","",TEXT(A146,"yyyy-mm"))</f>
        <v/>
      </c>
    </row>
    <row r="147" customFormat="false" ht="15" hidden="false" customHeight="false" outlineLevel="0" collapsed="false">
      <c r="A147" s="25"/>
      <c r="B147" s="1"/>
      <c r="C147" s="1"/>
      <c r="D147" s="1"/>
      <c r="E147" s="1"/>
      <c r="F147" s="21"/>
      <c r="G147" s="22" t="str">
        <f aca="false">IF(F147="","",IF(B147="Despesa",-F147,F147))</f>
        <v/>
      </c>
      <c r="H147" s="1"/>
      <c r="I147" s="35" t="str">
        <f aca="false">IF(A147="","",TEXT(A147,"yyyy-mm"))</f>
        <v/>
      </c>
    </row>
    <row r="148" customFormat="false" ht="15" hidden="false" customHeight="false" outlineLevel="0" collapsed="false">
      <c r="A148" s="25"/>
      <c r="B148" s="1"/>
      <c r="C148" s="1"/>
      <c r="D148" s="1"/>
      <c r="E148" s="1"/>
      <c r="F148" s="21"/>
      <c r="G148" s="22" t="str">
        <f aca="false">IF(F148="","",IF(B148="Despesa",-F148,F148))</f>
        <v/>
      </c>
      <c r="H148" s="1"/>
      <c r="I148" s="35" t="str">
        <f aca="false">IF(A148="","",TEXT(A148,"yyyy-mm"))</f>
        <v/>
      </c>
    </row>
    <row r="149" customFormat="false" ht="15" hidden="false" customHeight="false" outlineLevel="0" collapsed="false">
      <c r="A149" s="25"/>
      <c r="B149" s="1"/>
      <c r="C149" s="1"/>
      <c r="D149" s="1"/>
      <c r="E149" s="1"/>
      <c r="F149" s="21"/>
      <c r="G149" s="22" t="str">
        <f aca="false">IF(F149="","",IF(B149="Despesa",-F149,F149))</f>
        <v/>
      </c>
      <c r="H149" s="1"/>
      <c r="I149" s="35" t="str">
        <f aca="false">IF(A149="","",TEXT(A149,"yyyy-mm"))</f>
        <v/>
      </c>
    </row>
    <row r="150" customFormat="false" ht="15" hidden="false" customHeight="false" outlineLevel="0" collapsed="false">
      <c r="A150" s="25"/>
      <c r="B150" s="1"/>
      <c r="C150" s="1"/>
      <c r="D150" s="1"/>
      <c r="E150" s="1"/>
      <c r="F150" s="21"/>
      <c r="G150" s="22" t="str">
        <f aca="false">IF(F150="","",IF(B150="Despesa",-F150,F150))</f>
        <v/>
      </c>
      <c r="H150" s="1"/>
      <c r="I150" s="35" t="str">
        <f aca="false">IF(A150="","",TEXT(A150,"yyyy-mm"))</f>
        <v/>
      </c>
    </row>
    <row r="151" customFormat="false" ht="15" hidden="false" customHeight="false" outlineLevel="0" collapsed="false">
      <c r="A151" s="25"/>
      <c r="B151" s="1"/>
      <c r="C151" s="1"/>
      <c r="D151" s="1"/>
      <c r="E151" s="1"/>
      <c r="F151" s="21"/>
      <c r="G151" s="22" t="str">
        <f aca="false">IF(F151="","",IF(B151="Despesa",-F151,F151))</f>
        <v/>
      </c>
      <c r="H151" s="1"/>
      <c r="I151" s="35" t="str">
        <f aca="false">IF(A151="","",TEXT(A151,"yyyy-mm"))</f>
        <v/>
      </c>
    </row>
    <row r="152" customFormat="false" ht="15" hidden="false" customHeight="false" outlineLevel="0" collapsed="false">
      <c r="A152" s="25"/>
      <c r="B152" s="1"/>
      <c r="C152" s="1"/>
      <c r="D152" s="1"/>
      <c r="E152" s="1"/>
      <c r="F152" s="21"/>
      <c r="G152" s="22" t="str">
        <f aca="false">IF(F152="","",IF(B152="Despesa",-F152,F152))</f>
        <v/>
      </c>
      <c r="H152" s="1"/>
      <c r="I152" s="35" t="str">
        <f aca="false">IF(A152="","",TEXT(A152,"yyyy-mm"))</f>
        <v/>
      </c>
    </row>
    <row r="153" customFormat="false" ht="15" hidden="false" customHeight="false" outlineLevel="0" collapsed="false">
      <c r="A153" s="25"/>
      <c r="B153" s="1"/>
      <c r="C153" s="1"/>
      <c r="D153" s="1"/>
      <c r="E153" s="1"/>
      <c r="F153" s="21"/>
      <c r="G153" s="22" t="str">
        <f aca="false">IF(F153="","",IF(B153="Despesa",-F153,F153))</f>
        <v/>
      </c>
      <c r="H153" s="1"/>
      <c r="I153" s="35" t="str">
        <f aca="false">IF(A153="","",TEXT(A153,"yyyy-mm"))</f>
        <v/>
      </c>
    </row>
    <row r="154" customFormat="false" ht="15" hidden="false" customHeight="false" outlineLevel="0" collapsed="false">
      <c r="A154" s="25"/>
      <c r="B154" s="1"/>
      <c r="C154" s="1"/>
      <c r="D154" s="1"/>
      <c r="E154" s="1"/>
      <c r="F154" s="21"/>
      <c r="G154" s="22" t="str">
        <f aca="false">IF(F154="","",IF(B154="Despesa",-F154,F154))</f>
        <v/>
      </c>
      <c r="H154" s="1"/>
      <c r="I154" s="35" t="str">
        <f aca="false">IF(A154="","",TEXT(A154,"yyyy-mm"))</f>
        <v/>
      </c>
    </row>
    <row r="155" customFormat="false" ht="15" hidden="false" customHeight="false" outlineLevel="0" collapsed="false">
      <c r="A155" s="25"/>
      <c r="B155" s="1"/>
      <c r="C155" s="1"/>
      <c r="D155" s="1"/>
      <c r="E155" s="1"/>
      <c r="F155" s="21"/>
      <c r="G155" s="22" t="str">
        <f aca="false">IF(F155="","",IF(B155="Despesa",-F155,F155))</f>
        <v/>
      </c>
      <c r="H155" s="1"/>
      <c r="I155" s="35" t="str">
        <f aca="false">IF(A155="","",TEXT(A155,"yyyy-mm"))</f>
        <v/>
      </c>
    </row>
    <row r="156" customFormat="false" ht="15" hidden="false" customHeight="false" outlineLevel="0" collapsed="false">
      <c r="A156" s="25"/>
      <c r="B156" s="1"/>
      <c r="C156" s="1"/>
      <c r="D156" s="1"/>
      <c r="E156" s="1"/>
      <c r="F156" s="21"/>
      <c r="G156" s="22" t="str">
        <f aca="false">IF(F156="","",IF(B156="Despesa",-F156,F156))</f>
        <v/>
      </c>
      <c r="H156" s="1"/>
      <c r="I156" s="35" t="str">
        <f aca="false">IF(A156="","",TEXT(A156,"yyyy-mm"))</f>
        <v/>
      </c>
    </row>
    <row r="157" customFormat="false" ht="15" hidden="false" customHeight="false" outlineLevel="0" collapsed="false">
      <c r="A157" s="25"/>
      <c r="B157" s="1"/>
      <c r="C157" s="1"/>
      <c r="D157" s="1"/>
      <c r="E157" s="1"/>
      <c r="F157" s="21"/>
      <c r="G157" s="22" t="str">
        <f aca="false">IF(F157="","",IF(B157="Despesa",-F157,F157))</f>
        <v/>
      </c>
      <c r="H157" s="1"/>
      <c r="I157" s="35" t="str">
        <f aca="false">IF(A157="","",TEXT(A157,"yyyy-mm"))</f>
        <v/>
      </c>
    </row>
    <row r="158" customFormat="false" ht="15" hidden="false" customHeight="false" outlineLevel="0" collapsed="false">
      <c r="A158" s="25"/>
      <c r="B158" s="1"/>
      <c r="C158" s="1"/>
      <c r="D158" s="1"/>
      <c r="E158" s="1"/>
      <c r="F158" s="21"/>
      <c r="G158" s="22" t="str">
        <f aca="false">IF(F158="","",IF(B158="Despesa",-F158,F158))</f>
        <v/>
      </c>
      <c r="H158" s="1"/>
      <c r="I158" s="35" t="str">
        <f aca="false">IF(A158="","",TEXT(A158,"yyyy-mm"))</f>
        <v/>
      </c>
    </row>
    <row r="159" customFormat="false" ht="15" hidden="false" customHeight="false" outlineLevel="0" collapsed="false">
      <c r="A159" s="25"/>
      <c r="B159" s="1"/>
      <c r="C159" s="1"/>
      <c r="D159" s="1"/>
      <c r="E159" s="1"/>
      <c r="F159" s="21"/>
      <c r="G159" s="22" t="str">
        <f aca="false">IF(F159="","",IF(B159="Despesa",-F159,F159))</f>
        <v/>
      </c>
      <c r="H159" s="1"/>
      <c r="I159" s="35" t="str">
        <f aca="false">IF(A159="","",TEXT(A159,"yyyy-mm"))</f>
        <v/>
      </c>
    </row>
    <row r="160" customFormat="false" ht="15" hidden="false" customHeight="false" outlineLevel="0" collapsed="false">
      <c r="A160" s="25"/>
      <c r="B160" s="1"/>
      <c r="C160" s="1"/>
      <c r="D160" s="1"/>
      <c r="E160" s="1"/>
      <c r="F160" s="21"/>
      <c r="G160" s="22" t="str">
        <f aca="false">IF(F160="","",IF(B160="Despesa",-F160,F160))</f>
        <v/>
      </c>
      <c r="H160" s="1"/>
      <c r="I160" s="35" t="str">
        <f aca="false">IF(A160="","",TEXT(A160,"yyyy-mm"))</f>
        <v/>
      </c>
    </row>
    <row r="161" customFormat="false" ht="15" hidden="false" customHeight="false" outlineLevel="0" collapsed="false">
      <c r="A161" s="25"/>
      <c r="B161" s="1"/>
      <c r="C161" s="1"/>
      <c r="D161" s="1"/>
      <c r="E161" s="1"/>
      <c r="F161" s="21"/>
      <c r="G161" s="22" t="str">
        <f aca="false">IF(F161="","",IF(B161="Despesa",-F161,F161))</f>
        <v/>
      </c>
      <c r="H161" s="1"/>
      <c r="I161" s="35" t="str">
        <f aca="false">IF(A161="","",TEXT(A161,"yyyy-mm"))</f>
        <v/>
      </c>
    </row>
    <row r="162" customFormat="false" ht="15" hidden="false" customHeight="false" outlineLevel="0" collapsed="false">
      <c r="A162" s="25"/>
      <c r="B162" s="1"/>
      <c r="C162" s="1"/>
      <c r="D162" s="1"/>
      <c r="E162" s="1"/>
      <c r="F162" s="21"/>
      <c r="G162" s="22" t="str">
        <f aca="false">IF(F162="","",IF(B162="Despesa",-F162,F162))</f>
        <v/>
      </c>
      <c r="H162" s="1"/>
      <c r="I162" s="35" t="str">
        <f aca="false">IF(A162="","",TEXT(A162,"yyyy-mm"))</f>
        <v/>
      </c>
    </row>
    <row r="163" customFormat="false" ht="15" hidden="false" customHeight="false" outlineLevel="0" collapsed="false">
      <c r="A163" s="25"/>
      <c r="B163" s="1"/>
      <c r="C163" s="1"/>
      <c r="D163" s="1"/>
      <c r="E163" s="1"/>
      <c r="F163" s="21"/>
      <c r="G163" s="22" t="str">
        <f aca="false">IF(F163="","",IF(B163="Despesa",-F163,F163))</f>
        <v/>
      </c>
      <c r="H163" s="1"/>
      <c r="I163" s="35" t="str">
        <f aca="false">IF(A163="","",TEXT(A163,"yyyy-mm"))</f>
        <v/>
      </c>
    </row>
    <row r="164" customFormat="false" ht="15" hidden="false" customHeight="false" outlineLevel="0" collapsed="false">
      <c r="A164" s="25"/>
      <c r="B164" s="1"/>
      <c r="C164" s="1"/>
      <c r="D164" s="1"/>
      <c r="E164" s="1"/>
      <c r="F164" s="21"/>
      <c r="G164" s="22" t="str">
        <f aca="false">IF(F164="","",IF(B164="Despesa",-F164,F164))</f>
        <v/>
      </c>
      <c r="H164" s="1"/>
      <c r="I164" s="35" t="str">
        <f aca="false">IF(A164="","",TEXT(A164,"yyyy-mm"))</f>
        <v/>
      </c>
    </row>
    <row r="165" customFormat="false" ht="15" hidden="false" customHeight="false" outlineLevel="0" collapsed="false">
      <c r="A165" s="25"/>
      <c r="B165" s="1"/>
      <c r="C165" s="1"/>
      <c r="D165" s="1"/>
      <c r="E165" s="1"/>
      <c r="F165" s="21"/>
      <c r="G165" s="22" t="str">
        <f aca="false">IF(F165="","",IF(B165="Despesa",-F165,F165))</f>
        <v/>
      </c>
      <c r="H165" s="1"/>
      <c r="I165" s="35" t="str">
        <f aca="false">IF(A165="","",TEXT(A165,"yyyy-mm"))</f>
        <v/>
      </c>
    </row>
    <row r="166" customFormat="false" ht="15" hidden="false" customHeight="false" outlineLevel="0" collapsed="false">
      <c r="A166" s="25"/>
      <c r="B166" s="1"/>
      <c r="C166" s="1"/>
      <c r="D166" s="1"/>
      <c r="E166" s="1"/>
      <c r="F166" s="21"/>
      <c r="G166" s="22" t="str">
        <f aca="false">IF(F166="","",IF(B166="Despesa",-F166,F166))</f>
        <v/>
      </c>
      <c r="H166" s="1"/>
      <c r="I166" s="35" t="str">
        <f aca="false">IF(A166="","",TEXT(A166,"yyyy-mm"))</f>
        <v/>
      </c>
    </row>
    <row r="167" customFormat="false" ht="15" hidden="false" customHeight="false" outlineLevel="0" collapsed="false">
      <c r="A167" s="25"/>
      <c r="B167" s="1"/>
      <c r="C167" s="1"/>
      <c r="D167" s="1"/>
      <c r="E167" s="1"/>
      <c r="F167" s="21"/>
      <c r="G167" s="22" t="str">
        <f aca="false">IF(F167="","",IF(B167="Despesa",-F167,F167))</f>
        <v/>
      </c>
      <c r="H167" s="1"/>
      <c r="I167" s="35" t="str">
        <f aca="false">IF(A167="","",TEXT(A167,"yyyy-mm"))</f>
        <v/>
      </c>
    </row>
    <row r="168" customFormat="false" ht="15" hidden="false" customHeight="false" outlineLevel="0" collapsed="false">
      <c r="A168" s="25"/>
      <c r="B168" s="1"/>
      <c r="C168" s="1"/>
      <c r="D168" s="1"/>
      <c r="E168" s="1"/>
      <c r="F168" s="21"/>
      <c r="G168" s="22" t="str">
        <f aca="false">IF(F168="","",IF(B168="Despesa",-F168,F168))</f>
        <v/>
      </c>
      <c r="H168" s="1"/>
      <c r="I168" s="35" t="str">
        <f aca="false">IF(A168="","",TEXT(A168,"yyyy-mm"))</f>
        <v/>
      </c>
    </row>
    <row r="169" customFormat="false" ht="15" hidden="false" customHeight="false" outlineLevel="0" collapsed="false">
      <c r="A169" s="25"/>
      <c r="B169" s="1"/>
      <c r="C169" s="1"/>
      <c r="D169" s="1"/>
      <c r="E169" s="1"/>
      <c r="F169" s="21"/>
      <c r="G169" s="22" t="str">
        <f aca="false">IF(F169="","",IF(B169="Despesa",-F169,F169))</f>
        <v/>
      </c>
      <c r="H169" s="1"/>
      <c r="I169" s="35" t="str">
        <f aca="false">IF(A169="","",TEXT(A169,"yyyy-mm"))</f>
        <v/>
      </c>
    </row>
    <row r="170" customFormat="false" ht="15" hidden="false" customHeight="false" outlineLevel="0" collapsed="false">
      <c r="A170" s="25"/>
      <c r="B170" s="1"/>
      <c r="C170" s="1"/>
      <c r="D170" s="1"/>
      <c r="E170" s="1"/>
      <c r="F170" s="21"/>
      <c r="G170" s="22" t="str">
        <f aca="false">IF(F170="","",IF(B170="Despesa",-F170,F170))</f>
        <v/>
      </c>
      <c r="H170" s="1"/>
      <c r="I170" s="35" t="str">
        <f aca="false">IF(A170="","",TEXT(A170,"yyyy-mm"))</f>
        <v/>
      </c>
    </row>
    <row r="171" customFormat="false" ht="15" hidden="false" customHeight="false" outlineLevel="0" collapsed="false">
      <c r="A171" s="25"/>
      <c r="B171" s="1"/>
      <c r="C171" s="1"/>
      <c r="D171" s="1"/>
      <c r="E171" s="1"/>
      <c r="F171" s="21"/>
      <c r="G171" s="22" t="str">
        <f aca="false">IF(F171="","",IF(B171="Despesa",-F171,F171))</f>
        <v/>
      </c>
      <c r="H171" s="1"/>
      <c r="I171" s="35" t="str">
        <f aca="false">IF(A171="","",TEXT(A171,"yyyy-mm"))</f>
        <v/>
      </c>
    </row>
    <row r="172" customFormat="false" ht="15" hidden="false" customHeight="false" outlineLevel="0" collapsed="false">
      <c r="A172" s="25"/>
      <c r="B172" s="1"/>
      <c r="C172" s="1"/>
      <c r="D172" s="1"/>
      <c r="E172" s="1"/>
      <c r="F172" s="21"/>
      <c r="G172" s="22" t="str">
        <f aca="false">IF(F172="","",IF(B172="Despesa",-F172,F172))</f>
        <v/>
      </c>
      <c r="H172" s="1"/>
      <c r="I172" s="35" t="str">
        <f aca="false">IF(A172="","",TEXT(A172,"yyyy-mm"))</f>
        <v/>
      </c>
    </row>
    <row r="173" customFormat="false" ht="15" hidden="false" customHeight="false" outlineLevel="0" collapsed="false">
      <c r="A173" s="25"/>
      <c r="B173" s="1"/>
      <c r="C173" s="1"/>
      <c r="D173" s="1"/>
      <c r="E173" s="1"/>
      <c r="F173" s="21"/>
      <c r="G173" s="22" t="str">
        <f aca="false">IF(F173="","",IF(B173="Despesa",-F173,F173))</f>
        <v/>
      </c>
      <c r="H173" s="1"/>
      <c r="I173" s="35" t="str">
        <f aca="false">IF(A173="","",TEXT(A173,"yyyy-mm"))</f>
        <v/>
      </c>
    </row>
    <row r="174" customFormat="false" ht="15" hidden="false" customHeight="false" outlineLevel="0" collapsed="false">
      <c r="A174" s="25"/>
      <c r="B174" s="1"/>
      <c r="C174" s="1"/>
      <c r="D174" s="1"/>
      <c r="E174" s="1"/>
      <c r="F174" s="21"/>
      <c r="G174" s="22" t="str">
        <f aca="false">IF(F174="","",IF(B174="Despesa",-F174,F174))</f>
        <v/>
      </c>
      <c r="H174" s="1"/>
      <c r="I174" s="35" t="str">
        <f aca="false">IF(A174="","",TEXT(A174,"yyyy-mm"))</f>
        <v/>
      </c>
    </row>
    <row r="175" customFormat="false" ht="15" hidden="false" customHeight="false" outlineLevel="0" collapsed="false">
      <c r="A175" s="25"/>
      <c r="B175" s="1"/>
      <c r="C175" s="1"/>
      <c r="D175" s="1"/>
      <c r="E175" s="1"/>
      <c r="F175" s="21"/>
      <c r="G175" s="22" t="str">
        <f aca="false">IF(F175="","",IF(B175="Despesa",-F175,F175))</f>
        <v/>
      </c>
      <c r="H175" s="1"/>
      <c r="I175" s="35" t="str">
        <f aca="false">IF(A175="","",TEXT(A175,"yyyy-mm"))</f>
        <v/>
      </c>
    </row>
    <row r="176" customFormat="false" ht="15" hidden="false" customHeight="false" outlineLevel="0" collapsed="false">
      <c r="A176" s="25"/>
      <c r="B176" s="1"/>
      <c r="C176" s="1"/>
      <c r="D176" s="1"/>
      <c r="E176" s="1"/>
      <c r="F176" s="21"/>
      <c r="G176" s="22" t="str">
        <f aca="false">IF(F176="","",IF(B176="Despesa",-F176,F176))</f>
        <v/>
      </c>
      <c r="H176" s="1"/>
      <c r="I176" s="35" t="str">
        <f aca="false">IF(A176="","",TEXT(A176,"yyyy-mm"))</f>
        <v/>
      </c>
    </row>
    <row r="177" customFormat="false" ht="15" hidden="false" customHeight="false" outlineLevel="0" collapsed="false">
      <c r="A177" s="25"/>
      <c r="B177" s="1"/>
      <c r="C177" s="1"/>
      <c r="D177" s="1"/>
      <c r="E177" s="1"/>
      <c r="F177" s="21"/>
      <c r="G177" s="22" t="str">
        <f aca="false">IF(F177="","",IF(B177="Despesa",-F177,F177))</f>
        <v/>
      </c>
      <c r="H177" s="1"/>
      <c r="I177" s="35" t="str">
        <f aca="false">IF(A177="","",TEXT(A177,"yyyy-mm"))</f>
        <v/>
      </c>
    </row>
    <row r="178" customFormat="false" ht="15" hidden="false" customHeight="false" outlineLevel="0" collapsed="false">
      <c r="A178" s="25"/>
      <c r="B178" s="1"/>
      <c r="C178" s="1"/>
      <c r="D178" s="1"/>
      <c r="E178" s="1"/>
      <c r="F178" s="21"/>
      <c r="G178" s="22" t="str">
        <f aca="false">IF(F178="","",IF(B178="Despesa",-F178,F178))</f>
        <v/>
      </c>
      <c r="H178" s="1"/>
      <c r="I178" s="35" t="str">
        <f aca="false">IF(A178="","",TEXT(A178,"yyyy-mm"))</f>
        <v/>
      </c>
    </row>
    <row r="179" customFormat="false" ht="15" hidden="false" customHeight="false" outlineLevel="0" collapsed="false">
      <c r="A179" s="25"/>
      <c r="B179" s="1"/>
      <c r="C179" s="1"/>
      <c r="D179" s="1"/>
      <c r="E179" s="1"/>
      <c r="F179" s="21"/>
      <c r="G179" s="22" t="str">
        <f aca="false">IF(F179="","",IF(B179="Despesa",-F179,F179))</f>
        <v/>
      </c>
      <c r="H179" s="1"/>
      <c r="I179" s="35" t="str">
        <f aca="false">IF(A179="","",TEXT(A179,"yyyy-mm"))</f>
        <v/>
      </c>
    </row>
    <row r="180" customFormat="false" ht="15" hidden="false" customHeight="false" outlineLevel="0" collapsed="false">
      <c r="A180" s="25"/>
      <c r="B180" s="1"/>
      <c r="C180" s="1"/>
      <c r="D180" s="1"/>
      <c r="E180" s="1"/>
      <c r="F180" s="21"/>
      <c r="G180" s="22" t="str">
        <f aca="false">IF(F180="","",IF(B180="Despesa",-F180,F180))</f>
        <v/>
      </c>
      <c r="H180" s="1"/>
      <c r="I180" s="35" t="str">
        <f aca="false">IF(A180="","",TEXT(A180,"yyyy-mm"))</f>
        <v/>
      </c>
    </row>
    <row r="181" customFormat="false" ht="15" hidden="false" customHeight="false" outlineLevel="0" collapsed="false">
      <c r="A181" s="25"/>
      <c r="B181" s="1"/>
      <c r="C181" s="1"/>
      <c r="D181" s="1"/>
      <c r="E181" s="1"/>
      <c r="F181" s="21"/>
      <c r="G181" s="22" t="str">
        <f aca="false">IF(F181="","",IF(B181="Despesa",-F181,F181))</f>
        <v/>
      </c>
      <c r="H181" s="1"/>
      <c r="I181" s="35" t="str">
        <f aca="false">IF(A181="","",TEXT(A181,"yyyy-mm"))</f>
        <v/>
      </c>
    </row>
    <row r="182" customFormat="false" ht="15" hidden="false" customHeight="false" outlineLevel="0" collapsed="false">
      <c r="A182" s="25"/>
      <c r="B182" s="1"/>
      <c r="C182" s="1"/>
      <c r="D182" s="1"/>
      <c r="E182" s="1"/>
      <c r="F182" s="21"/>
      <c r="G182" s="22" t="str">
        <f aca="false">IF(F182="","",IF(B182="Despesa",-F182,F182))</f>
        <v/>
      </c>
      <c r="H182" s="1"/>
      <c r="I182" s="35" t="str">
        <f aca="false">IF(A182="","",TEXT(A182,"yyyy-mm"))</f>
        <v/>
      </c>
    </row>
    <row r="183" customFormat="false" ht="15" hidden="false" customHeight="false" outlineLevel="0" collapsed="false">
      <c r="A183" s="25"/>
      <c r="B183" s="1"/>
      <c r="C183" s="1"/>
      <c r="D183" s="1"/>
      <c r="E183" s="1"/>
      <c r="F183" s="21"/>
      <c r="G183" s="22" t="str">
        <f aca="false">IF(F183="","",IF(B183="Despesa",-F183,F183))</f>
        <v/>
      </c>
      <c r="H183" s="1"/>
      <c r="I183" s="35" t="str">
        <f aca="false">IF(A183="","",TEXT(A183,"yyyy-mm"))</f>
        <v/>
      </c>
    </row>
    <row r="184" customFormat="false" ht="15" hidden="false" customHeight="false" outlineLevel="0" collapsed="false">
      <c r="A184" s="25"/>
      <c r="B184" s="1"/>
      <c r="C184" s="1"/>
      <c r="D184" s="1"/>
      <c r="E184" s="1"/>
      <c r="F184" s="21"/>
      <c r="G184" s="22" t="str">
        <f aca="false">IF(F184="","",IF(B184="Despesa",-F184,F184))</f>
        <v/>
      </c>
      <c r="H184" s="1"/>
      <c r="I184" s="35" t="str">
        <f aca="false">IF(A184="","",TEXT(A184,"yyyy-mm"))</f>
        <v/>
      </c>
    </row>
    <row r="185" customFormat="false" ht="15" hidden="false" customHeight="false" outlineLevel="0" collapsed="false">
      <c r="A185" s="25"/>
      <c r="B185" s="1"/>
      <c r="C185" s="1"/>
      <c r="D185" s="1"/>
      <c r="E185" s="1"/>
      <c r="F185" s="21"/>
      <c r="G185" s="22" t="str">
        <f aca="false">IF(F185="","",IF(B185="Despesa",-F185,F185))</f>
        <v/>
      </c>
      <c r="H185" s="1"/>
      <c r="I185" s="35" t="str">
        <f aca="false">IF(A185="","",TEXT(A185,"yyyy-mm"))</f>
        <v/>
      </c>
    </row>
    <row r="186" customFormat="false" ht="15" hidden="false" customHeight="false" outlineLevel="0" collapsed="false">
      <c r="A186" s="25"/>
      <c r="B186" s="1"/>
      <c r="C186" s="1"/>
      <c r="D186" s="1"/>
      <c r="E186" s="1"/>
      <c r="F186" s="21"/>
      <c r="G186" s="22" t="str">
        <f aca="false">IF(F186="","",IF(B186="Despesa",-F186,F186))</f>
        <v/>
      </c>
      <c r="H186" s="1"/>
      <c r="I186" s="35" t="str">
        <f aca="false">IF(A186="","",TEXT(A186,"yyyy-mm"))</f>
        <v/>
      </c>
    </row>
    <row r="187" customFormat="false" ht="15" hidden="false" customHeight="false" outlineLevel="0" collapsed="false">
      <c r="A187" s="25"/>
      <c r="B187" s="1"/>
      <c r="C187" s="1"/>
      <c r="D187" s="1"/>
      <c r="E187" s="1"/>
      <c r="F187" s="21"/>
      <c r="G187" s="22" t="str">
        <f aca="false">IF(F187="","",IF(B187="Despesa",-F187,F187))</f>
        <v/>
      </c>
      <c r="H187" s="1"/>
      <c r="I187" s="35" t="str">
        <f aca="false">IF(A187="","",TEXT(A187,"yyyy-mm"))</f>
        <v/>
      </c>
    </row>
    <row r="188" customFormat="false" ht="15" hidden="false" customHeight="false" outlineLevel="0" collapsed="false">
      <c r="A188" s="25"/>
      <c r="B188" s="1"/>
      <c r="C188" s="1"/>
      <c r="D188" s="1"/>
      <c r="E188" s="1"/>
      <c r="F188" s="21"/>
      <c r="G188" s="22" t="str">
        <f aca="false">IF(F188="","",IF(B188="Despesa",-F188,F188))</f>
        <v/>
      </c>
      <c r="H188" s="1"/>
      <c r="I188" s="35" t="str">
        <f aca="false">IF(A188="","",TEXT(A188,"yyyy-mm"))</f>
        <v/>
      </c>
    </row>
    <row r="189" customFormat="false" ht="15" hidden="false" customHeight="false" outlineLevel="0" collapsed="false">
      <c r="A189" s="25"/>
      <c r="B189" s="1"/>
      <c r="C189" s="1"/>
      <c r="D189" s="1"/>
      <c r="E189" s="1"/>
      <c r="F189" s="21"/>
      <c r="G189" s="22" t="str">
        <f aca="false">IF(F189="","",IF(B189="Despesa",-F189,F189))</f>
        <v/>
      </c>
      <c r="H189" s="1"/>
      <c r="I189" s="35" t="str">
        <f aca="false">IF(A189="","",TEXT(A189,"yyyy-mm"))</f>
        <v/>
      </c>
    </row>
    <row r="190" customFormat="false" ht="15" hidden="false" customHeight="false" outlineLevel="0" collapsed="false">
      <c r="A190" s="25"/>
      <c r="B190" s="1"/>
      <c r="C190" s="1"/>
      <c r="D190" s="1"/>
      <c r="E190" s="1"/>
      <c r="F190" s="21"/>
      <c r="G190" s="22" t="str">
        <f aca="false">IF(F190="","",IF(B190="Despesa",-F190,F190))</f>
        <v/>
      </c>
      <c r="H190" s="1"/>
      <c r="I190" s="35" t="str">
        <f aca="false">IF(A190="","",TEXT(A190,"yyyy-mm"))</f>
        <v/>
      </c>
    </row>
    <row r="191" customFormat="false" ht="15" hidden="false" customHeight="false" outlineLevel="0" collapsed="false">
      <c r="A191" s="25"/>
      <c r="B191" s="1"/>
      <c r="C191" s="1"/>
      <c r="D191" s="1"/>
      <c r="E191" s="1"/>
      <c r="F191" s="21"/>
      <c r="G191" s="22" t="str">
        <f aca="false">IF(F191="","",IF(B191="Despesa",-F191,F191))</f>
        <v/>
      </c>
      <c r="H191" s="1"/>
      <c r="I191" s="35" t="str">
        <f aca="false">IF(A191="","",TEXT(A191,"yyyy-mm"))</f>
        <v/>
      </c>
    </row>
    <row r="192" customFormat="false" ht="15" hidden="false" customHeight="false" outlineLevel="0" collapsed="false">
      <c r="A192" s="25"/>
      <c r="B192" s="1"/>
      <c r="C192" s="1"/>
      <c r="D192" s="1"/>
      <c r="E192" s="1"/>
      <c r="F192" s="21"/>
      <c r="G192" s="22" t="str">
        <f aca="false">IF(F192="","",IF(B192="Despesa",-F192,F192))</f>
        <v/>
      </c>
      <c r="H192" s="1"/>
      <c r="I192" s="35" t="str">
        <f aca="false">IF(A192="","",TEXT(A192,"yyyy-mm"))</f>
        <v/>
      </c>
    </row>
    <row r="193" customFormat="false" ht="15" hidden="false" customHeight="false" outlineLevel="0" collapsed="false">
      <c r="A193" s="25"/>
      <c r="B193" s="1"/>
      <c r="C193" s="1"/>
      <c r="D193" s="1"/>
      <c r="E193" s="1"/>
      <c r="F193" s="21"/>
      <c r="G193" s="22" t="str">
        <f aca="false">IF(F193="","",IF(B193="Despesa",-F193,F193))</f>
        <v/>
      </c>
      <c r="H193" s="1"/>
      <c r="I193" s="35" t="str">
        <f aca="false">IF(A193="","",TEXT(A193,"yyyy-mm"))</f>
        <v/>
      </c>
    </row>
    <row r="194" customFormat="false" ht="15" hidden="false" customHeight="false" outlineLevel="0" collapsed="false">
      <c r="A194" s="25"/>
      <c r="B194" s="1"/>
      <c r="C194" s="1"/>
      <c r="D194" s="1"/>
      <c r="E194" s="1"/>
      <c r="F194" s="21"/>
      <c r="G194" s="22" t="str">
        <f aca="false">IF(F194="","",IF(B194="Despesa",-F194,F194))</f>
        <v/>
      </c>
      <c r="H194" s="1"/>
      <c r="I194" s="35" t="str">
        <f aca="false">IF(A194="","",TEXT(A194,"yyyy-mm"))</f>
        <v/>
      </c>
    </row>
    <row r="195" customFormat="false" ht="15" hidden="false" customHeight="false" outlineLevel="0" collapsed="false">
      <c r="A195" s="25"/>
      <c r="B195" s="1"/>
      <c r="C195" s="1"/>
      <c r="D195" s="1"/>
      <c r="E195" s="1"/>
      <c r="F195" s="21"/>
      <c r="G195" s="22" t="str">
        <f aca="false">IF(F195="","",IF(B195="Despesa",-F195,F195))</f>
        <v/>
      </c>
      <c r="H195" s="1"/>
      <c r="I195" s="35" t="str">
        <f aca="false">IF(A195="","",TEXT(A195,"yyyy-mm"))</f>
        <v/>
      </c>
    </row>
    <row r="196" customFormat="false" ht="15" hidden="false" customHeight="false" outlineLevel="0" collapsed="false">
      <c r="A196" s="25"/>
      <c r="B196" s="1"/>
      <c r="C196" s="1"/>
      <c r="D196" s="1"/>
      <c r="E196" s="1"/>
      <c r="F196" s="21"/>
      <c r="G196" s="22" t="str">
        <f aca="false">IF(F196="","",IF(B196="Despesa",-F196,F196))</f>
        <v/>
      </c>
      <c r="H196" s="1"/>
      <c r="I196" s="35" t="str">
        <f aca="false">IF(A196="","",TEXT(A196,"yyyy-mm"))</f>
        <v/>
      </c>
    </row>
    <row r="197" customFormat="false" ht="15" hidden="false" customHeight="false" outlineLevel="0" collapsed="false">
      <c r="A197" s="25"/>
      <c r="B197" s="1"/>
      <c r="C197" s="1"/>
      <c r="D197" s="1"/>
      <c r="E197" s="1"/>
      <c r="F197" s="21"/>
      <c r="G197" s="22" t="str">
        <f aca="false">IF(F197="","",IF(B197="Despesa",-F197,F197))</f>
        <v/>
      </c>
      <c r="H197" s="1"/>
      <c r="I197" s="35" t="str">
        <f aca="false">IF(A197="","",TEXT(A197,"yyyy-mm"))</f>
        <v/>
      </c>
    </row>
    <row r="198" customFormat="false" ht="15" hidden="false" customHeight="false" outlineLevel="0" collapsed="false">
      <c r="A198" s="25"/>
      <c r="B198" s="1"/>
      <c r="C198" s="1"/>
      <c r="D198" s="1"/>
      <c r="E198" s="1"/>
      <c r="F198" s="21"/>
      <c r="G198" s="22" t="str">
        <f aca="false">IF(F198="","",IF(B198="Despesa",-F198,F198))</f>
        <v/>
      </c>
      <c r="H198" s="1"/>
      <c r="I198" s="35" t="str">
        <f aca="false">IF(A198="","",TEXT(A198,"yyyy-mm"))</f>
        <v/>
      </c>
    </row>
    <row r="199" customFormat="false" ht="15" hidden="false" customHeight="false" outlineLevel="0" collapsed="false">
      <c r="A199" s="25"/>
      <c r="B199" s="1"/>
      <c r="C199" s="1"/>
      <c r="D199" s="1"/>
      <c r="E199" s="1"/>
      <c r="F199" s="21"/>
      <c r="G199" s="22" t="str">
        <f aca="false">IF(F199="","",IF(B199="Despesa",-F199,F199))</f>
        <v/>
      </c>
      <c r="H199" s="1"/>
      <c r="I199" s="35" t="str">
        <f aca="false">IF(A199="","",TEXT(A199,"yyyy-mm"))</f>
        <v/>
      </c>
    </row>
    <row r="200" customFormat="false" ht="15" hidden="false" customHeight="false" outlineLevel="0" collapsed="false">
      <c r="A200" s="25"/>
      <c r="B200" s="1"/>
      <c r="C200" s="1"/>
      <c r="D200" s="1"/>
      <c r="E200" s="1"/>
      <c r="F200" s="21"/>
      <c r="G200" s="22" t="str">
        <f aca="false">IF(F200="","",IF(B200="Despesa",-F200,F200))</f>
        <v/>
      </c>
      <c r="H200" s="1"/>
      <c r="I200" s="35" t="str">
        <f aca="false">IF(A200="","",TEXT(A200,"yyyy-mm"))</f>
        <v/>
      </c>
    </row>
    <row r="201" customFormat="false" ht="15" hidden="false" customHeight="false" outlineLevel="0" collapsed="false">
      <c r="A201" s="25"/>
      <c r="B201" s="1"/>
      <c r="C201" s="1"/>
      <c r="D201" s="1"/>
      <c r="E201" s="1"/>
      <c r="F201" s="21"/>
      <c r="G201" s="22" t="str">
        <f aca="false">IF(F201="","",IF(B201="Despesa",-F201,F201))</f>
        <v/>
      </c>
      <c r="H201" s="1"/>
      <c r="I201" s="35" t="str">
        <f aca="false">IF(A201="","",TEXT(A201,"yyyy-mm"))</f>
        <v/>
      </c>
    </row>
    <row r="202" customFormat="false" ht="15" hidden="false" customHeight="false" outlineLevel="0" collapsed="false">
      <c r="A202" s="25"/>
      <c r="B202" s="1"/>
      <c r="C202" s="1"/>
      <c r="D202" s="1"/>
      <c r="E202" s="1"/>
      <c r="F202" s="21"/>
      <c r="G202" s="22" t="str">
        <f aca="false">IF(F202="","",IF(B202="Despesa",-F202,F202))</f>
        <v/>
      </c>
      <c r="H202" s="1"/>
      <c r="I202" s="35" t="str">
        <f aca="false">IF(A202="","",TEXT(A202,"yyyy-mm"))</f>
        <v/>
      </c>
    </row>
    <row r="203" customFormat="false" ht="15" hidden="false" customHeight="false" outlineLevel="0" collapsed="false">
      <c r="A203" s="25"/>
      <c r="B203" s="1"/>
      <c r="C203" s="1"/>
      <c r="D203" s="1"/>
      <c r="E203" s="1"/>
      <c r="F203" s="21"/>
      <c r="G203" s="22" t="str">
        <f aca="false">IF(F203="","",IF(B203="Despesa",-F203,F203))</f>
        <v/>
      </c>
      <c r="H203" s="1"/>
      <c r="I203" s="35" t="str">
        <f aca="false">IF(A203="","",TEXT(A203,"yyyy-mm"))</f>
        <v/>
      </c>
    </row>
    <row r="204" customFormat="false" ht="15" hidden="false" customHeight="false" outlineLevel="0" collapsed="false">
      <c r="A204" s="25"/>
      <c r="B204" s="1"/>
      <c r="C204" s="1"/>
      <c r="D204" s="1"/>
      <c r="E204" s="1"/>
      <c r="F204" s="21"/>
      <c r="G204" s="22" t="str">
        <f aca="false">IF(F204="","",IF(B204="Despesa",-F204,F204))</f>
        <v/>
      </c>
      <c r="H204" s="1"/>
      <c r="I204" s="35" t="str">
        <f aca="false">IF(A204="","",TEXT(A204,"yyyy-mm"))</f>
        <v/>
      </c>
    </row>
    <row r="205" customFormat="false" ht="15" hidden="false" customHeight="false" outlineLevel="0" collapsed="false">
      <c r="A205" s="25"/>
      <c r="B205" s="1"/>
      <c r="C205" s="1"/>
      <c r="D205" s="1"/>
      <c r="E205" s="1"/>
      <c r="F205" s="21"/>
      <c r="G205" s="22" t="str">
        <f aca="false">IF(F205="","",IF(B205="Despesa",-F205,F205))</f>
        <v/>
      </c>
      <c r="H205" s="1"/>
      <c r="I205" s="35" t="str">
        <f aca="false">IF(A205="","",TEXT(A205,"yyyy-mm"))</f>
        <v/>
      </c>
    </row>
    <row r="206" customFormat="false" ht="15" hidden="false" customHeight="false" outlineLevel="0" collapsed="false">
      <c r="A206" s="25"/>
      <c r="B206" s="1"/>
      <c r="C206" s="1"/>
      <c r="D206" s="1"/>
      <c r="E206" s="1"/>
      <c r="F206" s="21"/>
      <c r="G206" s="22" t="str">
        <f aca="false">IF(F206="","",IF(B206="Despesa",-F206,F206))</f>
        <v/>
      </c>
      <c r="H206" s="1"/>
      <c r="I206" s="35" t="str">
        <f aca="false">IF(A206="","",TEXT(A206,"yyyy-mm"))</f>
        <v/>
      </c>
    </row>
    <row r="207" customFormat="false" ht="15" hidden="false" customHeight="false" outlineLevel="0" collapsed="false">
      <c r="A207" s="25"/>
      <c r="B207" s="1"/>
      <c r="C207" s="1"/>
      <c r="D207" s="1"/>
      <c r="E207" s="1"/>
      <c r="F207" s="21"/>
      <c r="G207" s="22" t="str">
        <f aca="false">IF(F207="","",IF(B207="Despesa",-F207,F207))</f>
        <v/>
      </c>
      <c r="H207" s="1"/>
      <c r="I207" s="35" t="str">
        <f aca="false">IF(A207="","",TEXT(A207,"yyyy-mm"))</f>
        <v/>
      </c>
    </row>
    <row r="208" customFormat="false" ht="15" hidden="false" customHeight="false" outlineLevel="0" collapsed="false">
      <c r="A208" s="25"/>
      <c r="B208" s="1"/>
      <c r="C208" s="1"/>
      <c r="D208" s="1"/>
      <c r="E208" s="1"/>
      <c r="F208" s="21"/>
      <c r="G208" s="22" t="str">
        <f aca="false">IF(F208="","",IF(B208="Despesa",-F208,F208))</f>
        <v/>
      </c>
      <c r="H208" s="1"/>
      <c r="I208" s="35" t="str">
        <f aca="false">IF(A208="","",TEXT(A208,"yyyy-mm"))</f>
        <v/>
      </c>
    </row>
    <row r="209" customFormat="false" ht="15" hidden="false" customHeight="false" outlineLevel="0" collapsed="false">
      <c r="A209" s="25"/>
      <c r="B209" s="1"/>
      <c r="C209" s="1"/>
      <c r="D209" s="1"/>
      <c r="E209" s="1"/>
      <c r="F209" s="21"/>
      <c r="G209" s="22" t="str">
        <f aca="false">IF(F209="","",IF(B209="Despesa",-F209,F209))</f>
        <v/>
      </c>
      <c r="H209" s="1"/>
      <c r="I209" s="35" t="str">
        <f aca="false">IF(A209="","",TEXT(A209,"yyyy-mm"))</f>
        <v/>
      </c>
    </row>
    <row r="210" customFormat="false" ht="15" hidden="false" customHeight="false" outlineLevel="0" collapsed="false">
      <c r="A210" s="25"/>
      <c r="B210" s="1"/>
      <c r="C210" s="1"/>
      <c r="D210" s="1"/>
      <c r="E210" s="1"/>
      <c r="F210" s="21"/>
      <c r="G210" s="22" t="str">
        <f aca="false">IF(F210="","",IF(B210="Despesa",-F210,F210))</f>
        <v/>
      </c>
      <c r="H210" s="1"/>
      <c r="I210" s="35" t="str">
        <f aca="false">IF(A210="","",TEXT(A210,"yyyy-mm"))</f>
        <v/>
      </c>
    </row>
    <row r="211" customFormat="false" ht="15" hidden="false" customHeight="false" outlineLevel="0" collapsed="false">
      <c r="A211" s="25"/>
      <c r="B211" s="1"/>
      <c r="C211" s="1"/>
      <c r="D211" s="1"/>
      <c r="E211" s="1"/>
      <c r="F211" s="21"/>
      <c r="G211" s="22" t="str">
        <f aca="false">IF(F211="","",IF(B211="Despesa",-F211,F211))</f>
        <v/>
      </c>
      <c r="H211" s="1"/>
      <c r="I211" s="35" t="str">
        <f aca="false">IF(A211="","",TEXT(A211,"yyyy-mm"))</f>
        <v/>
      </c>
    </row>
    <row r="212" customFormat="false" ht="15" hidden="false" customHeight="false" outlineLevel="0" collapsed="false">
      <c r="A212" s="25"/>
      <c r="B212" s="1"/>
      <c r="C212" s="1"/>
      <c r="D212" s="1"/>
      <c r="E212" s="1"/>
      <c r="F212" s="21"/>
      <c r="G212" s="22" t="str">
        <f aca="false">IF(F212="","",IF(B212="Despesa",-F212,F212))</f>
        <v/>
      </c>
      <c r="H212" s="1"/>
      <c r="I212" s="35" t="str">
        <f aca="false">IF(A212="","",TEXT(A212,"yyyy-mm"))</f>
        <v/>
      </c>
    </row>
    <row r="213" customFormat="false" ht="15" hidden="false" customHeight="false" outlineLevel="0" collapsed="false">
      <c r="A213" s="25"/>
      <c r="B213" s="1"/>
      <c r="C213" s="1"/>
      <c r="D213" s="1"/>
      <c r="E213" s="1"/>
      <c r="F213" s="21"/>
      <c r="G213" s="22" t="str">
        <f aca="false">IF(F213="","",IF(B213="Despesa",-F213,F213))</f>
        <v/>
      </c>
      <c r="H213" s="1"/>
      <c r="I213" s="35" t="str">
        <f aca="false">IF(A213="","",TEXT(A213,"yyyy-mm"))</f>
        <v/>
      </c>
    </row>
    <row r="214" customFormat="false" ht="15" hidden="false" customHeight="false" outlineLevel="0" collapsed="false">
      <c r="A214" s="25"/>
      <c r="B214" s="1"/>
      <c r="C214" s="1"/>
      <c r="D214" s="1"/>
      <c r="E214" s="1"/>
      <c r="F214" s="21"/>
      <c r="G214" s="22" t="str">
        <f aca="false">IF(F214="","",IF(B214="Despesa",-F214,F214))</f>
        <v/>
      </c>
      <c r="H214" s="1"/>
      <c r="I214" s="35" t="str">
        <f aca="false">IF(A214="","",TEXT(A214,"yyyy-mm"))</f>
        <v/>
      </c>
    </row>
    <row r="215" customFormat="false" ht="15" hidden="false" customHeight="false" outlineLevel="0" collapsed="false">
      <c r="A215" s="25"/>
      <c r="B215" s="1"/>
      <c r="C215" s="1"/>
      <c r="D215" s="1"/>
      <c r="E215" s="1"/>
      <c r="F215" s="21"/>
      <c r="G215" s="22" t="str">
        <f aca="false">IF(F215="","",IF(B215="Despesa",-F215,F215))</f>
        <v/>
      </c>
      <c r="H215" s="1"/>
      <c r="I215" s="35" t="str">
        <f aca="false">IF(A215="","",TEXT(A215,"yyyy-mm"))</f>
        <v/>
      </c>
    </row>
    <row r="216" customFormat="false" ht="15" hidden="false" customHeight="false" outlineLevel="0" collapsed="false">
      <c r="A216" s="25"/>
      <c r="B216" s="1"/>
      <c r="C216" s="1"/>
      <c r="D216" s="1"/>
      <c r="E216" s="1"/>
      <c r="F216" s="21"/>
      <c r="G216" s="22" t="str">
        <f aca="false">IF(F216="","",IF(B216="Despesa",-F216,F216))</f>
        <v/>
      </c>
      <c r="H216" s="1"/>
      <c r="I216" s="35" t="str">
        <f aca="false">IF(A216="","",TEXT(A216,"yyyy-mm"))</f>
        <v/>
      </c>
    </row>
    <row r="217" customFormat="false" ht="15" hidden="false" customHeight="false" outlineLevel="0" collapsed="false">
      <c r="A217" s="25"/>
      <c r="B217" s="1"/>
      <c r="C217" s="1"/>
      <c r="D217" s="1"/>
      <c r="E217" s="1"/>
      <c r="F217" s="21"/>
      <c r="G217" s="22" t="str">
        <f aca="false">IF(F217="","",IF(B217="Despesa",-F217,F217))</f>
        <v/>
      </c>
      <c r="H217" s="1"/>
      <c r="I217" s="35" t="str">
        <f aca="false">IF(A217="","",TEXT(A217,"yyyy-mm"))</f>
        <v/>
      </c>
    </row>
    <row r="218" customFormat="false" ht="15" hidden="false" customHeight="false" outlineLevel="0" collapsed="false">
      <c r="A218" s="25"/>
      <c r="B218" s="1"/>
      <c r="C218" s="1"/>
      <c r="D218" s="1"/>
      <c r="E218" s="1"/>
      <c r="F218" s="21"/>
      <c r="G218" s="22" t="str">
        <f aca="false">IF(F218="","",IF(B218="Despesa",-F218,F218))</f>
        <v/>
      </c>
      <c r="H218" s="1"/>
      <c r="I218" s="35" t="str">
        <f aca="false">IF(A218="","",TEXT(A218,"yyyy-mm"))</f>
        <v/>
      </c>
    </row>
    <row r="219" customFormat="false" ht="15" hidden="false" customHeight="false" outlineLevel="0" collapsed="false">
      <c r="A219" s="25"/>
      <c r="B219" s="1"/>
      <c r="C219" s="1"/>
      <c r="D219" s="1"/>
      <c r="E219" s="1"/>
      <c r="F219" s="21"/>
      <c r="G219" s="22" t="str">
        <f aca="false">IF(F219="","",IF(B219="Despesa",-F219,F219))</f>
        <v/>
      </c>
      <c r="H219" s="1"/>
      <c r="I219" s="35" t="str">
        <f aca="false">IF(A219="","",TEXT(A219,"yyyy-mm"))</f>
        <v/>
      </c>
    </row>
    <row r="220" customFormat="false" ht="15" hidden="false" customHeight="false" outlineLevel="0" collapsed="false">
      <c r="A220" s="25"/>
      <c r="B220" s="1"/>
      <c r="C220" s="1"/>
      <c r="D220" s="1"/>
      <c r="E220" s="1"/>
      <c r="F220" s="21"/>
      <c r="G220" s="22" t="str">
        <f aca="false">IF(F220="","",IF(B220="Despesa",-F220,F220))</f>
        <v/>
      </c>
      <c r="H220" s="1"/>
      <c r="I220" s="35" t="str">
        <f aca="false">IF(A220="","",TEXT(A220,"yyyy-mm"))</f>
        <v/>
      </c>
    </row>
    <row r="221" customFormat="false" ht="15" hidden="false" customHeight="false" outlineLevel="0" collapsed="false">
      <c r="A221" s="25"/>
      <c r="B221" s="1"/>
      <c r="C221" s="1"/>
      <c r="D221" s="1"/>
      <c r="E221" s="1"/>
      <c r="F221" s="21"/>
      <c r="G221" s="22" t="str">
        <f aca="false">IF(F221="","",IF(B221="Despesa",-F221,F221))</f>
        <v/>
      </c>
      <c r="H221" s="1"/>
      <c r="I221" s="35" t="str">
        <f aca="false">IF(A221="","",TEXT(A221,"yyyy-mm"))</f>
        <v/>
      </c>
    </row>
    <row r="222" customFormat="false" ht="15" hidden="false" customHeight="false" outlineLevel="0" collapsed="false">
      <c r="A222" s="25"/>
      <c r="B222" s="1"/>
      <c r="C222" s="1"/>
      <c r="D222" s="1"/>
      <c r="E222" s="1"/>
      <c r="F222" s="21"/>
      <c r="G222" s="22" t="str">
        <f aca="false">IF(F222="","",IF(B222="Despesa",-F222,F222))</f>
        <v/>
      </c>
      <c r="H222" s="1"/>
      <c r="I222" s="35" t="str">
        <f aca="false">IF(A222="","",TEXT(A222,"yyyy-mm"))</f>
        <v/>
      </c>
    </row>
    <row r="223" customFormat="false" ht="15" hidden="false" customHeight="false" outlineLevel="0" collapsed="false">
      <c r="A223" s="25"/>
      <c r="B223" s="1"/>
      <c r="C223" s="1"/>
      <c r="D223" s="1"/>
      <c r="E223" s="1"/>
      <c r="F223" s="21"/>
      <c r="G223" s="22" t="str">
        <f aca="false">IF(F223="","",IF(B223="Despesa",-F223,F223))</f>
        <v/>
      </c>
      <c r="H223" s="1"/>
      <c r="I223" s="35" t="str">
        <f aca="false">IF(A223="","",TEXT(A223,"yyyy-mm"))</f>
        <v/>
      </c>
    </row>
    <row r="224" customFormat="false" ht="15" hidden="false" customHeight="false" outlineLevel="0" collapsed="false">
      <c r="A224" s="25"/>
      <c r="B224" s="1"/>
      <c r="C224" s="1"/>
      <c r="D224" s="1"/>
      <c r="E224" s="1"/>
      <c r="F224" s="21"/>
      <c r="G224" s="22" t="str">
        <f aca="false">IF(F224="","",IF(B224="Despesa",-F224,F224))</f>
        <v/>
      </c>
      <c r="H224" s="1"/>
      <c r="I224" s="35" t="str">
        <f aca="false">IF(A224="","",TEXT(A224,"yyyy-mm"))</f>
        <v/>
      </c>
    </row>
    <row r="225" customFormat="false" ht="15" hidden="false" customHeight="false" outlineLevel="0" collapsed="false">
      <c r="A225" s="25"/>
      <c r="B225" s="1"/>
      <c r="C225" s="1"/>
      <c r="D225" s="1"/>
      <c r="E225" s="1"/>
      <c r="F225" s="21"/>
      <c r="G225" s="22" t="str">
        <f aca="false">IF(F225="","",IF(B225="Despesa",-F225,F225))</f>
        <v/>
      </c>
      <c r="H225" s="1"/>
      <c r="I225" s="35" t="str">
        <f aca="false">IF(A225="","",TEXT(A225,"yyyy-mm"))</f>
        <v/>
      </c>
    </row>
    <row r="226" customFormat="false" ht="15" hidden="false" customHeight="false" outlineLevel="0" collapsed="false">
      <c r="A226" s="25"/>
      <c r="B226" s="1"/>
      <c r="C226" s="1"/>
      <c r="D226" s="1"/>
      <c r="E226" s="1"/>
      <c r="F226" s="21"/>
      <c r="G226" s="22" t="str">
        <f aca="false">IF(F226="","",IF(B226="Despesa",-F226,F226))</f>
        <v/>
      </c>
      <c r="H226" s="1"/>
      <c r="I226" s="35" t="str">
        <f aca="false">IF(A226="","",TEXT(A226,"yyyy-mm"))</f>
        <v/>
      </c>
    </row>
    <row r="227" customFormat="false" ht="15" hidden="false" customHeight="false" outlineLevel="0" collapsed="false">
      <c r="A227" s="25"/>
      <c r="B227" s="1"/>
      <c r="C227" s="1"/>
      <c r="D227" s="1"/>
      <c r="E227" s="1"/>
      <c r="F227" s="21"/>
      <c r="G227" s="22" t="str">
        <f aca="false">IF(F227="","",IF(B227="Despesa",-F227,F227))</f>
        <v/>
      </c>
      <c r="H227" s="1"/>
      <c r="I227" s="35" t="str">
        <f aca="false">IF(A227="","",TEXT(A227,"yyyy-mm"))</f>
        <v/>
      </c>
    </row>
    <row r="228" customFormat="false" ht="15" hidden="false" customHeight="false" outlineLevel="0" collapsed="false">
      <c r="A228" s="25"/>
      <c r="B228" s="1"/>
      <c r="C228" s="1"/>
      <c r="D228" s="1"/>
      <c r="E228" s="1"/>
      <c r="F228" s="21"/>
      <c r="G228" s="22" t="str">
        <f aca="false">IF(F228="","",IF(B228="Despesa",-F228,F228))</f>
        <v/>
      </c>
      <c r="H228" s="1"/>
      <c r="I228" s="35" t="str">
        <f aca="false">IF(A228="","",TEXT(A228,"yyyy-mm"))</f>
        <v/>
      </c>
    </row>
    <row r="229" customFormat="false" ht="15" hidden="false" customHeight="false" outlineLevel="0" collapsed="false">
      <c r="A229" s="25"/>
      <c r="B229" s="1"/>
      <c r="C229" s="1"/>
      <c r="D229" s="1"/>
      <c r="E229" s="1"/>
      <c r="F229" s="21"/>
      <c r="G229" s="22" t="str">
        <f aca="false">IF(F229="","",IF(B229="Despesa",-F229,F229))</f>
        <v/>
      </c>
      <c r="H229" s="1"/>
      <c r="I229" s="35" t="str">
        <f aca="false">IF(A229="","",TEXT(A229,"yyyy-mm"))</f>
        <v/>
      </c>
    </row>
    <row r="230" customFormat="false" ht="15" hidden="false" customHeight="false" outlineLevel="0" collapsed="false">
      <c r="A230" s="25"/>
      <c r="B230" s="1"/>
      <c r="C230" s="1"/>
      <c r="D230" s="1"/>
      <c r="E230" s="1"/>
      <c r="F230" s="21"/>
      <c r="G230" s="22" t="str">
        <f aca="false">IF(F230="","",IF(B230="Despesa",-F230,F230))</f>
        <v/>
      </c>
      <c r="H230" s="1"/>
      <c r="I230" s="35" t="str">
        <f aca="false">IF(A230="","",TEXT(A230,"yyyy-mm"))</f>
        <v/>
      </c>
    </row>
    <row r="231" customFormat="false" ht="15" hidden="false" customHeight="false" outlineLevel="0" collapsed="false">
      <c r="A231" s="25"/>
      <c r="B231" s="1"/>
      <c r="C231" s="1"/>
      <c r="D231" s="1"/>
      <c r="E231" s="1"/>
      <c r="F231" s="21"/>
      <c r="G231" s="22" t="str">
        <f aca="false">IF(F231="","",IF(B231="Despesa",-F231,F231))</f>
        <v/>
      </c>
      <c r="H231" s="1"/>
      <c r="I231" s="35" t="str">
        <f aca="false">IF(A231="","",TEXT(A231,"yyyy-mm"))</f>
        <v/>
      </c>
    </row>
    <row r="232" customFormat="false" ht="15" hidden="false" customHeight="false" outlineLevel="0" collapsed="false">
      <c r="A232" s="25"/>
      <c r="B232" s="1"/>
      <c r="C232" s="1"/>
      <c r="D232" s="1"/>
      <c r="E232" s="1"/>
      <c r="F232" s="21"/>
      <c r="G232" s="22" t="str">
        <f aca="false">IF(F232="","",IF(B232="Despesa",-F232,F232))</f>
        <v/>
      </c>
      <c r="H232" s="1"/>
      <c r="I232" s="35" t="str">
        <f aca="false">IF(A232="","",TEXT(A232,"yyyy-mm"))</f>
        <v/>
      </c>
    </row>
    <row r="233" customFormat="false" ht="15" hidden="false" customHeight="false" outlineLevel="0" collapsed="false">
      <c r="A233" s="25"/>
      <c r="B233" s="1"/>
      <c r="C233" s="1"/>
      <c r="D233" s="1"/>
      <c r="E233" s="1"/>
      <c r="F233" s="21"/>
      <c r="G233" s="22" t="str">
        <f aca="false">IF(F233="","",IF(B233="Despesa",-F233,F233))</f>
        <v/>
      </c>
      <c r="H233" s="1"/>
      <c r="I233" s="35" t="str">
        <f aca="false">IF(A233="","",TEXT(A233,"yyyy-mm"))</f>
        <v/>
      </c>
    </row>
    <row r="234" customFormat="false" ht="15" hidden="false" customHeight="false" outlineLevel="0" collapsed="false">
      <c r="A234" s="25"/>
      <c r="B234" s="1"/>
      <c r="C234" s="1"/>
      <c r="D234" s="1"/>
      <c r="E234" s="1"/>
      <c r="F234" s="21"/>
      <c r="G234" s="22" t="str">
        <f aca="false">IF(F234="","",IF(B234="Despesa",-F234,F234))</f>
        <v/>
      </c>
      <c r="H234" s="1"/>
      <c r="I234" s="35" t="str">
        <f aca="false">IF(A234="","",TEXT(A234,"yyyy-mm"))</f>
        <v/>
      </c>
    </row>
    <row r="235" customFormat="false" ht="15" hidden="false" customHeight="false" outlineLevel="0" collapsed="false">
      <c r="A235" s="25"/>
      <c r="B235" s="1"/>
      <c r="C235" s="1"/>
      <c r="D235" s="1"/>
      <c r="E235" s="1"/>
      <c r="F235" s="21"/>
      <c r="G235" s="22" t="str">
        <f aca="false">IF(F235="","",IF(B235="Despesa",-F235,F235))</f>
        <v/>
      </c>
      <c r="H235" s="1"/>
      <c r="I235" s="35" t="str">
        <f aca="false">IF(A235="","",TEXT(A235,"yyyy-mm"))</f>
        <v/>
      </c>
    </row>
    <row r="236" customFormat="false" ht="15" hidden="false" customHeight="false" outlineLevel="0" collapsed="false">
      <c r="A236" s="25"/>
      <c r="B236" s="1"/>
      <c r="C236" s="1"/>
      <c r="D236" s="1"/>
      <c r="E236" s="1"/>
      <c r="F236" s="21"/>
      <c r="G236" s="22" t="str">
        <f aca="false">IF(F236="","",IF(B236="Despesa",-F236,F236))</f>
        <v/>
      </c>
      <c r="H236" s="1"/>
      <c r="I236" s="35" t="str">
        <f aca="false">IF(A236="","",TEXT(A236,"yyyy-mm"))</f>
        <v/>
      </c>
    </row>
    <row r="237" customFormat="false" ht="15" hidden="false" customHeight="false" outlineLevel="0" collapsed="false">
      <c r="A237" s="25"/>
      <c r="B237" s="1"/>
      <c r="C237" s="1"/>
      <c r="D237" s="1"/>
      <c r="E237" s="1"/>
      <c r="F237" s="21"/>
      <c r="G237" s="22" t="str">
        <f aca="false">IF(F237="","",IF(B237="Despesa",-F237,F237))</f>
        <v/>
      </c>
      <c r="H237" s="1"/>
      <c r="I237" s="35" t="str">
        <f aca="false">IF(A237="","",TEXT(A237,"yyyy-mm"))</f>
        <v/>
      </c>
    </row>
    <row r="238" customFormat="false" ht="15" hidden="false" customHeight="false" outlineLevel="0" collapsed="false">
      <c r="A238" s="25"/>
      <c r="B238" s="1"/>
      <c r="C238" s="1"/>
      <c r="D238" s="1"/>
      <c r="E238" s="1"/>
      <c r="F238" s="21"/>
      <c r="G238" s="22" t="str">
        <f aca="false">IF(F238="","",IF(B238="Despesa",-F238,F238))</f>
        <v/>
      </c>
      <c r="H238" s="1"/>
      <c r="I238" s="35" t="str">
        <f aca="false">IF(A238="","",TEXT(A238,"yyyy-mm"))</f>
        <v/>
      </c>
    </row>
    <row r="239" customFormat="false" ht="15" hidden="false" customHeight="false" outlineLevel="0" collapsed="false">
      <c r="A239" s="25"/>
      <c r="B239" s="1"/>
      <c r="C239" s="1"/>
      <c r="D239" s="1"/>
      <c r="E239" s="1"/>
      <c r="F239" s="21"/>
      <c r="G239" s="22" t="str">
        <f aca="false">IF(F239="","",IF(B239="Despesa",-F239,F239))</f>
        <v/>
      </c>
      <c r="H239" s="1"/>
      <c r="I239" s="35" t="str">
        <f aca="false">IF(A239="","",TEXT(A239,"yyyy-mm"))</f>
        <v/>
      </c>
    </row>
    <row r="240" customFormat="false" ht="15" hidden="false" customHeight="false" outlineLevel="0" collapsed="false">
      <c r="A240" s="25"/>
      <c r="B240" s="1"/>
      <c r="C240" s="1"/>
      <c r="D240" s="1"/>
      <c r="E240" s="1"/>
      <c r="F240" s="21"/>
      <c r="G240" s="22" t="str">
        <f aca="false">IF(F240="","",IF(B240="Despesa",-F240,F240))</f>
        <v/>
      </c>
      <c r="H240" s="1"/>
      <c r="I240" s="35" t="str">
        <f aca="false">IF(A240="","",TEXT(A240,"yyyy-mm"))</f>
        <v/>
      </c>
    </row>
    <row r="241" customFormat="false" ht="15" hidden="false" customHeight="false" outlineLevel="0" collapsed="false">
      <c r="A241" s="25"/>
      <c r="B241" s="1"/>
      <c r="C241" s="1"/>
      <c r="D241" s="1"/>
      <c r="E241" s="1"/>
      <c r="F241" s="21"/>
      <c r="G241" s="22" t="str">
        <f aca="false">IF(F241="","",IF(B241="Despesa",-F241,F241))</f>
        <v/>
      </c>
      <c r="H241" s="1"/>
      <c r="I241" s="35" t="str">
        <f aca="false">IF(A241="","",TEXT(A241,"yyyy-mm"))</f>
        <v/>
      </c>
    </row>
    <row r="242" customFormat="false" ht="15" hidden="false" customHeight="false" outlineLevel="0" collapsed="false">
      <c r="A242" s="25"/>
      <c r="B242" s="1"/>
      <c r="C242" s="1"/>
      <c r="D242" s="1"/>
      <c r="E242" s="1"/>
      <c r="F242" s="21"/>
      <c r="G242" s="22" t="str">
        <f aca="false">IF(F242="","",IF(B242="Despesa",-F242,F242))</f>
        <v/>
      </c>
      <c r="H242" s="1"/>
      <c r="I242" s="35" t="str">
        <f aca="false">IF(A242="","",TEXT(A242,"yyyy-mm"))</f>
        <v/>
      </c>
    </row>
    <row r="243" customFormat="false" ht="15" hidden="false" customHeight="false" outlineLevel="0" collapsed="false">
      <c r="A243" s="25"/>
      <c r="B243" s="1"/>
      <c r="C243" s="1"/>
      <c r="D243" s="1"/>
      <c r="E243" s="1"/>
      <c r="F243" s="21"/>
      <c r="G243" s="22" t="str">
        <f aca="false">IF(F243="","",IF(B243="Despesa",-F243,F243))</f>
        <v/>
      </c>
      <c r="H243" s="1"/>
      <c r="I243" s="35" t="str">
        <f aca="false">IF(A243="","",TEXT(A243,"yyyy-mm"))</f>
        <v/>
      </c>
    </row>
    <row r="244" customFormat="false" ht="15" hidden="false" customHeight="false" outlineLevel="0" collapsed="false">
      <c r="A244" s="25"/>
      <c r="B244" s="1"/>
      <c r="C244" s="1"/>
      <c r="D244" s="1"/>
      <c r="E244" s="1"/>
      <c r="F244" s="21"/>
      <c r="G244" s="22" t="str">
        <f aca="false">IF(F244="","",IF(B244="Despesa",-F244,F244))</f>
        <v/>
      </c>
      <c r="H244" s="1"/>
      <c r="I244" s="35" t="str">
        <f aca="false">IF(A244="","",TEXT(A244,"yyyy-mm"))</f>
        <v/>
      </c>
    </row>
    <row r="245" customFormat="false" ht="15" hidden="false" customHeight="false" outlineLevel="0" collapsed="false">
      <c r="A245" s="25"/>
      <c r="B245" s="1"/>
      <c r="C245" s="1"/>
      <c r="D245" s="1"/>
      <c r="E245" s="1"/>
      <c r="F245" s="21"/>
      <c r="G245" s="22" t="str">
        <f aca="false">IF(F245="","",IF(B245="Despesa",-F245,F245))</f>
        <v/>
      </c>
      <c r="H245" s="1"/>
      <c r="I245" s="35" t="str">
        <f aca="false">IF(A245="","",TEXT(A245,"yyyy-mm"))</f>
        <v/>
      </c>
    </row>
    <row r="246" customFormat="false" ht="15" hidden="false" customHeight="false" outlineLevel="0" collapsed="false">
      <c r="A246" s="25"/>
      <c r="B246" s="1"/>
      <c r="C246" s="1"/>
      <c r="D246" s="1"/>
      <c r="E246" s="1"/>
      <c r="F246" s="21"/>
      <c r="G246" s="22" t="str">
        <f aca="false">IF(F246="","",IF(B246="Despesa",-F246,F246))</f>
        <v/>
      </c>
      <c r="H246" s="1"/>
      <c r="I246" s="35" t="str">
        <f aca="false">IF(A246="","",TEXT(A246,"yyyy-mm"))</f>
        <v/>
      </c>
    </row>
    <row r="247" customFormat="false" ht="15" hidden="false" customHeight="false" outlineLevel="0" collapsed="false">
      <c r="A247" s="25"/>
      <c r="B247" s="1"/>
      <c r="C247" s="1"/>
      <c r="D247" s="1"/>
      <c r="E247" s="1"/>
      <c r="F247" s="21"/>
      <c r="G247" s="22" t="str">
        <f aca="false">IF(F247="","",IF(B247="Despesa",-F247,F247))</f>
        <v/>
      </c>
      <c r="H247" s="1"/>
      <c r="I247" s="35" t="str">
        <f aca="false">IF(A247="","",TEXT(A247,"yyyy-mm"))</f>
        <v/>
      </c>
    </row>
    <row r="248" customFormat="false" ht="15" hidden="false" customHeight="false" outlineLevel="0" collapsed="false">
      <c r="A248" s="25"/>
      <c r="B248" s="1"/>
      <c r="C248" s="1"/>
      <c r="D248" s="1"/>
      <c r="E248" s="1"/>
      <c r="F248" s="21"/>
      <c r="G248" s="22" t="str">
        <f aca="false">IF(F248="","",IF(B248="Despesa",-F248,F248))</f>
        <v/>
      </c>
      <c r="H248" s="1"/>
      <c r="I248" s="35" t="str">
        <f aca="false">IF(A248="","",TEXT(A248,"yyyy-mm"))</f>
        <v/>
      </c>
    </row>
    <row r="249" customFormat="false" ht="15" hidden="false" customHeight="false" outlineLevel="0" collapsed="false">
      <c r="A249" s="25"/>
      <c r="B249" s="1"/>
      <c r="C249" s="1"/>
      <c r="D249" s="1"/>
      <c r="E249" s="1"/>
      <c r="F249" s="21"/>
      <c r="G249" s="22" t="str">
        <f aca="false">IF(F249="","",IF(B249="Despesa",-F249,F249))</f>
        <v/>
      </c>
      <c r="H249" s="1"/>
      <c r="I249" s="35" t="str">
        <f aca="false">IF(A249="","",TEXT(A249,"yyyy-mm"))</f>
        <v/>
      </c>
    </row>
    <row r="250" customFormat="false" ht="15" hidden="false" customHeight="false" outlineLevel="0" collapsed="false">
      <c r="A250" s="25"/>
      <c r="B250" s="1"/>
      <c r="C250" s="1"/>
      <c r="D250" s="1"/>
      <c r="E250" s="1"/>
      <c r="F250" s="21"/>
      <c r="G250" s="22" t="str">
        <f aca="false">IF(F250="","",IF(B250="Despesa",-F250,F250))</f>
        <v/>
      </c>
      <c r="H250" s="1"/>
      <c r="I250" s="35" t="str">
        <f aca="false">IF(A250="","",TEXT(A250,"yyyy-mm"))</f>
        <v/>
      </c>
    </row>
    <row r="251" customFormat="false" ht="15" hidden="false" customHeight="false" outlineLevel="0" collapsed="false">
      <c r="A251" s="25"/>
      <c r="B251" s="1"/>
      <c r="C251" s="1"/>
      <c r="D251" s="1"/>
      <c r="E251" s="1"/>
      <c r="F251" s="21"/>
      <c r="G251" s="22" t="str">
        <f aca="false">IF(F251="","",IF(B251="Despesa",-F251,F251))</f>
        <v/>
      </c>
      <c r="H251" s="1"/>
      <c r="I251" s="35" t="str">
        <f aca="false">IF(A251="","",TEXT(A251,"yyyy-mm"))</f>
        <v/>
      </c>
    </row>
    <row r="252" customFormat="false" ht="15" hidden="false" customHeight="false" outlineLevel="0" collapsed="false">
      <c r="A252" s="25"/>
      <c r="B252" s="1"/>
      <c r="C252" s="1"/>
      <c r="D252" s="1"/>
      <c r="E252" s="1"/>
      <c r="F252" s="21"/>
      <c r="G252" s="22" t="str">
        <f aca="false">IF(F252="","",IF(B252="Despesa",-F252,F252))</f>
        <v/>
      </c>
      <c r="H252" s="1"/>
      <c r="I252" s="35" t="str">
        <f aca="false">IF(A252="","",TEXT(A252,"yyyy-mm"))</f>
        <v/>
      </c>
    </row>
    <row r="253" customFormat="false" ht="15" hidden="false" customHeight="false" outlineLevel="0" collapsed="false">
      <c r="A253" s="25"/>
      <c r="B253" s="1"/>
      <c r="C253" s="1"/>
      <c r="D253" s="1"/>
      <c r="E253" s="1"/>
      <c r="F253" s="21"/>
      <c r="G253" s="22" t="str">
        <f aca="false">IF(F253="","",IF(B253="Despesa",-F253,F253))</f>
        <v/>
      </c>
      <c r="H253" s="1"/>
      <c r="I253" s="35" t="str">
        <f aca="false">IF(A253="","",TEXT(A253,"yyyy-mm"))</f>
        <v/>
      </c>
    </row>
    <row r="254" customFormat="false" ht="15" hidden="false" customHeight="false" outlineLevel="0" collapsed="false">
      <c r="A254" s="25"/>
      <c r="B254" s="1"/>
      <c r="C254" s="1"/>
      <c r="D254" s="1"/>
      <c r="E254" s="1"/>
      <c r="F254" s="21"/>
      <c r="G254" s="22" t="str">
        <f aca="false">IF(F254="","",IF(B254="Despesa",-F254,F254))</f>
        <v/>
      </c>
      <c r="H254" s="1"/>
      <c r="I254" s="35" t="str">
        <f aca="false">IF(A254="","",TEXT(A254,"yyyy-mm"))</f>
        <v/>
      </c>
    </row>
    <row r="255" customFormat="false" ht="15" hidden="false" customHeight="false" outlineLevel="0" collapsed="false">
      <c r="A255" s="25"/>
      <c r="B255" s="1"/>
      <c r="C255" s="1"/>
      <c r="D255" s="1"/>
      <c r="E255" s="1"/>
      <c r="F255" s="21"/>
      <c r="G255" s="22" t="str">
        <f aca="false">IF(F255="","",IF(B255="Despesa",-F255,F255))</f>
        <v/>
      </c>
      <c r="H255" s="1"/>
      <c r="I255" s="35" t="str">
        <f aca="false">IF(A255="","",TEXT(A255,"yyyy-mm"))</f>
        <v/>
      </c>
    </row>
    <row r="256" customFormat="false" ht="15" hidden="false" customHeight="false" outlineLevel="0" collapsed="false">
      <c r="A256" s="25"/>
      <c r="B256" s="1"/>
      <c r="C256" s="1"/>
      <c r="D256" s="1"/>
      <c r="E256" s="1"/>
      <c r="F256" s="21"/>
      <c r="G256" s="22" t="str">
        <f aca="false">IF(F256="","",IF(B256="Despesa",-F256,F256))</f>
        <v/>
      </c>
      <c r="H256" s="1"/>
      <c r="I256" s="35" t="str">
        <f aca="false">IF(A256="","",TEXT(A256,"yyyy-mm"))</f>
        <v/>
      </c>
    </row>
    <row r="257" customFormat="false" ht="15" hidden="false" customHeight="false" outlineLevel="0" collapsed="false">
      <c r="A257" s="25"/>
      <c r="B257" s="1"/>
      <c r="C257" s="1"/>
      <c r="D257" s="1"/>
      <c r="E257" s="1"/>
      <c r="F257" s="21"/>
      <c r="G257" s="22" t="str">
        <f aca="false">IF(F257="","",IF(B257="Despesa",-F257,F257))</f>
        <v/>
      </c>
      <c r="H257" s="1"/>
      <c r="I257" s="35" t="str">
        <f aca="false">IF(A257="","",TEXT(A257,"yyyy-mm"))</f>
        <v/>
      </c>
    </row>
    <row r="258" customFormat="false" ht="15" hidden="false" customHeight="false" outlineLevel="0" collapsed="false">
      <c r="A258" s="25"/>
      <c r="B258" s="1"/>
      <c r="C258" s="1"/>
      <c r="D258" s="1"/>
      <c r="E258" s="1"/>
      <c r="F258" s="21"/>
      <c r="G258" s="22" t="str">
        <f aca="false">IF(F258="","",IF(B258="Despesa",-F258,F258))</f>
        <v/>
      </c>
      <c r="H258" s="1"/>
      <c r="I258" s="35" t="str">
        <f aca="false">IF(A258="","",TEXT(A258,"yyyy-mm"))</f>
        <v/>
      </c>
    </row>
    <row r="259" customFormat="false" ht="15" hidden="false" customHeight="false" outlineLevel="0" collapsed="false">
      <c r="A259" s="25"/>
      <c r="B259" s="1"/>
      <c r="C259" s="1"/>
      <c r="D259" s="1"/>
      <c r="E259" s="1"/>
      <c r="F259" s="21"/>
      <c r="G259" s="22" t="str">
        <f aca="false">IF(F259="","",IF(B259="Despesa",-F259,F259))</f>
        <v/>
      </c>
      <c r="H259" s="1"/>
      <c r="I259" s="35" t="str">
        <f aca="false">IF(A259="","",TEXT(A259,"yyyy-mm"))</f>
        <v/>
      </c>
    </row>
    <row r="260" customFormat="false" ht="15" hidden="false" customHeight="false" outlineLevel="0" collapsed="false">
      <c r="A260" s="25"/>
      <c r="B260" s="1"/>
      <c r="C260" s="1"/>
      <c r="D260" s="1"/>
      <c r="E260" s="1"/>
      <c r="F260" s="21"/>
      <c r="G260" s="22" t="str">
        <f aca="false">IF(F260="","",IF(B260="Despesa",-F260,F260))</f>
        <v/>
      </c>
      <c r="H260" s="1"/>
      <c r="I260" s="35" t="str">
        <f aca="false">IF(A260="","",TEXT(A260,"yyyy-mm"))</f>
        <v/>
      </c>
    </row>
    <row r="261" customFormat="false" ht="15" hidden="false" customHeight="false" outlineLevel="0" collapsed="false">
      <c r="A261" s="25"/>
      <c r="B261" s="1"/>
      <c r="C261" s="1"/>
      <c r="D261" s="1"/>
      <c r="E261" s="1"/>
      <c r="F261" s="21"/>
      <c r="G261" s="22" t="str">
        <f aca="false">IF(F261="","",IF(B261="Despesa",-F261,F261))</f>
        <v/>
      </c>
      <c r="H261" s="1"/>
      <c r="I261" s="35" t="str">
        <f aca="false">IF(A261="","",TEXT(A261,"yyyy-mm"))</f>
        <v/>
      </c>
    </row>
    <row r="262" customFormat="false" ht="15" hidden="false" customHeight="false" outlineLevel="0" collapsed="false">
      <c r="A262" s="25"/>
      <c r="B262" s="1"/>
      <c r="C262" s="1"/>
      <c r="D262" s="1"/>
      <c r="E262" s="1"/>
      <c r="F262" s="21"/>
      <c r="G262" s="22" t="str">
        <f aca="false">IF(F262="","",IF(B262="Despesa",-F262,F262))</f>
        <v/>
      </c>
      <c r="H262" s="1"/>
      <c r="I262" s="35" t="str">
        <f aca="false">IF(A262="","",TEXT(A262,"yyyy-mm"))</f>
        <v/>
      </c>
    </row>
    <row r="263" customFormat="false" ht="15" hidden="false" customHeight="false" outlineLevel="0" collapsed="false">
      <c r="A263" s="25"/>
      <c r="B263" s="1"/>
      <c r="C263" s="1"/>
      <c r="D263" s="1"/>
      <c r="E263" s="1"/>
      <c r="F263" s="21"/>
      <c r="G263" s="22" t="str">
        <f aca="false">IF(F263="","",IF(B263="Despesa",-F263,F263))</f>
        <v/>
      </c>
      <c r="H263" s="1"/>
      <c r="I263" s="35" t="str">
        <f aca="false">IF(A263="","",TEXT(A263,"yyyy-mm"))</f>
        <v/>
      </c>
    </row>
    <row r="264" customFormat="false" ht="15" hidden="false" customHeight="false" outlineLevel="0" collapsed="false">
      <c r="A264" s="25"/>
      <c r="B264" s="1"/>
      <c r="C264" s="1"/>
      <c r="D264" s="1"/>
      <c r="E264" s="1"/>
      <c r="F264" s="21"/>
      <c r="G264" s="22" t="str">
        <f aca="false">IF(F264="","",IF(B264="Despesa",-F264,F264))</f>
        <v/>
      </c>
      <c r="H264" s="1"/>
      <c r="I264" s="35" t="str">
        <f aca="false">IF(A264="","",TEXT(A264,"yyyy-mm"))</f>
        <v/>
      </c>
    </row>
    <row r="265" customFormat="false" ht="15" hidden="false" customHeight="false" outlineLevel="0" collapsed="false">
      <c r="A265" s="25"/>
      <c r="B265" s="1"/>
      <c r="C265" s="1"/>
      <c r="D265" s="1"/>
      <c r="E265" s="1"/>
      <c r="F265" s="21"/>
      <c r="G265" s="22" t="str">
        <f aca="false">IF(F265="","",IF(B265="Despesa",-F265,F265))</f>
        <v/>
      </c>
      <c r="H265" s="1"/>
      <c r="I265" s="35" t="str">
        <f aca="false">IF(A265="","",TEXT(A265,"yyyy-mm"))</f>
        <v/>
      </c>
    </row>
    <row r="266" customFormat="false" ht="15" hidden="false" customHeight="false" outlineLevel="0" collapsed="false">
      <c r="A266" s="25"/>
      <c r="B266" s="1"/>
      <c r="C266" s="1"/>
      <c r="D266" s="1"/>
      <c r="E266" s="1"/>
      <c r="F266" s="21"/>
      <c r="G266" s="22" t="str">
        <f aca="false">IF(F266="","",IF(B266="Despesa",-F266,F266))</f>
        <v/>
      </c>
      <c r="H266" s="1"/>
      <c r="I266" s="35" t="str">
        <f aca="false">IF(A266="","",TEXT(A266,"yyyy-mm"))</f>
        <v/>
      </c>
    </row>
    <row r="267" customFormat="false" ht="15" hidden="false" customHeight="false" outlineLevel="0" collapsed="false">
      <c r="A267" s="25"/>
      <c r="B267" s="1"/>
      <c r="C267" s="1"/>
      <c r="D267" s="1"/>
      <c r="E267" s="1"/>
      <c r="F267" s="21"/>
      <c r="G267" s="22" t="str">
        <f aca="false">IF(F267="","",IF(B267="Despesa",-F267,F267))</f>
        <v/>
      </c>
      <c r="H267" s="1"/>
      <c r="I267" s="35" t="str">
        <f aca="false">IF(A267="","",TEXT(A267,"yyyy-mm"))</f>
        <v/>
      </c>
    </row>
    <row r="268" customFormat="false" ht="15" hidden="false" customHeight="false" outlineLevel="0" collapsed="false">
      <c r="A268" s="25"/>
      <c r="B268" s="1"/>
      <c r="C268" s="1"/>
      <c r="D268" s="1"/>
      <c r="E268" s="1"/>
      <c r="F268" s="21"/>
      <c r="G268" s="22" t="str">
        <f aca="false">IF(F268="","",IF(B268="Despesa",-F268,F268))</f>
        <v/>
      </c>
      <c r="H268" s="1"/>
      <c r="I268" s="35" t="str">
        <f aca="false">IF(A268="","",TEXT(A268,"yyyy-mm"))</f>
        <v/>
      </c>
    </row>
    <row r="269" customFormat="false" ht="15" hidden="false" customHeight="false" outlineLevel="0" collapsed="false">
      <c r="A269" s="25"/>
      <c r="B269" s="1"/>
      <c r="C269" s="1"/>
      <c r="D269" s="1"/>
      <c r="E269" s="1"/>
      <c r="F269" s="21"/>
      <c r="G269" s="22" t="str">
        <f aca="false">IF(F269="","",IF(B269="Despesa",-F269,F269))</f>
        <v/>
      </c>
      <c r="H269" s="1"/>
      <c r="I269" s="35" t="str">
        <f aca="false">IF(A269="","",TEXT(A269,"yyyy-mm"))</f>
        <v/>
      </c>
    </row>
    <row r="270" customFormat="false" ht="15" hidden="false" customHeight="false" outlineLevel="0" collapsed="false">
      <c r="A270" s="25"/>
      <c r="B270" s="1"/>
      <c r="C270" s="1"/>
      <c r="D270" s="1"/>
      <c r="E270" s="1"/>
      <c r="F270" s="21"/>
      <c r="G270" s="22" t="str">
        <f aca="false">IF(F270="","",IF(B270="Despesa",-F270,F270))</f>
        <v/>
      </c>
      <c r="H270" s="1"/>
      <c r="I270" s="35" t="str">
        <f aca="false">IF(A270="","",TEXT(A270,"yyyy-mm"))</f>
        <v/>
      </c>
    </row>
    <row r="271" customFormat="false" ht="15" hidden="false" customHeight="false" outlineLevel="0" collapsed="false">
      <c r="A271" s="25"/>
      <c r="B271" s="1"/>
      <c r="C271" s="1"/>
      <c r="D271" s="1"/>
      <c r="E271" s="1"/>
      <c r="F271" s="21"/>
      <c r="G271" s="22" t="str">
        <f aca="false">IF(F271="","",IF(B271="Despesa",-F271,F271))</f>
        <v/>
      </c>
      <c r="H271" s="1"/>
      <c r="I271" s="35" t="str">
        <f aca="false">IF(A271="","",TEXT(A271,"yyyy-mm"))</f>
        <v/>
      </c>
    </row>
    <row r="272" customFormat="false" ht="15" hidden="false" customHeight="false" outlineLevel="0" collapsed="false">
      <c r="A272" s="25"/>
      <c r="B272" s="1"/>
      <c r="C272" s="1"/>
      <c r="D272" s="1"/>
      <c r="E272" s="1"/>
      <c r="F272" s="21"/>
      <c r="G272" s="22" t="str">
        <f aca="false">IF(F272="","",IF(B272="Despesa",-F272,F272))</f>
        <v/>
      </c>
      <c r="H272" s="1"/>
      <c r="I272" s="35" t="str">
        <f aca="false">IF(A272="","",TEXT(A272,"yyyy-mm"))</f>
        <v/>
      </c>
    </row>
    <row r="273" customFormat="false" ht="15" hidden="false" customHeight="false" outlineLevel="0" collapsed="false">
      <c r="A273" s="25"/>
      <c r="B273" s="1"/>
      <c r="C273" s="1"/>
      <c r="D273" s="1"/>
      <c r="E273" s="1"/>
      <c r="F273" s="21"/>
      <c r="G273" s="22" t="str">
        <f aca="false">IF(F273="","",IF(B273="Despesa",-F273,F273))</f>
        <v/>
      </c>
      <c r="H273" s="1"/>
      <c r="I273" s="35" t="str">
        <f aca="false">IF(A273="","",TEXT(A273,"yyyy-mm"))</f>
        <v/>
      </c>
    </row>
    <row r="274" customFormat="false" ht="15" hidden="false" customHeight="false" outlineLevel="0" collapsed="false">
      <c r="A274" s="25"/>
      <c r="B274" s="1"/>
      <c r="C274" s="1"/>
      <c r="D274" s="1"/>
      <c r="E274" s="1"/>
      <c r="F274" s="21"/>
      <c r="G274" s="22" t="str">
        <f aca="false">IF(F274="","",IF(B274="Despesa",-F274,F274))</f>
        <v/>
      </c>
      <c r="H274" s="1"/>
      <c r="I274" s="35" t="str">
        <f aca="false">IF(A274="","",TEXT(A274,"yyyy-mm"))</f>
        <v/>
      </c>
    </row>
    <row r="275" customFormat="false" ht="15" hidden="false" customHeight="false" outlineLevel="0" collapsed="false">
      <c r="A275" s="25"/>
      <c r="B275" s="1"/>
      <c r="C275" s="1"/>
      <c r="D275" s="1"/>
      <c r="E275" s="1"/>
      <c r="F275" s="21"/>
      <c r="G275" s="22" t="str">
        <f aca="false">IF(F275="","",IF(B275="Despesa",-F275,F275))</f>
        <v/>
      </c>
      <c r="H275" s="1"/>
      <c r="I275" s="35" t="str">
        <f aca="false">IF(A275="","",TEXT(A275,"yyyy-mm"))</f>
        <v/>
      </c>
    </row>
    <row r="276" customFormat="false" ht="15" hidden="false" customHeight="false" outlineLevel="0" collapsed="false">
      <c r="A276" s="25"/>
      <c r="B276" s="1"/>
      <c r="C276" s="1"/>
      <c r="D276" s="1"/>
      <c r="E276" s="1"/>
      <c r="F276" s="21"/>
      <c r="G276" s="22" t="str">
        <f aca="false">IF(F276="","",IF(B276="Despesa",-F276,F276))</f>
        <v/>
      </c>
      <c r="H276" s="1"/>
      <c r="I276" s="35" t="str">
        <f aca="false">IF(A276="","",TEXT(A276,"yyyy-mm"))</f>
        <v/>
      </c>
    </row>
    <row r="277" customFormat="false" ht="15" hidden="false" customHeight="false" outlineLevel="0" collapsed="false">
      <c r="A277" s="25"/>
      <c r="B277" s="1"/>
      <c r="C277" s="1"/>
      <c r="D277" s="1"/>
      <c r="E277" s="1"/>
      <c r="F277" s="21"/>
      <c r="G277" s="22" t="str">
        <f aca="false">IF(F277="","",IF(B277="Despesa",-F277,F277))</f>
        <v/>
      </c>
      <c r="H277" s="1"/>
      <c r="I277" s="35" t="str">
        <f aca="false">IF(A277="","",TEXT(A277,"yyyy-mm"))</f>
        <v/>
      </c>
    </row>
    <row r="278" customFormat="false" ht="15" hidden="false" customHeight="false" outlineLevel="0" collapsed="false">
      <c r="A278" s="25"/>
      <c r="B278" s="1"/>
      <c r="C278" s="1"/>
      <c r="D278" s="1"/>
      <c r="E278" s="1"/>
      <c r="F278" s="21"/>
      <c r="G278" s="22" t="str">
        <f aca="false">IF(F278="","",IF(B278="Despesa",-F278,F278))</f>
        <v/>
      </c>
      <c r="H278" s="1"/>
      <c r="I278" s="35" t="str">
        <f aca="false">IF(A278="","",TEXT(A278,"yyyy-mm"))</f>
        <v/>
      </c>
    </row>
    <row r="279" customFormat="false" ht="15" hidden="false" customHeight="false" outlineLevel="0" collapsed="false">
      <c r="A279" s="25"/>
      <c r="B279" s="1"/>
      <c r="C279" s="1"/>
      <c r="D279" s="1"/>
      <c r="E279" s="1"/>
      <c r="F279" s="21"/>
      <c r="G279" s="22" t="str">
        <f aca="false">IF(F279="","",IF(B279="Despesa",-F279,F279))</f>
        <v/>
      </c>
      <c r="H279" s="1"/>
      <c r="I279" s="35" t="str">
        <f aca="false">IF(A279="","",TEXT(A279,"yyyy-mm"))</f>
        <v/>
      </c>
    </row>
    <row r="280" customFormat="false" ht="15" hidden="false" customHeight="false" outlineLevel="0" collapsed="false">
      <c r="A280" s="25"/>
      <c r="B280" s="1"/>
      <c r="C280" s="1"/>
      <c r="D280" s="1"/>
      <c r="E280" s="1"/>
      <c r="F280" s="21"/>
      <c r="G280" s="22" t="str">
        <f aca="false">IF(F280="","",IF(B280="Despesa",-F280,F280))</f>
        <v/>
      </c>
      <c r="H280" s="1"/>
      <c r="I280" s="35" t="str">
        <f aca="false">IF(A280="","",TEXT(A280,"yyyy-mm"))</f>
        <v/>
      </c>
    </row>
    <row r="281" customFormat="false" ht="15" hidden="false" customHeight="false" outlineLevel="0" collapsed="false">
      <c r="A281" s="25"/>
      <c r="B281" s="1"/>
      <c r="C281" s="1"/>
      <c r="D281" s="1"/>
      <c r="E281" s="1"/>
      <c r="F281" s="21"/>
      <c r="G281" s="22" t="str">
        <f aca="false">IF(F281="","",IF(B281="Despesa",-F281,F281))</f>
        <v/>
      </c>
      <c r="H281" s="1"/>
      <c r="I281" s="35" t="str">
        <f aca="false">IF(A281="","",TEXT(A281,"yyyy-mm"))</f>
        <v/>
      </c>
    </row>
    <row r="282" customFormat="false" ht="15" hidden="false" customHeight="false" outlineLevel="0" collapsed="false">
      <c r="A282" s="25"/>
      <c r="B282" s="1"/>
      <c r="C282" s="1"/>
      <c r="D282" s="1"/>
      <c r="E282" s="1"/>
      <c r="F282" s="21"/>
      <c r="G282" s="22" t="str">
        <f aca="false">IF(F282="","",IF(B282="Despesa",-F282,F282))</f>
        <v/>
      </c>
      <c r="H282" s="1"/>
      <c r="I282" s="35" t="str">
        <f aca="false">IF(A282="","",TEXT(A282,"yyyy-mm"))</f>
        <v/>
      </c>
    </row>
    <row r="283" customFormat="false" ht="15" hidden="false" customHeight="false" outlineLevel="0" collapsed="false">
      <c r="A283" s="25"/>
      <c r="B283" s="1"/>
      <c r="C283" s="1"/>
      <c r="D283" s="1"/>
      <c r="E283" s="1"/>
      <c r="F283" s="21"/>
      <c r="G283" s="22" t="str">
        <f aca="false">IF(F283="","",IF(B283="Despesa",-F283,F283))</f>
        <v/>
      </c>
      <c r="H283" s="1"/>
      <c r="I283" s="35" t="str">
        <f aca="false">IF(A283="","",TEXT(A283,"yyyy-mm"))</f>
        <v/>
      </c>
    </row>
    <row r="284" customFormat="false" ht="15" hidden="false" customHeight="false" outlineLevel="0" collapsed="false">
      <c r="A284" s="25"/>
      <c r="B284" s="1"/>
      <c r="C284" s="1"/>
      <c r="D284" s="1"/>
      <c r="E284" s="1"/>
      <c r="F284" s="21"/>
      <c r="G284" s="22" t="str">
        <f aca="false">IF(F284="","",IF(B284="Despesa",-F284,F284))</f>
        <v/>
      </c>
      <c r="H284" s="1"/>
      <c r="I284" s="35" t="str">
        <f aca="false">IF(A284="","",TEXT(A284,"yyyy-mm"))</f>
        <v/>
      </c>
    </row>
    <row r="285" customFormat="false" ht="15" hidden="false" customHeight="false" outlineLevel="0" collapsed="false">
      <c r="A285" s="25"/>
      <c r="B285" s="1"/>
      <c r="C285" s="1"/>
      <c r="D285" s="1"/>
      <c r="E285" s="1"/>
      <c r="F285" s="21"/>
      <c r="G285" s="22" t="str">
        <f aca="false">IF(F285="","",IF(B285="Despesa",-F285,F285))</f>
        <v/>
      </c>
      <c r="H285" s="1"/>
      <c r="I285" s="35" t="str">
        <f aca="false">IF(A285="","",TEXT(A285,"yyyy-mm"))</f>
        <v/>
      </c>
    </row>
    <row r="286" customFormat="false" ht="15" hidden="false" customHeight="false" outlineLevel="0" collapsed="false">
      <c r="A286" s="25"/>
      <c r="B286" s="1"/>
      <c r="C286" s="1"/>
      <c r="D286" s="1"/>
      <c r="E286" s="1"/>
      <c r="F286" s="21"/>
      <c r="G286" s="22" t="str">
        <f aca="false">IF(F286="","",IF(B286="Despesa",-F286,F286))</f>
        <v/>
      </c>
      <c r="H286" s="1"/>
      <c r="I286" s="35" t="str">
        <f aca="false">IF(A286="","",TEXT(A286,"yyyy-mm"))</f>
        <v/>
      </c>
    </row>
    <row r="287" customFormat="false" ht="15" hidden="false" customHeight="false" outlineLevel="0" collapsed="false">
      <c r="A287" s="25"/>
      <c r="B287" s="1"/>
      <c r="C287" s="1"/>
      <c r="D287" s="1"/>
      <c r="E287" s="1"/>
      <c r="F287" s="21"/>
      <c r="G287" s="22" t="str">
        <f aca="false">IF(F287="","",IF(B287="Despesa",-F287,F287))</f>
        <v/>
      </c>
      <c r="H287" s="1"/>
      <c r="I287" s="35" t="str">
        <f aca="false">IF(A287="","",TEXT(A287,"yyyy-mm"))</f>
        <v/>
      </c>
    </row>
    <row r="288" customFormat="false" ht="15" hidden="false" customHeight="false" outlineLevel="0" collapsed="false">
      <c r="A288" s="25"/>
      <c r="B288" s="1"/>
      <c r="C288" s="1"/>
      <c r="D288" s="1"/>
      <c r="E288" s="1"/>
      <c r="F288" s="21"/>
      <c r="G288" s="22" t="str">
        <f aca="false">IF(F288="","",IF(B288="Despesa",-F288,F288))</f>
        <v/>
      </c>
      <c r="H288" s="1"/>
      <c r="I288" s="35" t="str">
        <f aca="false">IF(A288="","",TEXT(A288,"yyyy-mm"))</f>
        <v/>
      </c>
    </row>
    <row r="289" customFormat="false" ht="15" hidden="false" customHeight="false" outlineLevel="0" collapsed="false">
      <c r="A289" s="25"/>
      <c r="B289" s="1"/>
      <c r="C289" s="1"/>
      <c r="D289" s="1"/>
      <c r="E289" s="1"/>
      <c r="F289" s="21"/>
      <c r="G289" s="22" t="str">
        <f aca="false">IF(F289="","",IF(B289="Despesa",-F289,F289))</f>
        <v/>
      </c>
      <c r="H289" s="1"/>
      <c r="I289" s="35" t="str">
        <f aca="false">IF(A289="","",TEXT(A289,"yyyy-mm"))</f>
        <v/>
      </c>
    </row>
    <row r="290" customFormat="false" ht="15" hidden="false" customHeight="false" outlineLevel="0" collapsed="false">
      <c r="A290" s="25"/>
      <c r="B290" s="1"/>
      <c r="C290" s="1"/>
      <c r="D290" s="1"/>
      <c r="E290" s="1"/>
      <c r="F290" s="21"/>
      <c r="G290" s="22" t="str">
        <f aca="false">IF(F290="","",IF(B290="Despesa",-F290,F290))</f>
        <v/>
      </c>
      <c r="H290" s="1"/>
      <c r="I290" s="35" t="str">
        <f aca="false">IF(A290="","",TEXT(A290,"yyyy-mm"))</f>
        <v/>
      </c>
    </row>
    <row r="291" customFormat="false" ht="15" hidden="false" customHeight="false" outlineLevel="0" collapsed="false">
      <c r="A291" s="25"/>
      <c r="B291" s="1"/>
      <c r="C291" s="1"/>
      <c r="D291" s="1"/>
      <c r="E291" s="1"/>
      <c r="F291" s="21"/>
      <c r="G291" s="22" t="str">
        <f aca="false">IF(F291="","",IF(B291="Despesa",-F291,F291))</f>
        <v/>
      </c>
      <c r="H291" s="1"/>
      <c r="I291" s="35" t="str">
        <f aca="false">IF(A291="","",TEXT(A291,"yyyy-mm"))</f>
        <v/>
      </c>
    </row>
    <row r="292" customFormat="false" ht="15" hidden="false" customHeight="false" outlineLevel="0" collapsed="false">
      <c r="A292" s="25"/>
      <c r="B292" s="1"/>
      <c r="C292" s="1"/>
      <c r="D292" s="1"/>
      <c r="E292" s="1"/>
      <c r="F292" s="21"/>
      <c r="G292" s="22" t="str">
        <f aca="false">IF(F292="","",IF(B292="Despesa",-F292,F292))</f>
        <v/>
      </c>
      <c r="H292" s="1"/>
      <c r="I292" s="35" t="str">
        <f aca="false">IF(A292="","",TEXT(A292,"yyyy-mm"))</f>
        <v/>
      </c>
    </row>
    <row r="293" customFormat="false" ht="15" hidden="false" customHeight="false" outlineLevel="0" collapsed="false">
      <c r="A293" s="25"/>
      <c r="B293" s="1"/>
      <c r="C293" s="1"/>
      <c r="D293" s="1"/>
      <c r="E293" s="1"/>
      <c r="F293" s="21"/>
      <c r="G293" s="22" t="str">
        <f aca="false">IF(F293="","",IF(B293="Despesa",-F293,F293))</f>
        <v/>
      </c>
      <c r="H293" s="1"/>
      <c r="I293" s="35" t="str">
        <f aca="false">IF(A293="","",TEXT(A293,"yyyy-mm"))</f>
        <v/>
      </c>
    </row>
    <row r="294" customFormat="false" ht="15" hidden="false" customHeight="false" outlineLevel="0" collapsed="false">
      <c r="A294" s="25"/>
      <c r="B294" s="1"/>
      <c r="C294" s="1"/>
      <c r="D294" s="1"/>
      <c r="E294" s="1"/>
      <c r="F294" s="21"/>
      <c r="G294" s="22" t="str">
        <f aca="false">IF(F294="","",IF(B294="Despesa",-F294,F294))</f>
        <v/>
      </c>
      <c r="H294" s="1"/>
      <c r="I294" s="35" t="str">
        <f aca="false">IF(A294="","",TEXT(A294,"yyyy-mm"))</f>
        <v/>
      </c>
    </row>
    <row r="295" customFormat="false" ht="15" hidden="false" customHeight="false" outlineLevel="0" collapsed="false">
      <c r="A295" s="25"/>
      <c r="B295" s="1"/>
      <c r="C295" s="1"/>
      <c r="D295" s="1"/>
      <c r="E295" s="1"/>
      <c r="F295" s="21"/>
      <c r="G295" s="22" t="str">
        <f aca="false">IF(F295="","",IF(B295="Despesa",-F295,F295))</f>
        <v/>
      </c>
      <c r="H295" s="1"/>
      <c r="I295" s="35" t="str">
        <f aca="false">IF(A295="","",TEXT(A295,"yyyy-mm"))</f>
        <v/>
      </c>
    </row>
    <row r="296" customFormat="false" ht="15" hidden="false" customHeight="false" outlineLevel="0" collapsed="false">
      <c r="A296" s="25"/>
      <c r="B296" s="1"/>
      <c r="C296" s="1"/>
      <c r="D296" s="1"/>
      <c r="E296" s="1"/>
      <c r="F296" s="21"/>
      <c r="G296" s="22" t="str">
        <f aca="false">IF(F296="","",IF(B296="Despesa",-F296,F296))</f>
        <v/>
      </c>
      <c r="H296" s="1"/>
      <c r="I296" s="35" t="str">
        <f aca="false">IF(A296="","",TEXT(A296,"yyyy-mm"))</f>
        <v/>
      </c>
    </row>
    <row r="297" customFormat="false" ht="15" hidden="false" customHeight="false" outlineLevel="0" collapsed="false">
      <c r="A297" s="25"/>
      <c r="B297" s="1"/>
      <c r="C297" s="1"/>
      <c r="D297" s="1"/>
      <c r="E297" s="1"/>
      <c r="F297" s="21"/>
      <c r="G297" s="22" t="str">
        <f aca="false">IF(F297="","",IF(B297="Despesa",-F297,F297))</f>
        <v/>
      </c>
      <c r="H297" s="1"/>
      <c r="I297" s="35" t="str">
        <f aca="false">IF(A297="","",TEXT(A297,"yyyy-mm"))</f>
        <v/>
      </c>
    </row>
    <row r="298" customFormat="false" ht="15" hidden="false" customHeight="false" outlineLevel="0" collapsed="false">
      <c r="A298" s="25"/>
      <c r="B298" s="1"/>
      <c r="C298" s="1"/>
      <c r="D298" s="1"/>
      <c r="E298" s="1"/>
      <c r="F298" s="21"/>
      <c r="G298" s="22" t="str">
        <f aca="false">IF(F298="","",IF(B298="Despesa",-F298,F298))</f>
        <v/>
      </c>
      <c r="H298" s="1"/>
      <c r="I298" s="35" t="str">
        <f aca="false">IF(A298="","",TEXT(A298,"yyyy-mm"))</f>
        <v/>
      </c>
    </row>
    <row r="299" customFormat="false" ht="15" hidden="false" customHeight="false" outlineLevel="0" collapsed="false">
      <c r="A299" s="25"/>
      <c r="B299" s="1"/>
      <c r="C299" s="1"/>
      <c r="D299" s="1"/>
      <c r="E299" s="1"/>
      <c r="F299" s="21"/>
      <c r="G299" s="22" t="str">
        <f aca="false">IF(F299="","",IF(B299="Despesa",-F299,F299))</f>
        <v/>
      </c>
      <c r="H299" s="1"/>
      <c r="I299" s="35" t="str">
        <f aca="false">IF(A299="","",TEXT(A299,"yyyy-mm"))</f>
        <v/>
      </c>
    </row>
    <row r="300" customFormat="false" ht="15" hidden="false" customHeight="false" outlineLevel="0" collapsed="false">
      <c r="A300" s="25"/>
      <c r="B300" s="1"/>
      <c r="C300" s="1"/>
      <c r="D300" s="1"/>
      <c r="E300" s="1"/>
      <c r="F300" s="21"/>
      <c r="G300" s="22" t="str">
        <f aca="false">IF(F300="","",IF(B300="Despesa",-F300,F300))</f>
        <v/>
      </c>
      <c r="H300" s="1"/>
      <c r="I300" s="35" t="str">
        <f aca="false">IF(A300="","",TEXT(A300,"yyyy-mm"))</f>
        <v/>
      </c>
    </row>
    <row r="301" customFormat="false" ht="15" hidden="false" customHeight="false" outlineLevel="0" collapsed="false">
      <c r="A301" s="25"/>
      <c r="B301" s="1"/>
      <c r="C301" s="1"/>
      <c r="D301" s="1"/>
      <c r="E301" s="1"/>
      <c r="F301" s="21"/>
      <c r="G301" s="22" t="str">
        <f aca="false">IF(F301="","",IF(B301="Despesa",-F301,F301))</f>
        <v/>
      </c>
      <c r="H301" s="1"/>
      <c r="I301" s="35" t="str">
        <f aca="false">IF(A301="","",TEXT(A301,"yyyy-mm"))</f>
        <v/>
      </c>
    </row>
    <row r="302" customFormat="false" ht="15" hidden="false" customHeight="false" outlineLevel="0" collapsed="false">
      <c r="A302" s="25"/>
      <c r="B302" s="1"/>
      <c r="C302" s="1"/>
      <c r="D302" s="1"/>
      <c r="E302" s="1"/>
      <c r="F302" s="21"/>
      <c r="G302" s="22" t="str">
        <f aca="false">IF(F302="","",IF(B302="Despesa",-F302,F302))</f>
        <v/>
      </c>
      <c r="H302" s="1"/>
      <c r="I302" s="35" t="str">
        <f aca="false">IF(A302="","",TEXT(A302,"yyyy-mm"))</f>
        <v/>
      </c>
    </row>
    <row r="303" customFormat="false" ht="15" hidden="false" customHeight="false" outlineLevel="0" collapsed="false">
      <c r="A303" s="25"/>
      <c r="B303" s="1"/>
      <c r="C303" s="1"/>
      <c r="D303" s="1"/>
      <c r="E303" s="1"/>
      <c r="F303" s="21"/>
      <c r="G303" s="22" t="str">
        <f aca="false">IF(F303="","",IF(B303="Despesa",-F303,F303))</f>
        <v/>
      </c>
      <c r="H303" s="1"/>
      <c r="I303" s="35" t="str">
        <f aca="false">IF(A303="","",TEXT(A303,"yyyy-mm"))</f>
        <v/>
      </c>
    </row>
    <row r="304" customFormat="false" ht="15" hidden="false" customHeight="false" outlineLevel="0" collapsed="false">
      <c r="A304" s="25"/>
      <c r="B304" s="1"/>
      <c r="C304" s="1"/>
      <c r="D304" s="1"/>
      <c r="E304" s="1"/>
      <c r="F304" s="21"/>
      <c r="G304" s="22" t="str">
        <f aca="false">IF(F304="","",IF(B304="Despesa",-F304,F304))</f>
        <v/>
      </c>
      <c r="H304" s="1"/>
      <c r="I304" s="35" t="str">
        <f aca="false">IF(A304="","",TEXT(A304,"yyyy-mm"))</f>
        <v/>
      </c>
    </row>
  </sheetData>
  <autoFilter ref="A4:I304"/>
  <dataValidations count="3">
    <dataValidation allowBlank="true" errorStyle="stop" operator="between" showDropDown="false" showErrorMessage="false" showInputMessage="false" sqref="B5:B304" type="list">
      <formula1>Listas!$J$4:$J$40</formula1>
      <formula2>0</formula2>
    </dataValidation>
    <dataValidation allowBlank="true" errorStyle="stop" operator="between" showDropDown="false" showErrorMessage="false" showInputMessage="false" sqref="C5:C304" type="list">
      <formula1>Listas!$K$4:$K$40</formula1>
      <formula2>0</formula2>
    </dataValidation>
    <dataValidation allowBlank="true" errorStyle="stop" operator="between" showDropDown="false" showErrorMessage="false" showInputMessage="false" sqref="H5:H30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4"/>
    <col collapsed="false" customWidth="true" hidden="false" outlineLevel="0" max="15" min="14" style="0" width="20"/>
  </cols>
  <sheetData>
    <row r="1" customFormat="false" ht="15" hidden="false" customHeight="false" outlineLevel="0" collapsed="false">
      <c r="A1" s="36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37" t="s">
        <v>84</v>
      </c>
      <c r="B3" s="37" t="s">
        <v>85</v>
      </c>
      <c r="C3" s="37" t="s">
        <v>256</v>
      </c>
      <c r="D3" s="37" t="s">
        <v>257</v>
      </c>
      <c r="E3" s="37" t="s">
        <v>258</v>
      </c>
      <c r="F3" s="37" t="s">
        <v>259</v>
      </c>
      <c r="G3" s="37" t="s">
        <v>260</v>
      </c>
      <c r="H3" s="37" t="s">
        <v>261</v>
      </c>
      <c r="I3" s="37" t="s">
        <v>262</v>
      </c>
      <c r="J3" s="37" t="s">
        <v>263</v>
      </c>
      <c r="K3" s="37" t="s">
        <v>264</v>
      </c>
      <c r="L3" s="37" t="s">
        <v>137</v>
      </c>
      <c r="M3" s="1"/>
      <c r="N3" s="37" t="s">
        <v>265</v>
      </c>
      <c r="O3" s="37" t="s">
        <v>205</v>
      </c>
    </row>
    <row r="4" customFormat="false" ht="15" hidden="false" customHeight="false" outlineLevel="0" collapsed="false">
      <c r="A4" s="19" t="s">
        <v>101</v>
      </c>
      <c r="B4" s="19" t="s">
        <v>102</v>
      </c>
      <c r="C4" s="19" t="s">
        <v>266</v>
      </c>
      <c r="D4" s="19" t="s">
        <v>267</v>
      </c>
      <c r="E4" s="19" t="s">
        <v>156</v>
      </c>
      <c r="F4" s="19" t="s">
        <v>172</v>
      </c>
      <c r="G4" s="19" t="s">
        <v>19</v>
      </c>
      <c r="H4" s="19" t="s">
        <v>268</v>
      </c>
      <c r="I4" s="19" t="s">
        <v>269</v>
      </c>
      <c r="J4" s="19" t="s">
        <v>251</v>
      </c>
      <c r="K4" s="19" t="s">
        <v>252</v>
      </c>
      <c r="L4" s="19" t="s">
        <v>155</v>
      </c>
      <c r="M4" s="1"/>
      <c r="N4" s="19" t="s">
        <v>33</v>
      </c>
      <c r="O4" s="38" t="n">
        <v>0.1</v>
      </c>
    </row>
    <row r="5" customFormat="false" ht="15" hidden="false" customHeight="false" outlineLevel="0" collapsed="false">
      <c r="A5" s="19" t="s">
        <v>270</v>
      </c>
      <c r="B5" s="19" t="s">
        <v>271</v>
      </c>
      <c r="C5" s="19" t="s">
        <v>272</v>
      </c>
      <c r="D5" s="19" t="s">
        <v>273</v>
      </c>
      <c r="E5" s="19" t="s">
        <v>153</v>
      </c>
      <c r="F5" s="19" t="s">
        <v>25</v>
      </c>
      <c r="G5" s="19" t="s">
        <v>21</v>
      </c>
      <c r="H5" s="19" t="s">
        <v>195</v>
      </c>
      <c r="I5" s="19" t="s">
        <v>112</v>
      </c>
      <c r="J5" s="19" t="s">
        <v>247</v>
      </c>
      <c r="K5" s="19" t="s">
        <v>274</v>
      </c>
      <c r="L5" s="19" t="s">
        <v>146</v>
      </c>
      <c r="M5" s="1"/>
      <c r="N5" s="19" t="s">
        <v>34</v>
      </c>
      <c r="O5" s="38" t="n">
        <v>0.2</v>
      </c>
    </row>
    <row r="6" customFormat="false" ht="15" hidden="false" customHeight="false" outlineLevel="0" collapsed="false">
      <c r="A6" s="19" t="s">
        <v>108</v>
      </c>
      <c r="B6" s="19" t="s">
        <v>31</v>
      </c>
      <c r="C6" s="19" t="s">
        <v>275</v>
      </c>
      <c r="D6" s="19" t="s">
        <v>145</v>
      </c>
      <c r="E6" s="19" t="s">
        <v>276</v>
      </c>
      <c r="F6" s="19" t="s">
        <v>277</v>
      </c>
      <c r="G6" s="19" t="s">
        <v>23</v>
      </c>
      <c r="H6" s="19" t="s">
        <v>278</v>
      </c>
      <c r="I6" s="19" t="s">
        <v>279</v>
      </c>
      <c r="J6" s="1"/>
      <c r="K6" s="19" t="s">
        <v>280</v>
      </c>
      <c r="L6" s="19" t="s">
        <v>149</v>
      </c>
      <c r="M6" s="1"/>
      <c r="N6" s="19" t="s">
        <v>35</v>
      </c>
      <c r="O6" s="38" t="n">
        <v>0.35</v>
      </c>
    </row>
    <row r="7" customFormat="false" ht="15" hidden="false" customHeight="false" outlineLevel="0" collapsed="false">
      <c r="A7" s="19" t="s">
        <v>281</v>
      </c>
      <c r="B7" s="19" t="s">
        <v>282</v>
      </c>
      <c r="C7" s="19" t="s">
        <v>103</v>
      </c>
      <c r="D7" s="19" t="s">
        <v>283</v>
      </c>
      <c r="E7" s="19" t="s">
        <v>147</v>
      </c>
      <c r="F7" s="19" t="s">
        <v>284</v>
      </c>
      <c r="G7" s="19" t="s">
        <v>25</v>
      </c>
      <c r="H7" s="19" t="s">
        <v>177</v>
      </c>
      <c r="I7" s="19" t="s">
        <v>285</v>
      </c>
      <c r="J7" s="1"/>
      <c r="K7" s="19" t="s">
        <v>154</v>
      </c>
      <c r="L7" s="19" t="s">
        <v>151</v>
      </c>
      <c r="M7" s="1"/>
      <c r="N7" s="19" t="s">
        <v>36</v>
      </c>
      <c r="O7" s="38" t="n">
        <v>0.5</v>
      </c>
    </row>
    <row r="8" customFormat="false" ht="15" hidden="false" customHeight="false" outlineLevel="0" collapsed="false">
      <c r="A8" s="19" t="s">
        <v>286</v>
      </c>
      <c r="B8" s="19" t="s">
        <v>287</v>
      </c>
      <c r="C8" s="19" t="s">
        <v>109</v>
      </c>
      <c r="D8" s="19" t="s">
        <v>148</v>
      </c>
      <c r="E8" s="19" t="s">
        <v>288</v>
      </c>
      <c r="F8" s="19" t="s">
        <v>289</v>
      </c>
      <c r="G8" s="19" t="s">
        <v>27</v>
      </c>
      <c r="H8" s="19" t="s">
        <v>187</v>
      </c>
      <c r="I8" s="19" t="s">
        <v>290</v>
      </c>
      <c r="J8" s="1"/>
      <c r="K8" s="19" t="s">
        <v>248</v>
      </c>
      <c r="L8" s="19" t="s">
        <v>178</v>
      </c>
      <c r="M8" s="1"/>
      <c r="N8" s="19" t="s">
        <v>37</v>
      </c>
      <c r="O8" s="38" t="n">
        <v>0.75</v>
      </c>
    </row>
    <row r="9" customFormat="false" ht="15" hidden="false" customHeight="false" outlineLevel="0" collapsed="false">
      <c r="A9" s="19" t="s">
        <v>291</v>
      </c>
      <c r="B9" s="1"/>
      <c r="C9" s="19" t="s">
        <v>292</v>
      </c>
      <c r="D9" s="19" t="s">
        <v>150</v>
      </c>
      <c r="E9" s="1"/>
      <c r="F9" s="19" t="s">
        <v>190</v>
      </c>
      <c r="G9" s="19" t="s">
        <v>29</v>
      </c>
      <c r="H9" s="19" t="s">
        <v>112</v>
      </c>
      <c r="I9" s="19" t="s">
        <v>223</v>
      </c>
      <c r="J9" s="1"/>
      <c r="K9" s="19" t="s">
        <v>293</v>
      </c>
      <c r="L9" s="19" t="s">
        <v>196</v>
      </c>
      <c r="M9" s="1"/>
      <c r="N9" s="19" t="s">
        <v>38</v>
      </c>
      <c r="O9" s="38" t="n">
        <v>1</v>
      </c>
    </row>
    <row r="10" customFormat="false" ht="15" hidden="false" customHeight="false" outlineLevel="0" collapsed="false">
      <c r="A10" s="19" t="s">
        <v>294</v>
      </c>
      <c r="B10" s="1"/>
      <c r="C10" s="19" t="s">
        <v>295</v>
      </c>
      <c r="D10" s="19" t="s">
        <v>152</v>
      </c>
      <c r="E10" s="1"/>
      <c r="F10" s="19" t="s">
        <v>296</v>
      </c>
      <c r="G10" s="19" t="s">
        <v>30</v>
      </c>
      <c r="H10" s="19" t="s">
        <v>297</v>
      </c>
      <c r="I10" s="19" t="s">
        <v>36</v>
      </c>
      <c r="J10" s="1"/>
      <c r="K10" s="19" t="s">
        <v>72</v>
      </c>
      <c r="L10" s="1"/>
      <c r="M10" s="1"/>
      <c r="N10" s="19" t="s">
        <v>39</v>
      </c>
      <c r="O10" s="38" t="n">
        <v>0</v>
      </c>
    </row>
    <row r="11" customFormat="false" ht="15" hidden="false" customHeight="false" outlineLevel="0" collapsed="false">
      <c r="A11" s="19" t="s">
        <v>298</v>
      </c>
      <c r="B11" s="1"/>
      <c r="C11" s="1"/>
      <c r="D11" s="19" t="s">
        <v>299</v>
      </c>
      <c r="E11" s="1"/>
      <c r="F11" s="19" t="s">
        <v>300</v>
      </c>
      <c r="G11" s="19" t="s">
        <v>31</v>
      </c>
      <c r="H11" s="1"/>
      <c r="I11" s="1"/>
      <c r="J11" s="1"/>
      <c r="K11" s="19" t="s">
        <v>301</v>
      </c>
      <c r="L11" s="1"/>
      <c r="M11" s="1"/>
      <c r="N11" s="1"/>
      <c r="O11" s="1"/>
    </row>
    <row r="12" customFormat="false" ht="15" hidden="false" customHeight="false" outlineLevel="0" collapsed="false">
      <c r="A12" s="19" t="s">
        <v>302</v>
      </c>
      <c r="B12" s="1"/>
      <c r="C12" s="1"/>
      <c r="D12" s="19" t="s">
        <v>303</v>
      </c>
      <c r="E12" s="1"/>
      <c r="F12" s="19" t="s">
        <v>304</v>
      </c>
      <c r="G12" s="1"/>
      <c r="H12" s="1"/>
      <c r="I12" s="1"/>
      <c r="J12" s="1"/>
      <c r="K12" s="19" t="s">
        <v>196</v>
      </c>
      <c r="L12" s="1"/>
      <c r="M12" s="1"/>
      <c r="N12" s="39" t="s">
        <v>305</v>
      </c>
      <c r="O12" s="1"/>
    </row>
    <row r="13" customFormat="false" ht="15" hidden="false" customHeight="false" outlineLevel="0" collapsed="false">
      <c r="A13" s="19" t="s">
        <v>306</v>
      </c>
      <c r="B13" s="1"/>
      <c r="C13" s="1"/>
      <c r="D13" s="19" t="s">
        <v>154</v>
      </c>
      <c r="E13" s="1"/>
      <c r="F13" s="19" t="s">
        <v>307</v>
      </c>
      <c r="G13" s="1"/>
      <c r="H13" s="1"/>
      <c r="I13" s="1"/>
      <c r="J13" s="1"/>
      <c r="K13" s="19" t="s">
        <v>308</v>
      </c>
      <c r="L13" s="1"/>
      <c r="M13" s="1"/>
      <c r="N13" s="1"/>
      <c r="O13" s="1"/>
    </row>
    <row r="14" customFormat="false" ht="15" hidden="false" customHeight="false" outlineLevel="0" collapsed="false">
      <c r="A14" s="1"/>
      <c r="B14" s="1"/>
      <c r="C14" s="1"/>
      <c r="D14" s="19" t="s">
        <v>309</v>
      </c>
      <c r="E14" s="1"/>
      <c r="F14" s="1"/>
      <c r="G14" s="1"/>
      <c r="H14" s="1"/>
      <c r="I14" s="1"/>
      <c r="J14" s="1"/>
      <c r="K14" s="19" t="s">
        <v>310</v>
      </c>
      <c r="L14" s="1"/>
      <c r="M14" s="1"/>
      <c r="N14" s="1"/>
      <c r="O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9" t="s">
        <v>311</v>
      </c>
      <c r="L15" s="1"/>
      <c r="M15" s="1"/>
      <c r="N15" s="1"/>
      <c r="O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9" t="s">
        <v>312</v>
      </c>
      <c r="L16" s="1"/>
      <c r="M16" s="1"/>
      <c r="N16" s="1"/>
      <c r="O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9" t="s">
        <v>313</v>
      </c>
      <c r="L17" s="1"/>
      <c r="M17" s="1"/>
      <c r="N17" s="1"/>
      <c r="O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2026-10-17T22:37:38Z</dcterms:created>
  <dc:creator>openpyxl</dc:creator>
  <dc:description/>
  <dc:language>en-US</dc:language>
  <cp:lastModifiedBy/>
  <dcterms:modified xsi:type="dcterms:W3CDTF">2026-10-17T22:37:40Z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